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semb\Desktop\Дашборд\2. Source\"/>
    </mc:Choice>
  </mc:AlternateContent>
  <xr:revisionPtr revIDLastSave="0" documentId="13_ncr:1_{81A56131-A9D0-44B0-8ADA-8557215C747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План недели" sheetId="1" r:id="rId1"/>
    <sheet name="Выезды" sheetId="2" r:id="rId2"/>
    <sheet name="Объекты" sheetId="3" r:id="rId3"/>
    <sheet name="Справочни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3" l="1"/>
  <c r="J1883" i="2"/>
  <c r="C1883" i="2"/>
  <c r="A1883" i="2"/>
  <c r="J1882" i="2"/>
  <c r="C1882" i="2"/>
  <c r="A1882" i="2"/>
  <c r="J1881" i="2"/>
  <c r="C1881" i="2"/>
  <c r="A1881" i="2"/>
  <c r="J1880" i="2"/>
  <c r="C1880" i="2"/>
  <c r="A1880" i="2"/>
  <c r="J1879" i="2"/>
  <c r="C1879" i="2"/>
  <c r="A1879" i="2"/>
  <c r="J1878" i="2"/>
  <c r="C1878" i="2"/>
  <c r="A1878" i="2"/>
  <c r="J1877" i="2"/>
  <c r="C1877" i="2"/>
  <c r="A1877" i="2"/>
  <c r="J1876" i="2"/>
  <c r="C1876" i="2"/>
  <c r="A1876" i="2"/>
  <c r="J1875" i="2"/>
  <c r="C1875" i="2"/>
  <c r="A1875" i="2"/>
  <c r="J1874" i="2"/>
  <c r="C1874" i="2"/>
  <c r="A1874" i="2"/>
  <c r="J1873" i="2"/>
  <c r="C1873" i="2"/>
  <c r="A1873" i="2"/>
  <c r="J1872" i="2"/>
  <c r="C1872" i="2"/>
  <c r="A1872" i="2"/>
  <c r="J1871" i="2"/>
  <c r="C1871" i="2"/>
  <c r="A1871" i="2"/>
  <c r="J1870" i="2"/>
  <c r="C1870" i="2"/>
  <c r="A1870" i="2"/>
  <c r="J1869" i="2"/>
  <c r="C1869" i="2"/>
  <c r="A1869" i="2"/>
  <c r="J1868" i="2"/>
  <c r="C1868" i="2"/>
  <c r="A1868" i="2"/>
  <c r="J1867" i="2"/>
  <c r="C1867" i="2"/>
  <c r="A1867" i="2"/>
  <c r="J1866" i="2"/>
  <c r="C1866" i="2"/>
  <c r="A1866" i="2"/>
  <c r="J1865" i="2"/>
  <c r="C1865" i="2"/>
  <c r="A1865" i="2"/>
  <c r="J1864" i="2"/>
  <c r="C1864" i="2"/>
  <c r="A1864" i="2"/>
  <c r="J1863" i="2"/>
  <c r="C1863" i="2"/>
  <c r="A1863" i="2"/>
  <c r="J1862" i="2"/>
  <c r="C1862" i="2"/>
  <c r="A1862" i="2"/>
  <c r="J1861" i="2"/>
  <c r="C1861" i="2"/>
  <c r="A1861" i="2"/>
  <c r="J1860" i="2"/>
  <c r="C1860" i="2"/>
  <c r="A1860" i="2"/>
  <c r="J1859" i="2"/>
  <c r="C1859" i="2"/>
  <c r="A1859" i="2"/>
  <c r="J1858" i="2"/>
  <c r="C1858" i="2"/>
  <c r="A1858" i="2"/>
  <c r="J1857" i="2"/>
  <c r="C1857" i="2"/>
  <c r="A1857" i="2"/>
  <c r="J1856" i="2"/>
  <c r="C1856" i="2"/>
  <c r="A1856" i="2"/>
  <c r="J1855" i="2"/>
  <c r="C1855" i="2"/>
  <c r="A1855" i="2"/>
  <c r="J1854" i="2"/>
  <c r="C1854" i="2"/>
  <c r="A1854" i="2"/>
  <c r="J1853" i="2"/>
  <c r="C1853" i="2"/>
  <c r="A1853" i="2"/>
  <c r="J1852" i="2"/>
  <c r="C1852" i="2"/>
  <c r="A1852" i="2"/>
  <c r="J1851" i="2"/>
  <c r="C1851" i="2"/>
  <c r="A1851" i="2"/>
  <c r="J1850" i="2"/>
  <c r="C1850" i="2"/>
  <c r="A1850" i="2"/>
  <c r="J1849" i="2"/>
  <c r="C1849" i="2"/>
  <c r="A1849" i="2"/>
  <c r="J1848" i="2"/>
  <c r="C1848" i="2"/>
  <c r="A1848" i="2"/>
  <c r="J1847" i="2"/>
  <c r="C1847" i="2"/>
  <c r="A1847" i="2"/>
  <c r="J1846" i="2"/>
  <c r="C1846" i="2"/>
  <c r="A1846" i="2"/>
  <c r="J1845" i="2"/>
  <c r="C1845" i="2"/>
  <c r="A1845" i="2"/>
  <c r="J1844" i="2"/>
  <c r="C1844" i="2"/>
  <c r="A1844" i="2"/>
  <c r="J1843" i="2"/>
  <c r="C1843" i="2"/>
  <c r="A1843" i="2"/>
  <c r="J1842" i="2"/>
  <c r="C1842" i="2"/>
  <c r="A1842" i="2"/>
  <c r="J1841" i="2"/>
  <c r="C1841" i="2"/>
  <c r="A1841" i="2"/>
  <c r="J1840" i="2"/>
  <c r="C1840" i="2"/>
  <c r="A1840" i="2"/>
  <c r="J1839" i="2"/>
  <c r="C1839" i="2"/>
  <c r="A1839" i="2"/>
  <c r="J1838" i="2"/>
  <c r="C1838" i="2"/>
  <c r="A1838" i="2"/>
  <c r="J1837" i="2"/>
  <c r="C1837" i="2"/>
  <c r="A1837" i="2"/>
  <c r="J1836" i="2"/>
  <c r="C1836" i="2"/>
  <c r="A1836" i="2"/>
  <c r="J1835" i="2"/>
  <c r="C1835" i="2"/>
  <c r="A1835" i="2"/>
  <c r="J1834" i="2"/>
  <c r="C1834" i="2"/>
  <c r="A1834" i="2"/>
  <c r="J1833" i="2"/>
  <c r="C1833" i="2"/>
  <c r="A1833" i="2"/>
  <c r="J1832" i="2"/>
  <c r="C1832" i="2"/>
  <c r="A1832" i="2"/>
  <c r="J1831" i="2"/>
  <c r="C1831" i="2"/>
  <c r="A1831" i="2"/>
  <c r="J1830" i="2"/>
  <c r="C1830" i="2"/>
  <c r="A1830" i="2"/>
  <c r="J1829" i="2"/>
  <c r="C1829" i="2"/>
  <c r="A1829" i="2"/>
  <c r="J1828" i="2"/>
  <c r="C1828" i="2"/>
  <c r="A1828" i="2"/>
  <c r="J1827" i="2"/>
  <c r="C1827" i="2"/>
  <c r="A1827" i="2"/>
  <c r="J1826" i="2"/>
  <c r="C1826" i="2"/>
  <c r="A1826" i="2"/>
  <c r="J1825" i="2"/>
  <c r="C1825" i="2"/>
  <c r="A1825" i="2"/>
  <c r="J1824" i="2"/>
  <c r="C1824" i="2"/>
  <c r="A1824" i="2"/>
  <c r="J1823" i="2"/>
  <c r="C1823" i="2"/>
  <c r="A1823" i="2"/>
  <c r="J1822" i="2"/>
  <c r="C1822" i="2"/>
  <c r="A1822" i="2"/>
  <c r="J1821" i="2"/>
  <c r="C1821" i="2"/>
  <c r="A1821" i="2"/>
  <c r="J1820" i="2"/>
  <c r="C1820" i="2"/>
  <c r="A1820" i="2"/>
  <c r="J1819" i="2"/>
  <c r="C1819" i="2"/>
  <c r="A1819" i="2"/>
  <c r="J1818" i="2"/>
  <c r="C1818" i="2"/>
  <c r="A1818" i="2"/>
  <c r="J1817" i="2"/>
  <c r="C1817" i="2"/>
  <c r="A1817" i="2"/>
  <c r="J1816" i="2"/>
  <c r="C1816" i="2"/>
  <c r="A1816" i="2"/>
  <c r="J1815" i="2"/>
  <c r="C1815" i="2"/>
  <c r="A1815" i="2"/>
  <c r="J1814" i="2"/>
  <c r="C1814" i="2"/>
  <c r="A1814" i="2"/>
  <c r="J1813" i="2"/>
  <c r="C1813" i="2"/>
  <c r="A1813" i="2"/>
  <c r="J1812" i="2"/>
  <c r="C1812" i="2"/>
  <c r="A1812" i="2"/>
  <c r="J1811" i="2"/>
  <c r="C1811" i="2"/>
  <c r="A1811" i="2"/>
  <c r="J1810" i="2"/>
  <c r="C1810" i="2"/>
  <c r="A1810" i="2"/>
  <c r="J1809" i="2"/>
  <c r="C1809" i="2"/>
  <c r="A1809" i="2"/>
  <c r="J1808" i="2"/>
  <c r="C1808" i="2"/>
  <c r="A1808" i="2"/>
  <c r="J1807" i="2"/>
  <c r="C1807" i="2"/>
  <c r="A1807" i="2"/>
  <c r="J1806" i="2"/>
  <c r="C1806" i="2"/>
  <c r="A1806" i="2"/>
  <c r="J1805" i="2"/>
  <c r="C1805" i="2"/>
  <c r="A1805" i="2"/>
  <c r="J1804" i="2"/>
  <c r="C1804" i="2"/>
  <c r="A1804" i="2"/>
  <c r="J1803" i="2"/>
  <c r="C1803" i="2"/>
  <c r="A1803" i="2"/>
  <c r="J1802" i="2"/>
  <c r="C1802" i="2"/>
  <c r="A1802" i="2"/>
  <c r="J1801" i="2"/>
  <c r="C1801" i="2"/>
  <c r="A1801" i="2"/>
  <c r="J1800" i="2"/>
  <c r="C1800" i="2"/>
  <c r="A1800" i="2"/>
  <c r="J1799" i="2"/>
  <c r="C1799" i="2"/>
  <c r="A1799" i="2"/>
  <c r="J1798" i="2"/>
  <c r="C1798" i="2"/>
  <c r="A1798" i="2"/>
  <c r="J1797" i="2"/>
  <c r="C1797" i="2"/>
  <c r="A1797" i="2"/>
  <c r="J1796" i="2"/>
  <c r="C1796" i="2"/>
  <c r="A1796" i="2"/>
  <c r="J1795" i="2"/>
  <c r="C1795" i="2"/>
  <c r="A1795" i="2"/>
  <c r="J1794" i="2"/>
  <c r="C1794" i="2"/>
  <c r="A1794" i="2"/>
  <c r="J1793" i="2"/>
  <c r="C1793" i="2"/>
  <c r="A1793" i="2"/>
  <c r="J1792" i="2"/>
  <c r="C1792" i="2"/>
  <c r="A1792" i="2"/>
  <c r="J1791" i="2"/>
  <c r="C1791" i="2"/>
  <c r="A1791" i="2"/>
  <c r="J1790" i="2"/>
  <c r="C1790" i="2"/>
  <c r="A1790" i="2"/>
  <c r="J1789" i="2"/>
  <c r="C1789" i="2"/>
  <c r="A1789" i="2"/>
  <c r="J1788" i="2"/>
  <c r="C1788" i="2"/>
  <c r="A1788" i="2"/>
  <c r="J1787" i="2"/>
  <c r="C1787" i="2"/>
  <c r="A1787" i="2"/>
  <c r="J1786" i="2"/>
  <c r="C1786" i="2"/>
  <c r="A1786" i="2"/>
  <c r="J1785" i="2"/>
  <c r="C1785" i="2"/>
  <c r="A1785" i="2"/>
  <c r="J1784" i="2"/>
  <c r="C1784" i="2"/>
  <c r="A1784" i="2"/>
  <c r="J1783" i="2"/>
  <c r="C1783" i="2"/>
  <c r="A1783" i="2"/>
  <c r="J1782" i="2"/>
  <c r="C1782" i="2"/>
  <c r="A1782" i="2"/>
  <c r="J1781" i="2"/>
  <c r="C1781" i="2"/>
  <c r="A1781" i="2"/>
  <c r="J1780" i="2"/>
  <c r="C1780" i="2"/>
  <c r="A1780" i="2"/>
  <c r="J1779" i="2"/>
  <c r="C1779" i="2"/>
  <c r="A1779" i="2"/>
  <c r="J1778" i="2"/>
  <c r="C1778" i="2"/>
  <c r="A1778" i="2"/>
  <c r="J1777" i="2"/>
  <c r="C1777" i="2"/>
  <c r="A1777" i="2"/>
  <c r="J1776" i="2"/>
  <c r="C1776" i="2"/>
  <c r="A1776" i="2"/>
  <c r="J1775" i="2"/>
  <c r="C1775" i="2"/>
  <c r="A1775" i="2"/>
  <c r="J1774" i="2"/>
  <c r="C1774" i="2"/>
  <c r="A1774" i="2"/>
  <c r="J1773" i="2"/>
  <c r="C1773" i="2"/>
  <c r="A1773" i="2"/>
  <c r="J1772" i="2"/>
  <c r="C1772" i="2"/>
  <c r="A1772" i="2"/>
  <c r="J1771" i="2"/>
  <c r="C1771" i="2"/>
  <c r="A1771" i="2"/>
  <c r="J1770" i="2"/>
  <c r="C1770" i="2"/>
  <c r="A1770" i="2"/>
  <c r="J1769" i="2"/>
  <c r="C1769" i="2"/>
  <c r="A1769" i="2"/>
  <c r="J1768" i="2"/>
  <c r="C1768" i="2"/>
  <c r="A1768" i="2"/>
  <c r="J1767" i="2"/>
  <c r="C1767" i="2"/>
  <c r="A1767" i="2"/>
  <c r="J1766" i="2"/>
  <c r="C1766" i="2"/>
  <c r="A1766" i="2"/>
  <c r="J1765" i="2"/>
  <c r="C1765" i="2"/>
  <c r="A1765" i="2"/>
  <c r="J1764" i="2"/>
  <c r="C1764" i="2"/>
  <c r="A1764" i="2"/>
  <c r="J1763" i="2"/>
  <c r="C1763" i="2"/>
  <c r="A1763" i="2"/>
  <c r="J1762" i="2"/>
  <c r="C1762" i="2"/>
  <c r="A1762" i="2"/>
  <c r="J1761" i="2"/>
  <c r="C1761" i="2"/>
  <c r="A1761" i="2"/>
  <c r="J1760" i="2"/>
  <c r="C1760" i="2"/>
  <c r="A1760" i="2"/>
  <c r="J1759" i="2"/>
  <c r="C1759" i="2"/>
  <c r="A1759" i="2"/>
  <c r="J1758" i="2"/>
  <c r="C1758" i="2"/>
  <c r="A1758" i="2"/>
  <c r="J1757" i="2"/>
  <c r="C1757" i="2"/>
  <c r="A1757" i="2"/>
  <c r="J1756" i="2"/>
  <c r="C1756" i="2"/>
  <c r="A1756" i="2"/>
  <c r="J1755" i="2"/>
  <c r="C1755" i="2"/>
  <c r="A1755" i="2"/>
  <c r="J1754" i="2"/>
  <c r="C1754" i="2"/>
  <c r="A1754" i="2"/>
  <c r="J1753" i="2"/>
  <c r="C1753" i="2"/>
  <c r="A1753" i="2"/>
  <c r="J1752" i="2"/>
  <c r="C1752" i="2"/>
  <c r="A1752" i="2"/>
  <c r="J1751" i="2"/>
  <c r="C1751" i="2"/>
  <c r="A1751" i="2"/>
  <c r="J1750" i="2"/>
  <c r="C1750" i="2"/>
  <c r="A1750" i="2"/>
  <c r="J1749" i="2"/>
  <c r="C1749" i="2"/>
  <c r="A1749" i="2"/>
  <c r="J1748" i="2"/>
  <c r="C1748" i="2"/>
  <c r="A1748" i="2"/>
  <c r="J1747" i="2"/>
  <c r="C1747" i="2"/>
  <c r="A1747" i="2"/>
  <c r="J1746" i="2"/>
  <c r="C1746" i="2"/>
  <c r="A1746" i="2"/>
  <c r="J1745" i="2"/>
  <c r="C1745" i="2"/>
  <c r="A1745" i="2"/>
  <c r="J1744" i="2"/>
  <c r="C1744" i="2"/>
  <c r="A1744" i="2"/>
  <c r="J1743" i="2"/>
  <c r="C1743" i="2"/>
  <c r="A1743" i="2"/>
  <c r="J1742" i="2"/>
  <c r="C1742" i="2"/>
  <c r="A1742" i="2"/>
  <c r="J1741" i="2"/>
  <c r="C1741" i="2"/>
  <c r="A1741" i="2"/>
  <c r="J1740" i="2"/>
  <c r="C1740" i="2"/>
  <c r="A1740" i="2"/>
  <c r="J1739" i="2"/>
  <c r="C1739" i="2"/>
  <c r="A1739" i="2"/>
  <c r="J1738" i="2"/>
  <c r="C1738" i="2"/>
  <c r="A1738" i="2"/>
  <c r="J1737" i="2"/>
  <c r="C1737" i="2"/>
  <c r="A1737" i="2"/>
  <c r="J1736" i="2"/>
  <c r="C1736" i="2"/>
  <c r="A1736" i="2"/>
  <c r="J1735" i="2"/>
  <c r="C1735" i="2"/>
  <c r="A1735" i="2"/>
  <c r="J1734" i="2"/>
  <c r="C1734" i="2"/>
  <c r="A1734" i="2"/>
  <c r="J1733" i="2"/>
  <c r="C1733" i="2"/>
  <c r="A1733" i="2"/>
  <c r="J1732" i="2"/>
  <c r="C1732" i="2"/>
  <c r="A1732" i="2"/>
  <c r="J1731" i="2"/>
  <c r="C1731" i="2"/>
  <c r="A1731" i="2"/>
  <c r="J1730" i="2"/>
  <c r="C1730" i="2"/>
  <c r="A1730" i="2"/>
  <c r="J1729" i="2"/>
  <c r="C1729" i="2"/>
  <c r="A1729" i="2"/>
  <c r="J1728" i="2"/>
  <c r="C1728" i="2"/>
  <c r="A1728" i="2"/>
  <c r="J1727" i="2"/>
  <c r="C1727" i="2"/>
  <c r="A1727" i="2"/>
  <c r="J1726" i="2"/>
  <c r="C1726" i="2"/>
  <c r="A1726" i="2"/>
  <c r="J1725" i="2"/>
  <c r="C1725" i="2"/>
  <c r="A1725" i="2"/>
  <c r="J1724" i="2"/>
  <c r="C1724" i="2"/>
  <c r="A1724" i="2"/>
  <c r="J1723" i="2"/>
  <c r="C1723" i="2"/>
  <c r="A1723" i="2"/>
  <c r="J1722" i="2"/>
  <c r="C1722" i="2"/>
  <c r="A1722" i="2"/>
  <c r="J1721" i="2"/>
  <c r="C1721" i="2"/>
  <c r="A1721" i="2"/>
  <c r="J1720" i="2"/>
  <c r="C1720" i="2"/>
  <c r="A1720" i="2"/>
  <c r="J1719" i="2"/>
  <c r="C1719" i="2"/>
  <c r="A1719" i="2"/>
  <c r="J1718" i="2"/>
  <c r="C1718" i="2"/>
  <c r="A1718" i="2"/>
  <c r="J1717" i="2"/>
  <c r="C1717" i="2"/>
  <c r="A1717" i="2"/>
  <c r="J1716" i="2"/>
  <c r="C1716" i="2"/>
  <c r="A1716" i="2"/>
  <c r="J1715" i="2"/>
  <c r="C1715" i="2"/>
  <c r="A1715" i="2"/>
  <c r="J1714" i="2"/>
  <c r="C1714" i="2"/>
  <c r="A1714" i="2"/>
  <c r="J1713" i="2"/>
  <c r="C1713" i="2"/>
  <c r="A1713" i="2"/>
  <c r="J1712" i="2"/>
  <c r="C1712" i="2"/>
  <c r="A1712" i="2"/>
  <c r="J1711" i="2"/>
  <c r="C1711" i="2"/>
  <c r="A1711" i="2"/>
  <c r="J1710" i="2"/>
  <c r="C1710" i="2"/>
  <c r="A1710" i="2"/>
  <c r="J1709" i="2"/>
  <c r="C1709" i="2"/>
  <c r="A1709" i="2"/>
  <c r="J1708" i="2"/>
  <c r="C1708" i="2"/>
  <c r="A1708" i="2"/>
  <c r="J1707" i="2"/>
  <c r="C1707" i="2"/>
  <c r="A1707" i="2"/>
  <c r="J1706" i="2"/>
  <c r="C1706" i="2"/>
  <c r="A1706" i="2"/>
  <c r="J1705" i="2"/>
  <c r="C1705" i="2"/>
  <c r="A1705" i="2"/>
  <c r="J1704" i="2"/>
  <c r="C1704" i="2"/>
  <c r="A1704" i="2"/>
  <c r="J1703" i="2"/>
  <c r="C1703" i="2"/>
  <c r="A1703" i="2"/>
  <c r="J1702" i="2"/>
  <c r="C1702" i="2"/>
  <c r="A1702" i="2"/>
  <c r="J1701" i="2"/>
  <c r="C1701" i="2"/>
  <c r="A1701" i="2"/>
  <c r="J1700" i="2"/>
  <c r="C1700" i="2"/>
  <c r="A1700" i="2"/>
  <c r="J1699" i="2"/>
  <c r="C1699" i="2"/>
  <c r="A1699" i="2"/>
  <c r="J1698" i="2"/>
  <c r="C1698" i="2"/>
  <c r="A1698" i="2"/>
  <c r="J1697" i="2"/>
  <c r="C1697" i="2"/>
  <c r="A1697" i="2"/>
  <c r="J1696" i="2"/>
  <c r="C1696" i="2"/>
  <c r="A1696" i="2"/>
  <c r="J1695" i="2"/>
  <c r="C1695" i="2"/>
  <c r="A1695" i="2"/>
  <c r="J1694" i="2"/>
  <c r="C1694" i="2"/>
  <c r="A1694" i="2"/>
  <c r="J1693" i="2"/>
  <c r="C1693" i="2"/>
  <c r="A1693" i="2"/>
  <c r="J1692" i="2"/>
  <c r="C1692" i="2"/>
  <c r="A1692" i="2"/>
  <c r="J1691" i="2"/>
  <c r="C1691" i="2"/>
  <c r="A1691" i="2"/>
  <c r="J1690" i="2"/>
  <c r="C1690" i="2"/>
  <c r="A1690" i="2"/>
  <c r="J1689" i="2"/>
  <c r="C1689" i="2"/>
  <c r="A1689" i="2"/>
  <c r="J1688" i="2"/>
  <c r="C1688" i="2"/>
  <c r="A1688" i="2"/>
  <c r="J1687" i="2"/>
  <c r="C1687" i="2"/>
  <c r="A1687" i="2"/>
  <c r="J1686" i="2"/>
  <c r="C1686" i="2"/>
  <c r="A1686" i="2"/>
  <c r="J1685" i="2"/>
  <c r="C1685" i="2"/>
  <c r="A1685" i="2"/>
  <c r="J1684" i="2"/>
  <c r="C1684" i="2"/>
  <c r="A1684" i="2"/>
  <c r="J1683" i="2"/>
  <c r="C1683" i="2"/>
  <c r="A1683" i="2"/>
  <c r="J1682" i="2"/>
  <c r="C1682" i="2"/>
  <c r="A1682" i="2"/>
  <c r="J1681" i="2"/>
  <c r="C1681" i="2"/>
  <c r="A1681" i="2"/>
  <c r="J1680" i="2"/>
  <c r="C1680" i="2"/>
  <c r="A1680" i="2"/>
  <c r="J1679" i="2"/>
  <c r="C1679" i="2"/>
  <c r="A1679" i="2"/>
  <c r="J1678" i="2"/>
  <c r="C1678" i="2"/>
  <c r="A1678" i="2"/>
  <c r="J1677" i="2"/>
  <c r="C1677" i="2"/>
  <c r="A1677" i="2"/>
  <c r="J1676" i="2"/>
  <c r="C1676" i="2"/>
  <c r="A1676" i="2"/>
  <c r="J1675" i="2"/>
  <c r="C1675" i="2"/>
  <c r="A1675" i="2"/>
  <c r="J1674" i="2"/>
  <c r="C1674" i="2"/>
  <c r="A1674" i="2"/>
  <c r="J1673" i="2"/>
  <c r="C1673" i="2"/>
  <c r="A1673" i="2"/>
  <c r="J1672" i="2"/>
  <c r="C1672" i="2"/>
  <c r="A1672" i="2"/>
  <c r="J1671" i="2"/>
  <c r="C1671" i="2"/>
  <c r="A1671" i="2"/>
  <c r="J1670" i="2"/>
  <c r="C1670" i="2"/>
  <c r="A1670" i="2"/>
  <c r="J1669" i="2"/>
  <c r="C1669" i="2"/>
  <c r="A1669" i="2"/>
  <c r="J1668" i="2"/>
  <c r="C1668" i="2"/>
  <c r="A1668" i="2"/>
  <c r="J1667" i="2"/>
  <c r="C1667" i="2"/>
  <c r="A1667" i="2"/>
  <c r="J1666" i="2"/>
  <c r="C1666" i="2"/>
  <c r="A1666" i="2"/>
  <c r="J1665" i="2"/>
  <c r="C1665" i="2"/>
  <c r="A1665" i="2"/>
  <c r="J1664" i="2"/>
  <c r="C1664" i="2"/>
  <c r="A1664" i="2"/>
  <c r="J1663" i="2"/>
  <c r="C1663" i="2"/>
  <c r="A1663" i="2"/>
  <c r="J1662" i="2"/>
  <c r="C1662" i="2"/>
  <c r="A1662" i="2"/>
  <c r="J1661" i="2"/>
  <c r="C1661" i="2"/>
  <c r="A1661" i="2"/>
  <c r="J1660" i="2"/>
  <c r="C1660" i="2"/>
  <c r="A1660" i="2"/>
  <c r="J1659" i="2"/>
  <c r="C1659" i="2"/>
  <c r="A1659" i="2"/>
  <c r="J1658" i="2"/>
  <c r="C1658" i="2"/>
  <c r="A1658" i="2"/>
  <c r="J1657" i="2"/>
  <c r="C1657" i="2"/>
  <c r="A1657" i="2"/>
  <c r="J1656" i="2"/>
  <c r="C1656" i="2"/>
  <c r="A1656" i="2"/>
  <c r="J1655" i="2"/>
  <c r="C1655" i="2"/>
  <c r="A1655" i="2"/>
  <c r="J1654" i="2"/>
  <c r="C1654" i="2"/>
  <c r="A1654" i="2"/>
  <c r="J1653" i="2"/>
  <c r="C1653" i="2"/>
  <c r="A1653" i="2"/>
  <c r="J1652" i="2"/>
  <c r="C1652" i="2"/>
  <c r="A1652" i="2"/>
  <c r="J1651" i="2"/>
  <c r="C1651" i="2"/>
  <c r="A1651" i="2"/>
  <c r="J1650" i="2"/>
  <c r="C1650" i="2"/>
  <c r="A1650" i="2"/>
  <c r="J1649" i="2"/>
  <c r="C1649" i="2"/>
  <c r="A1649" i="2"/>
  <c r="J1648" i="2"/>
  <c r="C1648" i="2"/>
  <c r="A1648" i="2"/>
  <c r="J1647" i="2"/>
  <c r="C1647" i="2"/>
  <c r="A1647" i="2"/>
  <c r="J1646" i="2"/>
  <c r="C1646" i="2"/>
  <c r="A1646" i="2"/>
  <c r="J1645" i="2"/>
  <c r="C1645" i="2"/>
  <c r="A1645" i="2"/>
  <c r="J1644" i="2"/>
  <c r="C1644" i="2"/>
  <c r="A1644" i="2"/>
  <c r="J1643" i="2"/>
  <c r="C1643" i="2"/>
  <c r="A1643" i="2"/>
  <c r="J1642" i="2"/>
  <c r="C1642" i="2"/>
  <c r="A1642" i="2"/>
  <c r="J1641" i="2"/>
  <c r="C1641" i="2"/>
  <c r="A1641" i="2"/>
  <c r="J1640" i="2"/>
  <c r="C1640" i="2"/>
  <c r="A1640" i="2"/>
  <c r="J1639" i="2"/>
  <c r="C1639" i="2"/>
  <c r="A1639" i="2"/>
  <c r="J1638" i="2"/>
  <c r="C1638" i="2"/>
  <c r="A1638" i="2"/>
  <c r="J1637" i="2"/>
  <c r="C1637" i="2"/>
  <c r="A1637" i="2"/>
  <c r="J1636" i="2"/>
  <c r="C1636" i="2"/>
  <c r="A1636" i="2"/>
  <c r="J1635" i="2"/>
  <c r="C1635" i="2"/>
  <c r="A1635" i="2"/>
  <c r="J1634" i="2"/>
  <c r="C1634" i="2"/>
  <c r="A1634" i="2"/>
  <c r="J1633" i="2"/>
  <c r="C1633" i="2"/>
  <c r="A1633" i="2"/>
  <c r="J1632" i="2"/>
  <c r="C1632" i="2"/>
  <c r="A1632" i="2"/>
  <c r="J1631" i="2"/>
  <c r="C1631" i="2"/>
  <c r="A1631" i="2"/>
  <c r="J1630" i="2"/>
  <c r="C1630" i="2"/>
  <c r="A1630" i="2"/>
  <c r="J1629" i="2"/>
  <c r="C1629" i="2"/>
  <c r="A1629" i="2"/>
  <c r="J1628" i="2"/>
  <c r="C1628" i="2"/>
  <c r="A1628" i="2"/>
  <c r="J1627" i="2"/>
  <c r="C1627" i="2"/>
  <c r="A1627" i="2"/>
  <c r="J1626" i="2"/>
  <c r="C1626" i="2"/>
  <c r="A1626" i="2"/>
  <c r="J1625" i="2"/>
  <c r="C1625" i="2"/>
  <c r="A1625" i="2"/>
  <c r="J1624" i="2"/>
  <c r="C1624" i="2"/>
  <c r="A1624" i="2"/>
  <c r="J1623" i="2"/>
  <c r="C1623" i="2"/>
  <c r="A1623" i="2"/>
  <c r="J1622" i="2"/>
  <c r="C1622" i="2"/>
  <c r="A1622" i="2"/>
  <c r="J1621" i="2"/>
  <c r="C1621" i="2"/>
  <c r="A1621" i="2"/>
  <c r="J1620" i="2"/>
  <c r="C1620" i="2"/>
  <c r="A1620" i="2"/>
  <c r="J1619" i="2"/>
  <c r="C1619" i="2"/>
  <c r="A1619" i="2"/>
  <c r="J1618" i="2"/>
  <c r="C1618" i="2"/>
  <c r="A1618" i="2"/>
  <c r="J1617" i="2"/>
  <c r="C1617" i="2"/>
  <c r="A1617" i="2"/>
  <c r="J1616" i="2"/>
  <c r="C1616" i="2"/>
  <c r="A1616" i="2"/>
  <c r="J1615" i="2"/>
  <c r="C1615" i="2"/>
  <c r="A1615" i="2"/>
  <c r="J1614" i="2"/>
  <c r="C1614" i="2"/>
  <c r="A1614" i="2"/>
  <c r="J1613" i="2"/>
  <c r="C1613" i="2"/>
  <c r="A1613" i="2"/>
  <c r="J1612" i="2"/>
  <c r="C1612" i="2"/>
  <c r="A1612" i="2"/>
  <c r="J1611" i="2"/>
  <c r="C1611" i="2"/>
  <c r="A1611" i="2"/>
  <c r="J1610" i="2"/>
  <c r="C1610" i="2"/>
  <c r="A1610" i="2"/>
  <c r="J1609" i="2"/>
  <c r="C1609" i="2"/>
  <c r="A1609" i="2"/>
  <c r="J1608" i="2"/>
  <c r="C1608" i="2"/>
  <c r="A1608" i="2"/>
  <c r="J1607" i="2"/>
  <c r="C1607" i="2"/>
  <c r="A1607" i="2"/>
  <c r="J1606" i="2"/>
  <c r="C1606" i="2"/>
  <c r="A1606" i="2"/>
  <c r="J1605" i="2"/>
  <c r="C1605" i="2"/>
  <c r="A1605" i="2"/>
  <c r="J1604" i="2"/>
  <c r="C1604" i="2"/>
  <c r="A1604" i="2"/>
  <c r="J1603" i="2"/>
  <c r="C1603" i="2"/>
  <c r="A1603" i="2"/>
  <c r="J1602" i="2"/>
  <c r="C1602" i="2"/>
  <c r="A1602" i="2"/>
  <c r="J1601" i="2"/>
  <c r="C1601" i="2"/>
  <c r="A1601" i="2"/>
  <c r="J1600" i="2"/>
  <c r="C1600" i="2"/>
  <c r="A1600" i="2"/>
  <c r="J1599" i="2"/>
  <c r="C1599" i="2"/>
  <c r="A1599" i="2"/>
  <c r="J1598" i="2"/>
  <c r="C1598" i="2"/>
  <c r="A1598" i="2"/>
  <c r="J1597" i="2"/>
  <c r="C1597" i="2"/>
  <c r="A1597" i="2"/>
  <c r="J1596" i="2"/>
  <c r="C1596" i="2"/>
  <c r="A1596" i="2"/>
  <c r="J1595" i="2"/>
  <c r="C1595" i="2"/>
  <c r="A1595" i="2"/>
  <c r="J1594" i="2"/>
  <c r="C1594" i="2"/>
  <c r="A1594" i="2"/>
  <c r="J1593" i="2"/>
  <c r="C1593" i="2"/>
  <c r="A1593" i="2"/>
  <c r="J1592" i="2"/>
  <c r="C1592" i="2"/>
  <c r="A1592" i="2"/>
  <c r="J1591" i="2"/>
  <c r="C1591" i="2"/>
  <c r="A1591" i="2"/>
  <c r="J1590" i="2"/>
  <c r="C1590" i="2"/>
  <c r="A1590" i="2"/>
  <c r="J1589" i="2"/>
  <c r="C1589" i="2"/>
  <c r="A1589" i="2"/>
  <c r="J1588" i="2"/>
  <c r="C1588" i="2"/>
  <c r="A1588" i="2"/>
  <c r="J1587" i="2"/>
  <c r="C1587" i="2"/>
  <c r="A1587" i="2"/>
  <c r="J1586" i="2"/>
  <c r="C1586" i="2"/>
  <c r="A1586" i="2"/>
  <c r="J1585" i="2"/>
  <c r="C1585" i="2"/>
  <c r="A1585" i="2"/>
  <c r="J1584" i="2"/>
  <c r="C1584" i="2"/>
  <c r="A1584" i="2"/>
  <c r="J1583" i="2"/>
  <c r="C1583" i="2"/>
  <c r="A1583" i="2"/>
  <c r="J1582" i="2"/>
  <c r="C1582" i="2"/>
  <c r="A1582" i="2"/>
  <c r="J1581" i="2"/>
  <c r="C1581" i="2"/>
  <c r="A1581" i="2"/>
  <c r="J1580" i="2"/>
  <c r="C1580" i="2"/>
  <c r="A1580" i="2"/>
  <c r="J1579" i="2"/>
  <c r="C1579" i="2"/>
  <c r="A1579" i="2"/>
  <c r="J1578" i="2"/>
  <c r="C1578" i="2"/>
  <c r="A1578" i="2"/>
  <c r="J1577" i="2"/>
  <c r="C1577" i="2"/>
  <c r="A1577" i="2"/>
  <c r="J1576" i="2"/>
  <c r="C1576" i="2"/>
  <c r="A1576" i="2"/>
  <c r="J1575" i="2"/>
  <c r="C1575" i="2"/>
  <c r="A1575" i="2"/>
  <c r="J1574" i="2"/>
  <c r="C1574" i="2"/>
  <c r="A1574" i="2"/>
  <c r="J1573" i="2"/>
  <c r="C1573" i="2"/>
  <c r="A1573" i="2"/>
  <c r="J1572" i="2"/>
  <c r="C1572" i="2"/>
  <c r="A1572" i="2"/>
  <c r="J1571" i="2"/>
  <c r="C1571" i="2"/>
  <c r="A1571" i="2"/>
  <c r="J1570" i="2"/>
  <c r="C1570" i="2"/>
  <c r="A1570" i="2"/>
  <c r="J1569" i="2"/>
  <c r="C1569" i="2"/>
  <c r="A1569" i="2"/>
  <c r="J1568" i="2"/>
  <c r="C1568" i="2"/>
  <c r="A1568" i="2"/>
  <c r="J1567" i="2"/>
  <c r="C1567" i="2"/>
  <c r="A1567" i="2"/>
  <c r="J1566" i="2"/>
  <c r="C1566" i="2"/>
  <c r="A1566" i="2"/>
  <c r="J1565" i="2"/>
  <c r="C1565" i="2"/>
  <c r="A1565" i="2"/>
  <c r="J1564" i="2"/>
  <c r="C1564" i="2"/>
  <c r="A1564" i="2"/>
  <c r="J1563" i="2"/>
  <c r="C1563" i="2"/>
  <c r="A1563" i="2"/>
  <c r="J1562" i="2"/>
  <c r="C1562" i="2"/>
  <c r="A1562" i="2"/>
  <c r="J1561" i="2"/>
  <c r="C1561" i="2"/>
  <c r="A1561" i="2"/>
  <c r="J1560" i="2"/>
  <c r="C1560" i="2"/>
  <c r="A1560" i="2"/>
  <c r="J1559" i="2"/>
  <c r="C1559" i="2"/>
  <c r="A1559" i="2"/>
  <c r="J1558" i="2"/>
  <c r="C1558" i="2"/>
  <c r="A1558" i="2"/>
  <c r="J1557" i="2"/>
  <c r="C1557" i="2"/>
  <c r="A1557" i="2"/>
  <c r="J1556" i="2"/>
  <c r="C1556" i="2"/>
  <c r="A1556" i="2"/>
  <c r="J1555" i="2"/>
  <c r="C1555" i="2"/>
  <c r="A1555" i="2"/>
  <c r="J1554" i="2"/>
  <c r="C1554" i="2"/>
  <c r="A1554" i="2"/>
  <c r="J1553" i="2"/>
  <c r="C1553" i="2"/>
  <c r="A1553" i="2"/>
  <c r="J1552" i="2"/>
  <c r="C1552" i="2"/>
  <c r="A1552" i="2"/>
  <c r="J1551" i="2"/>
  <c r="C1551" i="2"/>
  <c r="A1551" i="2"/>
  <c r="J1550" i="2"/>
  <c r="C1550" i="2"/>
  <c r="A1550" i="2"/>
  <c r="J1549" i="2"/>
  <c r="C1549" i="2"/>
  <c r="A1549" i="2"/>
  <c r="J1548" i="2"/>
  <c r="C1548" i="2"/>
  <c r="A1548" i="2"/>
  <c r="J1547" i="2"/>
  <c r="C1547" i="2"/>
  <c r="A1547" i="2"/>
  <c r="J1546" i="2"/>
  <c r="C1546" i="2"/>
  <c r="A1546" i="2"/>
  <c r="J1545" i="2"/>
  <c r="C1545" i="2"/>
  <c r="A1545" i="2"/>
  <c r="J1544" i="2"/>
  <c r="C1544" i="2"/>
  <c r="A1544" i="2"/>
  <c r="J1543" i="2"/>
  <c r="C1543" i="2"/>
  <c r="A1543" i="2"/>
  <c r="J1542" i="2"/>
  <c r="C1542" i="2"/>
  <c r="A1542" i="2"/>
  <c r="J1541" i="2"/>
  <c r="C1541" i="2"/>
  <c r="A1541" i="2"/>
  <c r="J1540" i="2"/>
  <c r="C1540" i="2"/>
  <c r="A1540" i="2"/>
  <c r="J1539" i="2"/>
  <c r="C1539" i="2"/>
  <c r="A1539" i="2"/>
  <c r="J1538" i="2"/>
  <c r="C1538" i="2"/>
  <c r="A1538" i="2"/>
  <c r="J1537" i="2"/>
  <c r="C1537" i="2"/>
  <c r="A1537" i="2"/>
  <c r="J1536" i="2"/>
  <c r="C1536" i="2"/>
  <c r="A1536" i="2"/>
  <c r="J1535" i="2"/>
  <c r="C1535" i="2"/>
  <c r="A1535" i="2"/>
  <c r="J1534" i="2"/>
  <c r="C1534" i="2"/>
  <c r="A1534" i="2"/>
  <c r="J1533" i="2"/>
  <c r="C1533" i="2"/>
  <c r="A1533" i="2"/>
  <c r="J1532" i="2"/>
  <c r="C1532" i="2"/>
  <c r="A1532" i="2"/>
  <c r="J1531" i="2"/>
  <c r="C1531" i="2"/>
  <c r="A1531" i="2"/>
  <c r="J1530" i="2"/>
  <c r="C1530" i="2"/>
  <c r="A1530" i="2"/>
  <c r="J1529" i="2"/>
  <c r="C1529" i="2"/>
  <c r="A1529" i="2"/>
  <c r="J1528" i="2"/>
  <c r="C1528" i="2"/>
  <c r="A1528" i="2"/>
  <c r="J1527" i="2"/>
  <c r="C1527" i="2"/>
  <c r="A1527" i="2"/>
  <c r="J1526" i="2"/>
  <c r="C1526" i="2"/>
  <c r="A1526" i="2"/>
  <c r="J1525" i="2"/>
  <c r="C1525" i="2"/>
  <c r="A1525" i="2"/>
  <c r="J1524" i="2"/>
  <c r="C1524" i="2"/>
  <c r="A1524" i="2"/>
  <c r="J1523" i="2"/>
  <c r="C1523" i="2"/>
  <c r="A1523" i="2"/>
  <c r="J1522" i="2"/>
  <c r="C1522" i="2"/>
  <c r="A1522" i="2"/>
  <c r="J1521" i="2"/>
  <c r="C1521" i="2"/>
  <c r="A1521" i="2"/>
  <c r="J1520" i="2"/>
  <c r="C1520" i="2"/>
  <c r="A1520" i="2"/>
  <c r="J1519" i="2"/>
  <c r="C1519" i="2"/>
  <c r="A1519" i="2"/>
  <c r="J1518" i="2"/>
  <c r="C1518" i="2"/>
  <c r="A1518" i="2"/>
  <c r="J1517" i="2"/>
  <c r="C1517" i="2"/>
  <c r="A1517" i="2"/>
  <c r="J1516" i="2"/>
  <c r="C1516" i="2"/>
  <c r="A1516" i="2"/>
  <c r="J1515" i="2"/>
  <c r="C1515" i="2"/>
  <c r="A1515" i="2"/>
  <c r="J1514" i="2"/>
  <c r="C1514" i="2"/>
  <c r="A1514" i="2"/>
  <c r="J1513" i="2"/>
  <c r="C1513" i="2"/>
  <c r="A1513" i="2"/>
  <c r="J1512" i="2"/>
  <c r="C1512" i="2"/>
  <c r="A1512" i="2"/>
  <c r="J1511" i="2"/>
  <c r="C1511" i="2"/>
  <c r="A1511" i="2"/>
  <c r="J1510" i="2"/>
  <c r="C1510" i="2"/>
  <c r="A1510" i="2"/>
  <c r="J1509" i="2"/>
  <c r="C1509" i="2"/>
  <c r="A1509" i="2"/>
  <c r="J1508" i="2"/>
  <c r="C1508" i="2"/>
  <c r="A1508" i="2"/>
  <c r="J1507" i="2"/>
  <c r="C1507" i="2"/>
  <c r="A1507" i="2"/>
  <c r="J1506" i="2"/>
  <c r="C1506" i="2"/>
  <c r="A1506" i="2"/>
  <c r="J1505" i="2"/>
  <c r="C1505" i="2"/>
  <c r="A1505" i="2"/>
  <c r="J1504" i="2"/>
  <c r="C1504" i="2"/>
  <c r="A1504" i="2"/>
  <c r="J1503" i="2"/>
  <c r="C1503" i="2"/>
  <c r="A1503" i="2"/>
  <c r="J1502" i="2"/>
  <c r="C1502" i="2"/>
  <c r="A1502" i="2"/>
  <c r="J1501" i="2"/>
  <c r="C1501" i="2"/>
  <c r="A1501" i="2"/>
  <c r="J1500" i="2"/>
  <c r="C1500" i="2"/>
  <c r="A1500" i="2"/>
  <c r="J1499" i="2"/>
  <c r="C1499" i="2"/>
  <c r="A1499" i="2"/>
  <c r="J1498" i="2"/>
  <c r="C1498" i="2"/>
  <c r="A1498" i="2"/>
  <c r="J1497" i="2"/>
  <c r="C1497" i="2"/>
  <c r="A1497" i="2"/>
  <c r="J1496" i="2"/>
  <c r="C1496" i="2"/>
  <c r="A1496" i="2"/>
  <c r="J1495" i="2"/>
  <c r="C1495" i="2"/>
  <c r="A1495" i="2"/>
  <c r="J1494" i="2"/>
  <c r="C1494" i="2"/>
  <c r="A1494" i="2"/>
  <c r="J1493" i="2"/>
  <c r="C1493" i="2"/>
  <c r="A1493" i="2"/>
  <c r="J1492" i="2"/>
  <c r="C1492" i="2"/>
  <c r="A1492" i="2"/>
  <c r="J1491" i="2"/>
  <c r="C1491" i="2"/>
  <c r="A1491" i="2"/>
  <c r="J1490" i="2"/>
  <c r="C1490" i="2"/>
  <c r="A1490" i="2"/>
  <c r="J1489" i="2"/>
  <c r="C1489" i="2"/>
  <c r="A1489" i="2"/>
  <c r="J1488" i="2"/>
  <c r="C1488" i="2"/>
  <c r="A1488" i="2"/>
  <c r="J1487" i="2"/>
  <c r="C1487" i="2"/>
  <c r="A1487" i="2"/>
  <c r="J1486" i="2"/>
  <c r="C1486" i="2"/>
  <c r="A1486" i="2"/>
  <c r="J1485" i="2"/>
  <c r="C1485" i="2"/>
  <c r="A1485" i="2"/>
  <c r="J1484" i="2"/>
  <c r="C1484" i="2"/>
  <c r="A1484" i="2"/>
  <c r="J1483" i="2"/>
  <c r="C1483" i="2"/>
  <c r="A1483" i="2"/>
  <c r="J1482" i="2"/>
  <c r="C1482" i="2"/>
  <c r="A1482" i="2"/>
  <c r="J1481" i="2"/>
  <c r="C1481" i="2"/>
  <c r="A1481" i="2"/>
  <c r="J1480" i="2"/>
  <c r="C1480" i="2"/>
  <c r="A1480" i="2"/>
  <c r="J1479" i="2"/>
  <c r="C1479" i="2"/>
  <c r="A1479" i="2"/>
  <c r="J1478" i="2"/>
  <c r="C1478" i="2"/>
  <c r="A1478" i="2"/>
  <c r="J1477" i="2"/>
  <c r="C1477" i="2"/>
  <c r="A1477" i="2"/>
  <c r="J1476" i="2"/>
  <c r="C1476" i="2"/>
  <c r="A1476" i="2"/>
  <c r="J1475" i="2"/>
  <c r="C1475" i="2"/>
  <c r="A1475" i="2"/>
  <c r="J1474" i="2"/>
  <c r="C1474" i="2"/>
  <c r="A1474" i="2"/>
  <c r="J1473" i="2"/>
  <c r="C1473" i="2"/>
  <c r="A1473" i="2"/>
  <c r="J1472" i="2"/>
  <c r="C1472" i="2"/>
  <c r="A1472" i="2"/>
  <c r="J1471" i="2"/>
  <c r="C1471" i="2"/>
  <c r="A1471" i="2"/>
  <c r="J1470" i="2"/>
  <c r="C1470" i="2"/>
  <c r="A1470" i="2"/>
  <c r="J1469" i="2"/>
  <c r="C1469" i="2"/>
  <c r="A1469" i="2"/>
  <c r="J1468" i="2"/>
  <c r="C1468" i="2"/>
  <c r="A1468" i="2"/>
  <c r="J1467" i="2"/>
  <c r="C1467" i="2"/>
  <c r="A1467" i="2"/>
  <c r="J1466" i="2"/>
  <c r="C1466" i="2"/>
  <c r="A1466" i="2"/>
  <c r="J1465" i="2"/>
  <c r="C1465" i="2"/>
  <c r="A1465" i="2"/>
  <c r="J1464" i="2"/>
  <c r="C1464" i="2"/>
  <c r="A1464" i="2"/>
  <c r="J1463" i="2"/>
  <c r="C1463" i="2"/>
  <c r="A1463" i="2"/>
  <c r="J1462" i="2"/>
  <c r="C1462" i="2"/>
  <c r="A1462" i="2"/>
  <c r="J1461" i="2"/>
  <c r="C1461" i="2"/>
  <c r="A1461" i="2"/>
  <c r="J1460" i="2"/>
  <c r="C1460" i="2"/>
  <c r="A1460" i="2"/>
  <c r="J1459" i="2"/>
  <c r="C1459" i="2"/>
  <c r="A1459" i="2"/>
  <c r="J1458" i="2"/>
  <c r="C1458" i="2"/>
  <c r="A1458" i="2"/>
  <c r="J1457" i="2"/>
  <c r="C1457" i="2"/>
  <c r="A1457" i="2"/>
  <c r="J1456" i="2"/>
  <c r="C1456" i="2"/>
  <c r="A1456" i="2"/>
  <c r="J1455" i="2"/>
  <c r="C1455" i="2"/>
  <c r="A1455" i="2"/>
  <c r="J1454" i="2"/>
  <c r="C1454" i="2"/>
  <c r="A1454" i="2"/>
  <c r="J1453" i="2"/>
  <c r="C1453" i="2"/>
  <c r="A1453" i="2"/>
  <c r="J1452" i="2"/>
  <c r="C1452" i="2"/>
  <c r="A1452" i="2"/>
  <c r="J1451" i="2"/>
  <c r="C1451" i="2"/>
  <c r="A1451" i="2"/>
  <c r="J1450" i="2"/>
  <c r="C1450" i="2"/>
  <c r="A1450" i="2"/>
  <c r="J1449" i="2"/>
  <c r="C1449" i="2"/>
  <c r="A1449" i="2"/>
  <c r="J1448" i="2"/>
  <c r="C1448" i="2"/>
  <c r="A1448" i="2"/>
  <c r="J1447" i="2"/>
  <c r="C1447" i="2"/>
  <c r="A1447" i="2"/>
  <c r="J1446" i="2"/>
  <c r="C1446" i="2"/>
  <c r="A1446" i="2"/>
  <c r="J1445" i="2"/>
  <c r="C1445" i="2"/>
  <c r="A1445" i="2"/>
  <c r="J1444" i="2"/>
  <c r="C1444" i="2"/>
  <c r="A1444" i="2"/>
  <c r="J1443" i="2"/>
  <c r="C1443" i="2"/>
  <c r="A1443" i="2"/>
  <c r="J1442" i="2"/>
  <c r="C1442" i="2"/>
  <c r="A1442" i="2"/>
  <c r="J1441" i="2"/>
  <c r="C1441" i="2"/>
  <c r="A1441" i="2"/>
  <c r="J1440" i="2"/>
  <c r="C1440" i="2"/>
  <c r="A1440" i="2"/>
  <c r="J1439" i="2"/>
  <c r="C1439" i="2"/>
  <c r="A1439" i="2"/>
  <c r="J1438" i="2"/>
  <c r="C1438" i="2"/>
  <c r="A1438" i="2"/>
  <c r="J1437" i="2"/>
  <c r="C1437" i="2"/>
  <c r="A1437" i="2"/>
  <c r="J1436" i="2"/>
  <c r="C1436" i="2"/>
  <c r="A1436" i="2"/>
  <c r="J1435" i="2"/>
  <c r="C1435" i="2"/>
  <c r="A1435" i="2"/>
  <c r="J1434" i="2"/>
  <c r="C1434" i="2"/>
  <c r="A1434" i="2"/>
  <c r="J1433" i="2"/>
  <c r="C1433" i="2"/>
  <c r="A1433" i="2"/>
  <c r="J1432" i="2"/>
  <c r="C1432" i="2"/>
  <c r="A1432" i="2"/>
  <c r="J1431" i="2"/>
  <c r="C1431" i="2"/>
  <c r="A1431" i="2"/>
  <c r="J1430" i="2"/>
  <c r="C1430" i="2"/>
  <c r="A1430" i="2"/>
  <c r="J1429" i="2"/>
  <c r="C1429" i="2"/>
  <c r="A1429" i="2"/>
  <c r="J1428" i="2"/>
  <c r="C1428" i="2"/>
  <c r="A1428" i="2"/>
  <c r="J1427" i="2"/>
  <c r="C1427" i="2"/>
  <c r="A1427" i="2"/>
  <c r="J1426" i="2"/>
  <c r="C1426" i="2"/>
  <c r="A1426" i="2"/>
  <c r="J1425" i="2"/>
  <c r="C1425" i="2"/>
  <c r="A1425" i="2"/>
  <c r="J1424" i="2"/>
  <c r="C1424" i="2"/>
  <c r="A1424" i="2"/>
  <c r="J1423" i="2"/>
  <c r="C1423" i="2"/>
  <c r="A1423" i="2"/>
  <c r="J1422" i="2"/>
  <c r="C1422" i="2"/>
  <c r="A1422" i="2"/>
  <c r="J1421" i="2"/>
  <c r="C1421" i="2"/>
  <c r="A1421" i="2"/>
  <c r="J1420" i="2"/>
  <c r="C1420" i="2"/>
  <c r="A1420" i="2"/>
  <c r="J1419" i="2"/>
  <c r="C1419" i="2"/>
  <c r="A1419" i="2"/>
  <c r="J1418" i="2"/>
  <c r="C1418" i="2"/>
  <c r="A1418" i="2"/>
  <c r="J1417" i="2"/>
  <c r="C1417" i="2"/>
  <c r="A1417" i="2"/>
  <c r="J1416" i="2"/>
  <c r="C1416" i="2"/>
  <c r="A1416" i="2"/>
  <c r="J1415" i="2"/>
  <c r="C1415" i="2"/>
  <c r="A1415" i="2"/>
  <c r="J1414" i="2"/>
  <c r="C1414" i="2"/>
  <c r="A1414" i="2"/>
  <c r="J1413" i="2"/>
  <c r="C1413" i="2"/>
  <c r="A1413" i="2"/>
  <c r="J1412" i="2"/>
  <c r="C1412" i="2"/>
  <c r="A1412" i="2"/>
  <c r="J1411" i="2"/>
  <c r="C1411" i="2"/>
  <c r="A1411" i="2"/>
  <c r="J1410" i="2"/>
  <c r="C1410" i="2"/>
  <c r="A1410" i="2"/>
  <c r="J1409" i="2"/>
  <c r="C1409" i="2"/>
  <c r="A1409" i="2"/>
  <c r="J1408" i="2"/>
  <c r="C1408" i="2"/>
  <c r="A1408" i="2"/>
  <c r="J1407" i="2"/>
  <c r="C1407" i="2"/>
  <c r="A1407" i="2"/>
  <c r="J1406" i="2"/>
  <c r="C1406" i="2"/>
  <c r="A1406" i="2"/>
  <c r="J1405" i="2"/>
  <c r="C1405" i="2"/>
  <c r="A1405" i="2"/>
  <c r="J1404" i="2"/>
  <c r="C1404" i="2"/>
  <c r="A1404" i="2"/>
  <c r="J1403" i="2"/>
  <c r="C1403" i="2"/>
  <c r="A1403" i="2"/>
  <c r="J1402" i="2"/>
  <c r="C1402" i="2"/>
  <c r="A1402" i="2"/>
  <c r="J1401" i="2"/>
  <c r="C1401" i="2"/>
  <c r="A1401" i="2"/>
  <c r="J1400" i="2"/>
  <c r="C1400" i="2"/>
  <c r="A1400" i="2"/>
  <c r="J1399" i="2"/>
  <c r="C1399" i="2"/>
  <c r="A1399" i="2"/>
  <c r="J1398" i="2"/>
  <c r="C1398" i="2"/>
  <c r="A1398" i="2"/>
  <c r="J1397" i="2"/>
  <c r="C1397" i="2"/>
  <c r="A1397" i="2"/>
  <c r="J1396" i="2"/>
  <c r="C1396" i="2"/>
  <c r="A1396" i="2"/>
  <c r="J1395" i="2"/>
  <c r="C1395" i="2"/>
  <c r="A1395" i="2"/>
  <c r="J1394" i="2"/>
  <c r="C1394" i="2"/>
  <c r="A1394" i="2"/>
  <c r="J1393" i="2"/>
  <c r="C1393" i="2"/>
  <c r="A1393" i="2"/>
  <c r="J1392" i="2"/>
  <c r="C1392" i="2"/>
  <c r="A1392" i="2"/>
  <c r="J1391" i="2"/>
  <c r="C1391" i="2"/>
  <c r="A1391" i="2"/>
  <c r="J1390" i="2"/>
  <c r="C1390" i="2"/>
  <c r="A1390" i="2"/>
  <c r="J1389" i="2"/>
  <c r="C1389" i="2"/>
  <c r="A1389" i="2"/>
  <c r="J1388" i="2"/>
  <c r="C1388" i="2"/>
  <c r="A1388" i="2"/>
  <c r="J1387" i="2"/>
  <c r="C1387" i="2"/>
  <c r="A1387" i="2"/>
  <c r="J1386" i="2"/>
  <c r="C1386" i="2"/>
  <c r="A1386" i="2"/>
  <c r="J1385" i="2"/>
  <c r="C1385" i="2"/>
  <c r="A1385" i="2"/>
  <c r="J1384" i="2"/>
  <c r="C1384" i="2"/>
  <c r="A1384" i="2"/>
  <c r="J1383" i="2"/>
  <c r="C1383" i="2"/>
  <c r="A1383" i="2"/>
  <c r="J1382" i="2"/>
  <c r="C1382" i="2"/>
  <c r="A1382" i="2"/>
  <c r="J1381" i="2"/>
  <c r="C1381" i="2"/>
  <c r="A1381" i="2"/>
  <c r="J1380" i="2"/>
  <c r="C1380" i="2"/>
  <c r="A1380" i="2"/>
  <c r="J1379" i="2"/>
  <c r="C1379" i="2"/>
  <c r="A1379" i="2"/>
  <c r="J1378" i="2"/>
  <c r="C1378" i="2"/>
  <c r="A1378" i="2"/>
  <c r="J1377" i="2"/>
  <c r="C1377" i="2"/>
  <c r="A1377" i="2"/>
  <c r="J1376" i="2"/>
  <c r="C1376" i="2"/>
  <c r="A1376" i="2"/>
  <c r="J1375" i="2"/>
  <c r="C1375" i="2"/>
  <c r="A1375" i="2"/>
  <c r="J1374" i="2"/>
  <c r="C1374" i="2"/>
  <c r="A1374" i="2"/>
  <c r="J1373" i="2"/>
  <c r="C1373" i="2"/>
  <c r="A1373" i="2"/>
  <c r="J1372" i="2"/>
  <c r="C1372" i="2"/>
  <c r="A1372" i="2"/>
  <c r="J1371" i="2"/>
  <c r="C1371" i="2"/>
  <c r="A1371" i="2"/>
  <c r="J1370" i="2"/>
  <c r="C1370" i="2"/>
  <c r="A1370" i="2"/>
  <c r="J1369" i="2"/>
  <c r="C1369" i="2"/>
  <c r="A1369" i="2"/>
  <c r="J1368" i="2"/>
  <c r="C1368" i="2"/>
  <c r="A1368" i="2"/>
  <c r="J1367" i="2"/>
  <c r="C1367" i="2"/>
  <c r="A1367" i="2"/>
  <c r="J1366" i="2"/>
  <c r="C1366" i="2"/>
  <c r="A1366" i="2"/>
  <c r="J1365" i="2"/>
  <c r="C1365" i="2"/>
  <c r="A1365" i="2"/>
  <c r="J1364" i="2"/>
  <c r="C1364" i="2"/>
  <c r="A1364" i="2"/>
  <c r="J1363" i="2"/>
  <c r="C1363" i="2"/>
  <c r="A1363" i="2"/>
  <c r="J1362" i="2"/>
  <c r="C1362" i="2"/>
  <c r="A1362" i="2"/>
  <c r="J1361" i="2"/>
  <c r="C1361" i="2"/>
  <c r="A1361" i="2"/>
  <c r="J1360" i="2"/>
  <c r="C1360" i="2"/>
  <c r="A1360" i="2"/>
  <c r="J1359" i="2"/>
  <c r="C1359" i="2"/>
  <c r="A1359" i="2"/>
  <c r="J1358" i="2"/>
  <c r="C1358" i="2"/>
  <c r="A1358" i="2"/>
  <c r="J1357" i="2"/>
  <c r="C1357" i="2"/>
  <c r="A1357" i="2"/>
  <c r="J1356" i="2"/>
  <c r="C1356" i="2"/>
  <c r="A1356" i="2"/>
  <c r="J1355" i="2"/>
  <c r="C1355" i="2"/>
  <c r="A1355" i="2"/>
  <c r="J1354" i="2"/>
  <c r="C1354" i="2"/>
  <c r="A1354" i="2"/>
  <c r="J1353" i="2"/>
  <c r="C1353" i="2"/>
  <c r="A1353" i="2"/>
  <c r="J1352" i="2"/>
  <c r="C1352" i="2"/>
  <c r="A1352" i="2"/>
  <c r="J1351" i="2"/>
  <c r="C1351" i="2"/>
  <c r="A1351" i="2"/>
  <c r="J1350" i="2"/>
  <c r="C1350" i="2"/>
  <c r="A1350" i="2"/>
  <c r="J1349" i="2"/>
  <c r="C1349" i="2"/>
  <c r="A1349" i="2"/>
  <c r="J1348" i="2"/>
  <c r="C1348" i="2"/>
  <c r="A1348" i="2"/>
  <c r="J1347" i="2"/>
  <c r="C1347" i="2"/>
  <c r="A1347" i="2"/>
  <c r="J1346" i="2"/>
  <c r="C1346" i="2"/>
  <c r="A1346" i="2"/>
  <c r="J1345" i="2"/>
  <c r="C1345" i="2"/>
  <c r="A1345" i="2"/>
  <c r="J1344" i="2"/>
  <c r="C1344" i="2"/>
  <c r="A1344" i="2"/>
  <c r="J1343" i="2"/>
  <c r="C1343" i="2"/>
  <c r="A1343" i="2"/>
  <c r="J1342" i="2"/>
  <c r="C1342" i="2"/>
  <c r="A1342" i="2"/>
  <c r="J1341" i="2"/>
  <c r="C1341" i="2"/>
  <c r="A1341" i="2"/>
  <c r="J1340" i="2"/>
  <c r="C1340" i="2"/>
  <c r="A1340" i="2"/>
  <c r="J1339" i="2"/>
  <c r="C1339" i="2"/>
  <c r="A1339" i="2"/>
  <c r="J1338" i="2"/>
  <c r="C1338" i="2"/>
  <c r="A1338" i="2"/>
  <c r="J1337" i="2"/>
  <c r="C1337" i="2"/>
  <c r="A1337" i="2"/>
  <c r="J1336" i="2"/>
  <c r="C1336" i="2"/>
  <c r="A1336" i="2"/>
  <c r="J1335" i="2"/>
  <c r="C1335" i="2"/>
  <c r="A1335" i="2"/>
  <c r="J1334" i="2"/>
  <c r="C1334" i="2"/>
  <c r="A1334" i="2"/>
  <c r="J1333" i="2"/>
  <c r="C1333" i="2"/>
  <c r="A1333" i="2"/>
  <c r="J1332" i="2"/>
  <c r="C1332" i="2"/>
  <c r="A1332" i="2"/>
  <c r="J1331" i="2"/>
  <c r="C1331" i="2"/>
  <c r="A1331" i="2"/>
  <c r="J1330" i="2"/>
  <c r="C1330" i="2"/>
  <c r="A1330" i="2"/>
  <c r="J1329" i="2"/>
  <c r="C1329" i="2"/>
  <c r="A1329" i="2"/>
  <c r="J1328" i="2"/>
  <c r="C1328" i="2"/>
  <c r="A1328" i="2"/>
  <c r="J1327" i="2"/>
  <c r="C1327" i="2"/>
  <c r="A1327" i="2"/>
  <c r="J1326" i="2"/>
  <c r="C1326" i="2"/>
  <c r="A1326" i="2"/>
  <c r="J1325" i="2"/>
  <c r="C1325" i="2"/>
  <c r="A1325" i="2"/>
  <c r="J1324" i="2"/>
  <c r="C1324" i="2"/>
  <c r="A1324" i="2"/>
  <c r="J1323" i="2"/>
  <c r="C1323" i="2"/>
  <c r="A1323" i="2"/>
  <c r="J1322" i="2"/>
  <c r="C1322" i="2"/>
  <c r="A1322" i="2"/>
  <c r="J1321" i="2"/>
  <c r="C1321" i="2"/>
  <c r="A1321" i="2"/>
  <c r="J1320" i="2"/>
  <c r="C1320" i="2"/>
  <c r="A1320" i="2"/>
  <c r="J1319" i="2"/>
  <c r="C1319" i="2"/>
  <c r="A1319" i="2"/>
  <c r="J1318" i="2"/>
  <c r="C1318" i="2"/>
  <c r="A1318" i="2"/>
  <c r="J1317" i="2"/>
  <c r="C1317" i="2"/>
  <c r="A1317" i="2"/>
  <c r="J1316" i="2"/>
  <c r="C1316" i="2"/>
  <c r="A1316" i="2"/>
  <c r="J1315" i="2"/>
  <c r="C1315" i="2"/>
  <c r="A1315" i="2"/>
  <c r="J1314" i="2"/>
  <c r="C1314" i="2"/>
  <c r="A1314" i="2"/>
  <c r="J1313" i="2"/>
  <c r="C1313" i="2"/>
  <c r="A1313" i="2"/>
  <c r="J1312" i="2"/>
  <c r="C1312" i="2"/>
  <c r="A1312" i="2"/>
  <c r="J1311" i="2"/>
  <c r="C1311" i="2"/>
  <c r="A1311" i="2"/>
  <c r="J1310" i="2"/>
  <c r="C1310" i="2"/>
  <c r="A1310" i="2"/>
  <c r="J1309" i="2"/>
  <c r="C1309" i="2"/>
  <c r="A1309" i="2"/>
  <c r="J1308" i="2"/>
  <c r="C1308" i="2"/>
  <c r="A1308" i="2"/>
  <c r="J1307" i="2"/>
  <c r="C1307" i="2"/>
  <c r="A1307" i="2"/>
  <c r="J1306" i="2"/>
  <c r="C1306" i="2"/>
  <c r="A1306" i="2"/>
  <c r="J1305" i="2"/>
  <c r="C1305" i="2"/>
  <c r="A1305" i="2"/>
  <c r="J1304" i="2"/>
  <c r="C1304" i="2"/>
  <c r="A1304" i="2"/>
  <c r="J1303" i="2"/>
  <c r="C1303" i="2"/>
  <c r="A1303" i="2"/>
  <c r="J1302" i="2"/>
  <c r="C1302" i="2"/>
  <c r="A1302" i="2"/>
  <c r="J1301" i="2"/>
  <c r="C1301" i="2"/>
  <c r="A1301" i="2"/>
  <c r="J1300" i="2"/>
  <c r="C1300" i="2"/>
  <c r="A1300" i="2"/>
  <c r="J1299" i="2"/>
  <c r="C1299" i="2"/>
  <c r="A1299" i="2"/>
  <c r="J1298" i="2"/>
  <c r="C1298" i="2"/>
  <c r="A1298" i="2"/>
  <c r="J1297" i="2"/>
  <c r="C1297" i="2"/>
  <c r="A1297" i="2"/>
  <c r="J1296" i="2"/>
  <c r="C1296" i="2"/>
  <c r="A1296" i="2"/>
  <c r="J1295" i="2"/>
  <c r="C1295" i="2"/>
  <c r="A1295" i="2"/>
  <c r="J1294" i="2"/>
  <c r="C1294" i="2"/>
  <c r="A1294" i="2"/>
  <c r="J1293" i="2"/>
  <c r="C1293" i="2"/>
  <c r="A1293" i="2"/>
  <c r="J1292" i="2"/>
  <c r="C1292" i="2"/>
  <c r="A1292" i="2"/>
  <c r="J1291" i="2"/>
  <c r="C1291" i="2"/>
  <c r="A1291" i="2"/>
  <c r="J1290" i="2"/>
  <c r="C1290" i="2"/>
  <c r="A1290" i="2"/>
  <c r="J1289" i="2"/>
  <c r="C1289" i="2"/>
  <c r="A1289" i="2"/>
  <c r="J1288" i="2"/>
  <c r="C1288" i="2"/>
  <c r="A1288" i="2"/>
  <c r="J1287" i="2"/>
  <c r="C1287" i="2"/>
  <c r="A1287" i="2"/>
  <c r="J1286" i="2"/>
  <c r="C1286" i="2"/>
  <c r="A1286" i="2"/>
  <c r="J1285" i="2"/>
  <c r="C1285" i="2"/>
  <c r="A1285" i="2"/>
  <c r="J1284" i="2"/>
  <c r="C1284" i="2"/>
  <c r="A1284" i="2"/>
  <c r="J1283" i="2"/>
  <c r="C1283" i="2"/>
  <c r="A1283" i="2"/>
  <c r="J1282" i="2"/>
  <c r="C1282" i="2"/>
  <c r="A1282" i="2"/>
  <c r="J1281" i="2"/>
  <c r="C1281" i="2"/>
  <c r="A1281" i="2"/>
  <c r="J1280" i="2"/>
  <c r="C1280" i="2"/>
  <c r="A1280" i="2"/>
  <c r="J1279" i="2"/>
  <c r="C1279" i="2"/>
  <c r="A1279" i="2"/>
  <c r="J1278" i="2"/>
  <c r="C1278" i="2"/>
  <c r="A1278" i="2"/>
  <c r="J1277" i="2"/>
  <c r="C1277" i="2"/>
  <c r="A1277" i="2"/>
  <c r="J1276" i="2"/>
  <c r="C1276" i="2"/>
  <c r="A1276" i="2"/>
  <c r="J1275" i="2"/>
  <c r="C1275" i="2"/>
  <c r="A1275" i="2"/>
  <c r="J1274" i="2"/>
  <c r="C1274" i="2"/>
  <c r="A1274" i="2"/>
  <c r="J1273" i="2"/>
  <c r="C1273" i="2"/>
  <c r="A1273" i="2"/>
  <c r="J1272" i="2"/>
  <c r="C1272" i="2"/>
  <c r="A1272" i="2"/>
  <c r="J1271" i="2"/>
  <c r="C1271" i="2"/>
  <c r="A1271" i="2"/>
  <c r="J1270" i="2"/>
  <c r="C1270" i="2"/>
  <c r="A1270" i="2"/>
  <c r="J1269" i="2"/>
  <c r="C1269" i="2"/>
  <c r="A1269" i="2"/>
  <c r="J1268" i="2"/>
  <c r="C1268" i="2"/>
  <c r="A1268" i="2"/>
  <c r="J1267" i="2"/>
  <c r="C1267" i="2"/>
  <c r="A1267" i="2"/>
  <c r="J1266" i="2"/>
  <c r="C1266" i="2"/>
  <c r="A1266" i="2"/>
  <c r="J1265" i="2"/>
  <c r="C1265" i="2"/>
  <c r="A1265" i="2"/>
  <c r="J1264" i="2"/>
  <c r="C1264" i="2"/>
  <c r="A1264" i="2"/>
  <c r="J1263" i="2"/>
  <c r="C1263" i="2"/>
  <c r="A1263" i="2"/>
  <c r="J1262" i="2"/>
  <c r="C1262" i="2"/>
  <c r="A1262" i="2"/>
  <c r="J1261" i="2"/>
  <c r="C1261" i="2"/>
  <c r="A1261" i="2"/>
  <c r="J1260" i="2"/>
  <c r="C1260" i="2"/>
  <c r="A1260" i="2"/>
  <c r="J1259" i="2"/>
  <c r="C1259" i="2"/>
  <c r="A1259" i="2"/>
  <c r="J1258" i="2"/>
  <c r="C1258" i="2"/>
  <c r="A1258" i="2"/>
  <c r="J1257" i="2"/>
  <c r="C1257" i="2"/>
  <c r="A1257" i="2"/>
  <c r="J1256" i="2"/>
  <c r="C1256" i="2"/>
  <c r="A1256" i="2"/>
  <c r="J1255" i="2"/>
  <c r="C1255" i="2"/>
  <c r="A1255" i="2"/>
  <c r="J1254" i="2"/>
  <c r="C1254" i="2"/>
  <c r="A1254" i="2"/>
  <c r="J1253" i="2"/>
  <c r="C1253" i="2"/>
  <c r="A1253" i="2"/>
  <c r="J1252" i="2"/>
  <c r="C1252" i="2"/>
  <c r="A1252" i="2"/>
  <c r="J1251" i="2"/>
  <c r="C1251" i="2"/>
  <c r="A1251" i="2"/>
  <c r="J1250" i="2"/>
  <c r="C1250" i="2"/>
  <c r="A1250" i="2"/>
  <c r="J1249" i="2"/>
  <c r="C1249" i="2"/>
  <c r="A1249" i="2"/>
  <c r="J1248" i="2"/>
  <c r="C1248" i="2"/>
  <c r="A1248" i="2"/>
  <c r="J1247" i="2"/>
  <c r="C1247" i="2"/>
  <c r="A1247" i="2"/>
  <c r="J1246" i="2"/>
  <c r="C1246" i="2"/>
  <c r="A1246" i="2"/>
  <c r="J1245" i="2"/>
  <c r="C1245" i="2"/>
  <c r="A1245" i="2"/>
  <c r="J1244" i="2"/>
  <c r="C1244" i="2"/>
  <c r="A1244" i="2"/>
  <c r="J1243" i="2"/>
  <c r="C1243" i="2"/>
  <c r="A1243" i="2"/>
  <c r="J1242" i="2"/>
  <c r="C1242" i="2"/>
  <c r="A1242" i="2"/>
  <c r="J1241" i="2"/>
  <c r="C1241" i="2"/>
  <c r="A1241" i="2"/>
  <c r="J1240" i="2"/>
  <c r="C1240" i="2"/>
  <c r="A1240" i="2"/>
  <c r="J1239" i="2"/>
  <c r="C1239" i="2"/>
  <c r="A1239" i="2"/>
  <c r="J1238" i="2"/>
  <c r="C1238" i="2"/>
  <c r="A1238" i="2"/>
  <c r="J1237" i="2"/>
  <c r="C1237" i="2"/>
  <c r="A1237" i="2"/>
  <c r="J1236" i="2"/>
  <c r="C1236" i="2"/>
  <c r="A1236" i="2"/>
  <c r="J1235" i="2"/>
  <c r="C1235" i="2"/>
  <c r="A1235" i="2"/>
  <c r="J1234" i="2"/>
  <c r="C1234" i="2"/>
  <c r="A1234" i="2"/>
  <c r="J1233" i="2"/>
  <c r="C1233" i="2"/>
  <c r="A1233" i="2"/>
  <c r="J1232" i="2"/>
  <c r="C1232" i="2"/>
  <c r="A1232" i="2"/>
  <c r="J1231" i="2"/>
  <c r="C1231" i="2"/>
  <c r="A1231" i="2"/>
  <c r="J1230" i="2"/>
  <c r="C1230" i="2"/>
  <c r="A1230" i="2"/>
  <c r="J1229" i="2"/>
  <c r="C1229" i="2"/>
  <c r="A1229" i="2"/>
  <c r="J1228" i="2"/>
  <c r="C1228" i="2"/>
  <c r="A1228" i="2"/>
  <c r="J1227" i="2"/>
  <c r="C1227" i="2"/>
  <c r="A1227" i="2"/>
  <c r="J1226" i="2"/>
  <c r="C1226" i="2"/>
  <c r="A1226" i="2"/>
  <c r="J1225" i="2"/>
  <c r="C1225" i="2"/>
  <c r="A1225" i="2"/>
  <c r="J1224" i="2"/>
  <c r="C1224" i="2"/>
  <c r="A1224" i="2"/>
  <c r="J1223" i="2"/>
  <c r="C1223" i="2"/>
  <c r="A1223" i="2"/>
  <c r="J1222" i="2"/>
  <c r="C1222" i="2"/>
  <c r="A1222" i="2"/>
  <c r="J1221" i="2"/>
  <c r="C1221" i="2"/>
  <c r="A1221" i="2"/>
  <c r="J1220" i="2"/>
  <c r="C1220" i="2"/>
  <c r="A1220" i="2"/>
  <c r="J1219" i="2"/>
  <c r="C1219" i="2"/>
  <c r="A1219" i="2"/>
  <c r="J1218" i="2"/>
  <c r="C1218" i="2"/>
  <c r="A1218" i="2"/>
  <c r="J1217" i="2"/>
  <c r="C1217" i="2"/>
  <c r="A1217" i="2"/>
  <c r="J1216" i="2"/>
  <c r="C1216" i="2"/>
  <c r="A1216" i="2"/>
  <c r="J1215" i="2"/>
  <c r="C1215" i="2"/>
  <c r="A1215" i="2"/>
  <c r="J1214" i="2"/>
  <c r="C1214" i="2"/>
  <c r="A1214" i="2"/>
  <c r="J1213" i="2"/>
  <c r="C1213" i="2"/>
  <c r="A1213" i="2"/>
  <c r="J1212" i="2"/>
  <c r="C1212" i="2"/>
  <c r="A1212" i="2"/>
  <c r="J1211" i="2"/>
  <c r="C1211" i="2"/>
  <c r="A1211" i="2"/>
  <c r="J1210" i="2"/>
  <c r="C1210" i="2"/>
  <c r="A1210" i="2"/>
  <c r="J1209" i="2"/>
  <c r="C1209" i="2"/>
  <c r="A1209" i="2"/>
  <c r="J1208" i="2"/>
  <c r="C1208" i="2"/>
  <c r="A1208" i="2"/>
  <c r="J1207" i="2"/>
  <c r="C1207" i="2"/>
  <c r="A1207" i="2"/>
  <c r="J1206" i="2"/>
  <c r="C1206" i="2"/>
  <c r="A1206" i="2"/>
  <c r="J1205" i="2"/>
  <c r="C1205" i="2"/>
  <c r="A1205" i="2"/>
  <c r="J1204" i="2"/>
  <c r="C1204" i="2"/>
  <c r="A1204" i="2"/>
  <c r="J1203" i="2"/>
  <c r="C1203" i="2"/>
  <c r="A1203" i="2"/>
  <c r="J1202" i="2"/>
  <c r="C1202" i="2"/>
  <c r="A1202" i="2"/>
  <c r="J1201" i="2"/>
  <c r="C1201" i="2"/>
  <c r="A1201" i="2"/>
  <c r="J1200" i="2"/>
  <c r="C1200" i="2"/>
  <c r="A1200" i="2"/>
  <c r="J1199" i="2"/>
  <c r="C1199" i="2"/>
  <c r="A1199" i="2"/>
  <c r="J1198" i="2"/>
  <c r="C1198" i="2"/>
  <c r="A1198" i="2"/>
  <c r="J1197" i="2"/>
  <c r="C1197" i="2"/>
  <c r="A1197" i="2"/>
  <c r="J1196" i="2"/>
  <c r="C1196" i="2"/>
  <c r="A1196" i="2"/>
  <c r="J1195" i="2"/>
  <c r="C1195" i="2"/>
  <c r="A1195" i="2"/>
  <c r="J1194" i="2"/>
  <c r="C1194" i="2"/>
  <c r="A1194" i="2"/>
  <c r="J1193" i="2"/>
  <c r="C1193" i="2"/>
  <c r="A1193" i="2"/>
  <c r="J1192" i="2"/>
  <c r="C1192" i="2"/>
  <c r="A1192" i="2"/>
  <c r="J1191" i="2"/>
  <c r="C1191" i="2"/>
  <c r="A1191" i="2"/>
  <c r="J1190" i="2"/>
  <c r="C1190" i="2"/>
  <c r="A1190" i="2"/>
  <c r="J1189" i="2"/>
  <c r="C1189" i="2"/>
  <c r="A1189" i="2"/>
  <c r="J1188" i="2"/>
  <c r="C1188" i="2"/>
  <c r="A1188" i="2"/>
  <c r="J1187" i="2"/>
  <c r="C1187" i="2"/>
  <c r="A1187" i="2"/>
  <c r="J1186" i="2"/>
  <c r="C1186" i="2"/>
  <c r="A1186" i="2"/>
  <c r="J1185" i="2"/>
  <c r="C1185" i="2"/>
  <c r="A1185" i="2"/>
  <c r="J1184" i="2"/>
  <c r="C1184" i="2"/>
  <c r="A1184" i="2"/>
  <c r="J1183" i="2"/>
  <c r="C1183" i="2"/>
  <c r="A1183" i="2"/>
  <c r="J1182" i="2"/>
  <c r="C1182" i="2"/>
  <c r="A1182" i="2"/>
  <c r="J1181" i="2"/>
  <c r="C1181" i="2"/>
  <c r="A1181" i="2"/>
  <c r="J1180" i="2"/>
  <c r="C1180" i="2"/>
  <c r="A1180" i="2"/>
  <c r="J1179" i="2"/>
  <c r="C1179" i="2"/>
  <c r="A1179" i="2"/>
  <c r="J1178" i="2"/>
  <c r="C1178" i="2"/>
  <c r="A1178" i="2"/>
  <c r="J1177" i="2"/>
  <c r="C1177" i="2"/>
  <c r="A1177" i="2"/>
  <c r="J1176" i="2"/>
  <c r="C1176" i="2"/>
  <c r="A1176" i="2"/>
  <c r="J1175" i="2"/>
  <c r="C1175" i="2"/>
  <c r="A1175" i="2"/>
  <c r="J1174" i="2"/>
  <c r="C1174" i="2"/>
  <c r="A1174" i="2"/>
  <c r="J1173" i="2"/>
  <c r="C1173" i="2"/>
  <c r="A1173" i="2"/>
  <c r="J1172" i="2"/>
  <c r="C1172" i="2"/>
  <c r="A1172" i="2"/>
  <c r="J1171" i="2"/>
  <c r="C1171" i="2"/>
  <c r="A1171" i="2"/>
  <c r="J1170" i="2"/>
  <c r="C1170" i="2"/>
  <c r="A1170" i="2"/>
  <c r="J1169" i="2"/>
  <c r="C1169" i="2"/>
  <c r="A1169" i="2"/>
  <c r="J1168" i="2"/>
  <c r="C1168" i="2"/>
  <c r="A1168" i="2"/>
  <c r="J1167" i="2"/>
  <c r="C1167" i="2"/>
  <c r="A1167" i="2"/>
  <c r="J1166" i="2"/>
  <c r="C1166" i="2"/>
  <c r="A1166" i="2"/>
  <c r="J1165" i="2"/>
  <c r="C1165" i="2"/>
  <c r="A1165" i="2"/>
  <c r="J1164" i="2"/>
  <c r="C1164" i="2"/>
  <c r="A1164" i="2"/>
  <c r="J1163" i="2"/>
  <c r="C1163" i="2"/>
  <c r="A1163" i="2"/>
  <c r="J1162" i="2"/>
  <c r="C1162" i="2"/>
  <c r="A1162" i="2"/>
  <c r="J1161" i="2"/>
  <c r="C1161" i="2"/>
  <c r="A1161" i="2"/>
  <c r="J1160" i="2"/>
  <c r="C1160" i="2"/>
  <c r="A1160" i="2"/>
  <c r="J1159" i="2"/>
  <c r="C1159" i="2"/>
  <c r="A1159" i="2"/>
  <c r="J1158" i="2"/>
  <c r="C1158" i="2"/>
  <c r="A1158" i="2"/>
  <c r="J1157" i="2"/>
  <c r="C1157" i="2"/>
  <c r="A1157" i="2"/>
  <c r="J1156" i="2"/>
  <c r="C1156" i="2"/>
  <c r="A1156" i="2"/>
  <c r="J1155" i="2"/>
  <c r="C1155" i="2"/>
  <c r="A1155" i="2"/>
  <c r="J1154" i="2"/>
  <c r="C1154" i="2"/>
  <c r="A1154" i="2"/>
  <c r="J1153" i="2"/>
  <c r="C1153" i="2"/>
  <c r="A1153" i="2"/>
  <c r="J1152" i="2"/>
  <c r="C1152" i="2"/>
  <c r="A1152" i="2"/>
  <c r="J1151" i="2"/>
  <c r="C1151" i="2"/>
  <c r="A1151" i="2"/>
  <c r="J1150" i="2"/>
  <c r="C1150" i="2"/>
  <c r="A1150" i="2"/>
  <c r="J1149" i="2"/>
  <c r="C1149" i="2"/>
  <c r="A1149" i="2"/>
  <c r="J1148" i="2"/>
  <c r="C1148" i="2"/>
  <c r="A1148" i="2"/>
  <c r="J1147" i="2"/>
  <c r="C1147" i="2"/>
  <c r="A1147" i="2"/>
  <c r="J1146" i="2"/>
  <c r="C1146" i="2"/>
  <c r="A1146" i="2"/>
  <c r="J1145" i="2"/>
  <c r="C1145" i="2"/>
  <c r="A1145" i="2"/>
  <c r="J1144" i="2"/>
  <c r="C1144" i="2"/>
  <c r="A1144" i="2"/>
  <c r="J1143" i="2"/>
  <c r="C1143" i="2"/>
  <c r="A1143" i="2"/>
  <c r="J1142" i="2"/>
  <c r="C1142" i="2"/>
  <c r="A1142" i="2"/>
  <c r="J1141" i="2"/>
  <c r="C1141" i="2"/>
  <c r="A1141" i="2"/>
  <c r="J1140" i="2"/>
  <c r="C1140" i="2"/>
  <c r="A1140" i="2"/>
  <c r="J1139" i="2"/>
  <c r="C1139" i="2"/>
  <c r="A1139" i="2"/>
  <c r="J1138" i="2"/>
  <c r="C1138" i="2"/>
  <c r="A1138" i="2"/>
  <c r="J1137" i="2"/>
  <c r="C1137" i="2"/>
  <c r="A1137" i="2"/>
  <c r="J1136" i="2"/>
  <c r="C1136" i="2"/>
  <c r="A1136" i="2"/>
  <c r="J1135" i="2"/>
  <c r="C1135" i="2"/>
  <c r="A1135" i="2"/>
  <c r="J1134" i="2"/>
  <c r="C1134" i="2"/>
  <c r="A1134" i="2"/>
  <c r="J1133" i="2"/>
  <c r="C1133" i="2"/>
  <c r="A1133" i="2"/>
  <c r="J1132" i="2"/>
  <c r="C1132" i="2"/>
  <c r="A1132" i="2"/>
  <c r="J1131" i="2"/>
  <c r="C1131" i="2"/>
  <c r="A1131" i="2"/>
  <c r="J1130" i="2"/>
  <c r="C1130" i="2"/>
  <c r="A1130" i="2"/>
  <c r="J1129" i="2"/>
  <c r="C1129" i="2"/>
  <c r="A1129" i="2"/>
  <c r="J1128" i="2"/>
  <c r="C1128" i="2"/>
  <c r="A1128" i="2"/>
  <c r="J1127" i="2"/>
  <c r="C1127" i="2"/>
  <c r="A1127" i="2"/>
  <c r="J1126" i="2"/>
  <c r="C1126" i="2"/>
  <c r="A1126" i="2"/>
  <c r="J1125" i="2"/>
  <c r="C1125" i="2"/>
  <c r="A1125" i="2"/>
  <c r="J1124" i="2"/>
  <c r="C1124" i="2"/>
  <c r="A1124" i="2"/>
  <c r="J1123" i="2"/>
  <c r="C1123" i="2"/>
  <c r="A1123" i="2"/>
  <c r="J1122" i="2"/>
  <c r="C1122" i="2"/>
  <c r="A1122" i="2"/>
  <c r="J1121" i="2"/>
  <c r="C1121" i="2"/>
  <c r="A1121" i="2"/>
  <c r="J1120" i="2"/>
  <c r="C1120" i="2"/>
  <c r="A1120" i="2"/>
  <c r="J1119" i="2"/>
  <c r="C1119" i="2"/>
  <c r="A1119" i="2"/>
  <c r="J1118" i="2"/>
  <c r="C1118" i="2"/>
  <c r="A1118" i="2"/>
  <c r="J1117" i="2"/>
  <c r="C1117" i="2"/>
  <c r="A1117" i="2"/>
  <c r="J1116" i="2"/>
  <c r="C1116" i="2"/>
  <c r="A1116" i="2"/>
  <c r="J1115" i="2"/>
  <c r="C1115" i="2"/>
  <c r="A1115" i="2"/>
  <c r="J1114" i="2"/>
  <c r="C1114" i="2"/>
  <c r="A1114" i="2"/>
  <c r="J1113" i="2"/>
  <c r="C1113" i="2"/>
  <c r="A1113" i="2"/>
  <c r="J1112" i="2"/>
  <c r="C1112" i="2"/>
  <c r="A1112" i="2"/>
  <c r="J1111" i="2"/>
  <c r="C1111" i="2"/>
  <c r="A1111" i="2"/>
  <c r="J1110" i="2"/>
  <c r="C1110" i="2"/>
  <c r="A1110" i="2"/>
  <c r="J1109" i="2"/>
  <c r="C1109" i="2"/>
  <c r="A1109" i="2"/>
  <c r="J1108" i="2"/>
  <c r="C1108" i="2"/>
  <c r="A1108" i="2"/>
  <c r="J1107" i="2"/>
  <c r="C1107" i="2"/>
  <c r="A1107" i="2"/>
  <c r="J1106" i="2"/>
  <c r="C1106" i="2"/>
  <c r="A1106" i="2"/>
  <c r="J1105" i="2"/>
  <c r="C1105" i="2"/>
  <c r="A1105" i="2"/>
  <c r="J1104" i="2"/>
  <c r="C1104" i="2"/>
  <c r="A1104" i="2"/>
  <c r="J1103" i="2"/>
  <c r="C1103" i="2"/>
  <c r="A1103" i="2"/>
  <c r="J1102" i="2"/>
  <c r="C1102" i="2"/>
  <c r="A1102" i="2"/>
  <c r="J1101" i="2"/>
  <c r="C1101" i="2"/>
  <c r="A1101" i="2"/>
  <c r="J1100" i="2"/>
  <c r="C1100" i="2"/>
  <c r="A1100" i="2"/>
  <c r="J1099" i="2"/>
  <c r="C1099" i="2"/>
  <c r="A1099" i="2"/>
  <c r="J1098" i="2"/>
  <c r="C1098" i="2"/>
  <c r="A1098" i="2"/>
  <c r="J1097" i="2"/>
  <c r="C1097" i="2"/>
  <c r="A1097" i="2"/>
  <c r="J1096" i="2"/>
  <c r="C1096" i="2"/>
  <c r="A1096" i="2"/>
  <c r="J1095" i="2"/>
  <c r="C1095" i="2"/>
  <c r="A1095" i="2"/>
  <c r="J1094" i="2"/>
  <c r="C1094" i="2"/>
  <c r="A1094" i="2"/>
  <c r="J1093" i="2"/>
  <c r="C1093" i="2"/>
  <c r="A1093" i="2"/>
  <c r="J1092" i="2"/>
  <c r="C1092" i="2"/>
  <c r="A1092" i="2"/>
  <c r="J1091" i="2"/>
  <c r="C1091" i="2"/>
  <c r="A1091" i="2"/>
  <c r="J1090" i="2"/>
  <c r="C1090" i="2"/>
  <c r="A1090" i="2"/>
  <c r="J1089" i="2"/>
  <c r="C1089" i="2"/>
  <c r="A1089" i="2"/>
  <c r="J1088" i="2"/>
  <c r="C1088" i="2"/>
  <c r="A1088" i="2"/>
  <c r="J1087" i="2"/>
  <c r="C1087" i="2"/>
  <c r="A1087" i="2"/>
  <c r="J1086" i="2"/>
  <c r="C1086" i="2"/>
  <c r="A1086" i="2"/>
  <c r="J1085" i="2"/>
  <c r="C1085" i="2"/>
  <c r="A1085" i="2"/>
  <c r="J1084" i="2"/>
  <c r="C1084" i="2"/>
  <c r="A1084" i="2"/>
  <c r="J1083" i="2"/>
  <c r="C1083" i="2"/>
  <c r="A1083" i="2"/>
  <c r="J1082" i="2"/>
  <c r="C1082" i="2"/>
  <c r="A1082" i="2"/>
  <c r="J1081" i="2"/>
  <c r="C1081" i="2"/>
  <c r="A1081" i="2"/>
  <c r="J1080" i="2"/>
  <c r="C1080" i="2"/>
  <c r="A1080" i="2"/>
  <c r="J1079" i="2"/>
  <c r="C1079" i="2"/>
  <c r="A1079" i="2"/>
  <c r="J1078" i="2"/>
  <c r="C1078" i="2"/>
  <c r="A1078" i="2"/>
  <c r="J1077" i="2"/>
  <c r="C1077" i="2"/>
  <c r="A1077" i="2"/>
  <c r="J1076" i="2"/>
  <c r="C1076" i="2"/>
  <c r="A1076" i="2"/>
  <c r="J1075" i="2"/>
  <c r="C1075" i="2"/>
  <c r="A1075" i="2"/>
  <c r="J1074" i="2"/>
  <c r="C1074" i="2"/>
  <c r="A1074" i="2"/>
  <c r="J1073" i="2"/>
  <c r="C1073" i="2"/>
  <c r="A1073" i="2"/>
  <c r="J1072" i="2"/>
  <c r="C1072" i="2"/>
  <c r="A1072" i="2"/>
  <c r="J1071" i="2"/>
  <c r="C1071" i="2"/>
  <c r="A1071" i="2"/>
  <c r="J1070" i="2"/>
  <c r="C1070" i="2"/>
  <c r="A1070" i="2"/>
  <c r="J1069" i="2"/>
  <c r="C1069" i="2"/>
  <c r="A1069" i="2"/>
  <c r="J1068" i="2"/>
  <c r="C1068" i="2"/>
  <c r="A1068" i="2"/>
  <c r="J1067" i="2"/>
  <c r="C1067" i="2"/>
  <c r="A1067" i="2"/>
  <c r="J1066" i="2"/>
  <c r="C1066" i="2"/>
  <c r="A1066" i="2"/>
  <c r="J1065" i="2"/>
  <c r="C1065" i="2"/>
  <c r="A1065" i="2"/>
  <c r="J1064" i="2"/>
  <c r="C1064" i="2"/>
  <c r="A1064" i="2"/>
  <c r="J1063" i="2"/>
  <c r="C1063" i="2"/>
  <c r="A1063" i="2"/>
  <c r="J1062" i="2"/>
  <c r="C1062" i="2"/>
  <c r="A1062" i="2"/>
  <c r="J1061" i="2"/>
  <c r="C1061" i="2"/>
  <c r="A1061" i="2"/>
  <c r="J1060" i="2"/>
  <c r="C1060" i="2"/>
  <c r="A1060" i="2"/>
  <c r="J1059" i="2"/>
  <c r="C1059" i="2"/>
  <c r="A1059" i="2"/>
  <c r="J1058" i="2"/>
  <c r="C1058" i="2"/>
  <c r="A1058" i="2"/>
  <c r="J1057" i="2"/>
  <c r="C1057" i="2"/>
  <c r="A1057" i="2"/>
  <c r="J1056" i="2"/>
  <c r="C1056" i="2"/>
  <c r="A1056" i="2"/>
  <c r="J1055" i="2"/>
  <c r="C1055" i="2"/>
  <c r="A1055" i="2"/>
  <c r="J1054" i="2"/>
  <c r="C1054" i="2"/>
  <c r="A1054" i="2"/>
  <c r="J1053" i="2"/>
  <c r="C1053" i="2"/>
  <c r="A1053" i="2"/>
  <c r="J1052" i="2"/>
  <c r="C1052" i="2"/>
  <c r="A1052" i="2"/>
  <c r="J1051" i="2"/>
  <c r="C1051" i="2"/>
  <c r="A1051" i="2"/>
  <c r="J1050" i="2"/>
  <c r="C1050" i="2"/>
  <c r="A1050" i="2"/>
  <c r="J1049" i="2"/>
  <c r="C1049" i="2"/>
  <c r="A1049" i="2"/>
  <c r="J1048" i="2"/>
  <c r="C1048" i="2"/>
  <c r="A1048" i="2"/>
  <c r="J1047" i="2"/>
  <c r="C1047" i="2"/>
  <c r="A1047" i="2"/>
  <c r="J1046" i="2"/>
  <c r="C1046" i="2"/>
  <c r="A1046" i="2"/>
  <c r="J1045" i="2"/>
  <c r="C1045" i="2"/>
  <c r="A1045" i="2"/>
  <c r="J1044" i="2"/>
  <c r="C1044" i="2"/>
  <c r="A1044" i="2"/>
  <c r="J1043" i="2"/>
  <c r="C1043" i="2"/>
  <c r="A1043" i="2"/>
  <c r="J1042" i="2"/>
  <c r="C1042" i="2"/>
  <c r="A1042" i="2"/>
  <c r="J1041" i="2"/>
  <c r="C1041" i="2"/>
  <c r="A1041" i="2"/>
  <c r="J1040" i="2"/>
  <c r="C1040" i="2"/>
  <c r="A1040" i="2"/>
  <c r="J1039" i="2"/>
  <c r="C1039" i="2"/>
  <c r="A1039" i="2"/>
  <c r="J1038" i="2"/>
  <c r="C1038" i="2"/>
  <c r="A1038" i="2"/>
  <c r="J1037" i="2"/>
  <c r="C1037" i="2"/>
  <c r="A1037" i="2"/>
  <c r="J1036" i="2"/>
  <c r="C1036" i="2"/>
  <c r="A1036" i="2"/>
  <c r="J1035" i="2"/>
  <c r="C1035" i="2"/>
  <c r="A1035" i="2"/>
  <c r="J1034" i="2"/>
  <c r="C1034" i="2"/>
  <c r="A1034" i="2"/>
  <c r="J1033" i="2"/>
  <c r="C1033" i="2"/>
  <c r="A1033" i="2"/>
  <c r="J1032" i="2"/>
  <c r="C1032" i="2"/>
  <c r="A1032" i="2"/>
  <c r="J1031" i="2"/>
  <c r="C1031" i="2"/>
  <c r="A1031" i="2"/>
  <c r="J1030" i="2"/>
  <c r="C1030" i="2"/>
  <c r="A1030" i="2"/>
  <c r="J1029" i="2"/>
  <c r="C1029" i="2"/>
  <c r="A1029" i="2"/>
  <c r="J1028" i="2"/>
  <c r="C1028" i="2"/>
  <c r="A1028" i="2"/>
  <c r="J1027" i="2"/>
  <c r="C1027" i="2"/>
  <c r="A1027" i="2"/>
  <c r="J1026" i="2"/>
  <c r="C1026" i="2"/>
  <c r="A1026" i="2"/>
  <c r="J1025" i="2"/>
  <c r="C1025" i="2"/>
  <c r="A1025" i="2"/>
  <c r="J1024" i="2"/>
  <c r="C1024" i="2"/>
  <c r="A1024" i="2"/>
  <c r="J1023" i="2"/>
  <c r="C1023" i="2"/>
  <c r="A1023" i="2"/>
  <c r="J1022" i="2"/>
  <c r="C1022" i="2"/>
  <c r="A1022" i="2"/>
  <c r="J1021" i="2"/>
  <c r="C1021" i="2"/>
  <c r="A1021" i="2"/>
  <c r="J1020" i="2"/>
  <c r="C1020" i="2"/>
  <c r="A1020" i="2"/>
  <c r="J1019" i="2"/>
  <c r="C1019" i="2"/>
  <c r="A1019" i="2"/>
  <c r="J1018" i="2"/>
  <c r="C1018" i="2"/>
  <c r="A1018" i="2"/>
  <c r="J1017" i="2"/>
  <c r="C1017" i="2"/>
  <c r="A1017" i="2"/>
  <c r="J1016" i="2"/>
  <c r="C1016" i="2"/>
  <c r="A1016" i="2"/>
  <c r="J1015" i="2"/>
  <c r="C1015" i="2"/>
  <c r="A1015" i="2"/>
  <c r="J1014" i="2"/>
  <c r="C1014" i="2"/>
  <c r="A1014" i="2"/>
  <c r="J1013" i="2"/>
  <c r="C1013" i="2"/>
  <c r="A1013" i="2"/>
  <c r="J1012" i="2"/>
  <c r="C1012" i="2"/>
  <c r="A1012" i="2"/>
  <c r="J1011" i="2"/>
  <c r="C1011" i="2"/>
  <c r="A1011" i="2"/>
  <c r="J1010" i="2"/>
  <c r="C1010" i="2"/>
  <c r="A1010" i="2"/>
  <c r="J1009" i="2"/>
  <c r="C1009" i="2"/>
  <c r="A1009" i="2"/>
  <c r="J1008" i="2"/>
  <c r="C1008" i="2"/>
  <c r="A1008" i="2"/>
  <c r="J1007" i="2"/>
  <c r="C1007" i="2"/>
  <c r="A1007" i="2"/>
  <c r="J1006" i="2"/>
  <c r="C1006" i="2"/>
  <c r="A1006" i="2"/>
  <c r="J1005" i="2"/>
  <c r="C1005" i="2"/>
  <c r="A1005" i="2"/>
  <c r="J1004" i="2"/>
  <c r="C1004" i="2"/>
  <c r="A1004" i="2"/>
  <c r="J1003" i="2"/>
  <c r="C1003" i="2"/>
  <c r="A1003" i="2"/>
  <c r="J1002" i="2"/>
  <c r="C1002" i="2"/>
  <c r="A1002" i="2"/>
  <c r="J1001" i="2"/>
  <c r="C1001" i="2"/>
  <c r="A1001" i="2"/>
  <c r="J1000" i="2"/>
  <c r="C1000" i="2"/>
  <c r="A1000" i="2"/>
  <c r="J999" i="2"/>
  <c r="C999" i="2"/>
  <c r="A999" i="2"/>
  <c r="J998" i="2"/>
  <c r="C998" i="2"/>
  <c r="A998" i="2"/>
  <c r="J997" i="2"/>
  <c r="C997" i="2"/>
  <c r="A997" i="2"/>
  <c r="J996" i="2"/>
  <c r="C996" i="2"/>
  <c r="A996" i="2"/>
  <c r="J995" i="2"/>
  <c r="C995" i="2"/>
  <c r="A995" i="2"/>
  <c r="J994" i="2"/>
  <c r="C994" i="2"/>
  <c r="A994" i="2"/>
  <c r="J993" i="2"/>
  <c r="C993" i="2"/>
  <c r="A993" i="2"/>
  <c r="J992" i="2"/>
  <c r="C992" i="2"/>
  <c r="A992" i="2"/>
  <c r="J991" i="2"/>
  <c r="C991" i="2"/>
  <c r="A991" i="2"/>
  <c r="J990" i="2"/>
  <c r="C990" i="2"/>
  <c r="A990" i="2"/>
  <c r="J989" i="2"/>
  <c r="C989" i="2"/>
  <c r="A989" i="2"/>
  <c r="J988" i="2"/>
  <c r="C988" i="2"/>
  <c r="A988" i="2"/>
  <c r="J987" i="2"/>
  <c r="C987" i="2"/>
  <c r="A987" i="2"/>
  <c r="J986" i="2"/>
  <c r="C986" i="2"/>
  <c r="A986" i="2"/>
  <c r="J985" i="2"/>
  <c r="C985" i="2"/>
  <c r="A985" i="2"/>
  <c r="J984" i="2"/>
  <c r="C984" i="2"/>
  <c r="A984" i="2"/>
  <c r="J983" i="2"/>
  <c r="C983" i="2"/>
  <c r="A983" i="2"/>
  <c r="J982" i="2"/>
  <c r="C982" i="2"/>
  <c r="A982" i="2"/>
  <c r="J981" i="2"/>
  <c r="C981" i="2"/>
  <c r="A981" i="2"/>
  <c r="J980" i="2"/>
  <c r="C980" i="2"/>
  <c r="A980" i="2"/>
  <c r="J979" i="2"/>
  <c r="C979" i="2"/>
  <c r="A979" i="2"/>
  <c r="J978" i="2"/>
  <c r="C978" i="2"/>
  <c r="A978" i="2"/>
  <c r="J977" i="2"/>
  <c r="C977" i="2"/>
  <c r="A977" i="2"/>
  <c r="J976" i="2"/>
  <c r="C976" i="2"/>
  <c r="A976" i="2"/>
  <c r="J975" i="2"/>
  <c r="C975" i="2"/>
  <c r="A975" i="2"/>
  <c r="J974" i="2"/>
  <c r="C974" i="2"/>
  <c r="A974" i="2"/>
  <c r="J973" i="2"/>
  <c r="C973" i="2"/>
  <c r="A973" i="2"/>
  <c r="J972" i="2"/>
  <c r="C972" i="2"/>
  <c r="A972" i="2"/>
  <c r="J971" i="2"/>
  <c r="C971" i="2"/>
  <c r="A971" i="2"/>
  <c r="J970" i="2"/>
  <c r="C970" i="2"/>
  <c r="A970" i="2"/>
  <c r="J969" i="2"/>
  <c r="C969" i="2"/>
  <c r="A969" i="2"/>
  <c r="J968" i="2"/>
  <c r="C968" i="2"/>
  <c r="A968" i="2"/>
  <c r="J967" i="2"/>
  <c r="C967" i="2"/>
  <c r="A967" i="2"/>
  <c r="J966" i="2"/>
  <c r="C966" i="2"/>
  <c r="A966" i="2"/>
  <c r="J965" i="2"/>
  <c r="C965" i="2"/>
  <c r="A965" i="2"/>
  <c r="J964" i="2"/>
  <c r="C964" i="2"/>
  <c r="A964" i="2"/>
  <c r="J963" i="2"/>
  <c r="C963" i="2"/>
  <c r="A963" i="2"/>
  <c r="J962" i="2"/>
  <c r="C962" i="2"/>
  <c r="A962" i="2"/>
  <c r="J961" i="2"/>
  <c r="C961" i="2"/>
  <c r="A961" i="2"/>
  <c r="J960" i="2"/>
  <c r="C960" i="2"/>
  <c r="A960" i="2"/>
  <c r="J959" i="2"/>
  <c r="C959" i="2"/>
  <c r="A959" i="2"/>
  <c r="J958" i="2"/>
  <c r="C958" i="2"/>
  <c r="A958" i="2"/>
  <c r="J957" i="2"/>
  <c r="C957" i="2"/>
  <c r="A957" i="2"/>
  <c r="J956" i="2"/>
  <c r="C956" i="2"/>
  <c r="A956" i="2"/>
  <c r="J955" i="2"/>
  <c r="C955" i="2"/>
  <c r="A955" i="2"/>
  <c r="J954" i="2"/>
  <c r="C954" i="2"/>
  <c r="A954" i="2"/>
  <c r="J953" i="2"/>
  <c r="C953" i="2"/>
  <c r="A953" i="2"/>
  <c r="J952" i="2"/>
  <c r="C952" i="2"/>
  <c r="A952" i="2"/>
  <c r="J951" i="2"/>
  <c r="C951" i="2"/>
  <c r="A951" i="2"/>
  <c r="J950" i="2"/>
  <c r="C950" i="2"/>
  <c r="A950" i="2"/>
  <c r="J949" i="2"/>
  <c r="C949" i="2"/>
  <c r="A949" i="2"/>
  <c r="J948" i="2"/>
  <c r="C948" i="2"/>
  <c r="A948" i="2"/>
  <c r="J947" i="2"/>
  <c r="C947" i="2"/>
  <c r="A947" i="2"/>
  <c r="J946" i="2"/>
  <c r="C946" i="2"/>
  <c r="A946" i="2"/>
  <c r="J945" i="2"/>
  <c r="C945" i="2"/>
  <c r="A945" i="2"/>
  <c r="J944" i="2"/>
  <c r="C944" i="2"/>
  <c r="A944" i="2"/>
  <c r="J943" i="2"/>
  <c r="C943" i="2"/>
  <c r="A943" i="2"/>
  <c r="J942" i="2"/>
  <c r="C942" i="2"/>
  <c r="A942" i="2"/>
  <c r="J941" i="2"/>
  <c r="C941" i="2"/>
  <c r="A941" i="2"/>
  <c r="J940" i="2"/>
  <c r="C940" i="2"/>
  <c r="A940" i="2"/>
  <c r="J939" i="2"/>
  <c r="C939" i="2"/>
  <c r="A939" i="2"/>
  <c r="J938" i="2"/>
  <c r="C938" i="2"/>
  <c r="A938" i="2"/>
  <c r="J937" i="2"/>
  <c r="C937" i="2"/>
  <c r="A937" i="2"/>
  <c r="J936" i="2"/>
  <c r="C936" i="2"/>
  <c r="A936" i="2"/>
  <c r="J935" i="2"/>
  <c r="C935" i="2"/>
  <c r="A935" i="2"/>
  <c r="J934" i="2"/>
  <c r="C934" i="2"/>
  <c r="A934" i="2"/>
  <c r="J933" i="2"/>
  <c r="C933" i="2"/>
  <c r="A933" i="2"/>
  <c r="J932" i="2"/>
  <c r="C932" i="2"/>
  <c r="A932" i="2"/>
  <c r="J931" i="2"/>
  <c r="C931" i="2"/>
  <c r="A931" i="2"/>
  <c r="J930" i="2"/>
  <c r="C930" i="2"/>
  <c r="A930" i="2"/>
  <c r="J929" i="2"/>
  <c r="C929" i="2"/>
  <c r="A929" i="2"/>
  <c r="J928" i="2"/>
  <c r="C928" i="2"/>
  <c r="A928" i="2"/>
  <c r="J927" i="2"/>
  <c r="C927" i="2"/>
  <c r="A927" i="2"/>
  <c r="J926" i="2"/>
  <c r="C926" i="2"/>
  <c r="A926" i="2"/>
  <c r="J925" i="2"/>
  <c r="C925" i="2"/>
  <c r="A925" i="2"/>
  <c r="J924" i="2"/>
  <c r="C924" i="2"/>
  <c r="A924" i="2"/>
  <c r="J923" i="2"/>
  <c r="C923" i="2"/>
  <c r="A923" i="2"/>
  <c r="J922" i="2"/>
  <c r="C922" i="2"/>
  <c r="A922" i="2"/>
  <c r="J921" i="2"/>
  <c r="C921" i="2"/>
  <c r="A921" i="2"/>
  <c r="J920" i="2"/>
  <c r="C920" i="2"/>
  <c r="A920" i="2"/>
  <c r="J919" i="2"/>
  <c r="C919" i="2"/>
  <c r="A919" i="2"/>
  <c r="J918" i="2"/>
  <c r="C918" i="2"/>
  <c r="A918" i="2"/>
  <c r="J917" i="2"/>
  <c r="C917" i="2"/>
  <c r="A917" i="2"/>
  <c r="J916" i="2"/>
  <c r="C916" i="2"/>
  <c r="A916" i="2"/>
  <c r="J915" i="2"/>
  <c r="C915" i="2"/>
  <c r="A915" i="2"/>
  <c r="J914" i="2"/>
  <c r="C914" i="2"/>
  <c r="A914" i="2"/>
  <c r="J913" i="2"/>
  <c r="C913" i="2"/>
  <c r="A913" i="2"/>
  <c r="J912" i="2"/>
  <c r="C912" i="2"/>
  <c r="A912" i="2"/>
  <c r="J911" i="2"/>
  <c r="C911" i="2"/>
  <c r="A911" i="2"/>
  <c r="J910" i="2"/>
  <c r="C910" i="2"/>
  <c r="A910" i="2"/>
  <c r="J909" i="2"/>
  <c r="C909" i="2"/>
  <c r="A909" i="2"/>
  <c r="J908" i="2"/>
  <c r="C908" i="2"/>
  <c r="A908" i="2"/>
  <c r="J907" i="2"/>
  <c r="C907" i="2"/>
  <c r="A907" i="2"/>
  <c r="J906" i="2"/>
  <c r="C906" i="2"/>
  <c r="A906" i="2"/>
  <c r="J905" i="2"/>
  <c r="C905" i="2"/>
  <c r="A905" i="2"/>
  <c r="J904" i="2"/>
  <c r="C904" i="2"/>
  <c r="A904" i="2"/>
  <c r="J903" i="2"/>
  <c r="C903" i="2"/>
  <c r="A903" i="2"/>
  <c r="J902" i="2"/>
  <c r="C902" i="2"/>
  <c r="A902" i="2"/>
  <c r="J901" i="2"/>
  <c r="C901" i="2"/>
  <c r="A901" i="2"/>
  <c r="J900" i="2"/>
  <c r="C900" i="2"/>
  <c r="A900" i="2"/>
  <c r="J899" i="2"/>
  <c r="C899" i="2"/>
  <c r="A899" i="2"/>
  <c r="J898" i="2"/>
  <c r="C898" i="2"/>
  <c r="A898" i="2"/>
  <c r="J897" i="2"/>
  <c r="C897" i="2"/>
  <c r="A897" i="2"/>
  <c r="J896" i="2"/>
  <c r="C896" i="2"/>
  <c r="A896" i="2"/>
  <c r="J895" i="2"/>
  <c r="C895" i="2"/>
  <c r="A895" i="2"/>
  <c r="J894" i="2"/>
  <c r="C894" i="2"/>
  <c r="A894" i="2"/>
  <c r="J893" i="2"/>
  <c r="C893" i="2"/>
  <c r="A893" i="2"/>
  <c r="J892" i="2"/>
  <c r="C892" i="2"/>
  <c r="A892" i="2"/>
  <c r="J891" i="2"/>
  <c r="C891" i="2"/>
  <c r="A891" i="2"/>
  <c r="J890" i="2"/>
  <c r="C890" i="2"/>
  <c r="A890" i="2"/>
  <c r="J889" i="2"/>
  <c r="C889" i="2"/>
  <c r="A889" i="2"/>
  <c r="J888" i="2"/>
  <c r="C888" i="2"/>
  <c r="A888" i="2"/>
  <c r="J887" i="2"/>
  <c r="C887" i="2"/>
  <c r="A887" i="2"/>
  <c r="J886" i="2"/>
  <c r="C886" i="2"/>
  <c r="A886" i="2"/>
  <c r="J885" i="2"/>
  <c r="C885" i="2"/>
  <c r="A885" i="2"/>
  <c r="J884" i="2"/>
  <c r="C884" i="2"/>
  <c r="A884" i="2"/>
  <c r="J883" i="2"/>
  <c r="C883" i="2"/>
  <c r="A883" i="2"/>
  <c r="J882" i="2"/>
  <c r="C882" i="2"/>
  <c r="A882" i="2"/>
  <c r="J881" i="2"/>
  <c r="C881" i="2"/>
  <c r="A881" i="2"/>
  <c r="J880" i="2"/>
  <c r="C880" i="2"/>
  <c r="A880" i="2"/>
  <c r="J879" i="2"/>
  <c r="C879" i="2"/>
  <c r="A879" i="2"/>
  <c r="J878" i="2"/>
  <c r="C878" i="2"/>
  <c r="A878" i="2"/>
  <c r="J877" i="2"/>
  <c r="C877" i="2"/>
  <c r="A877" i="2"/>
  <c r="J876" i="2"/>
  <c r="C876" i="2"/>
  <c r="A876" i="2"/>
  <c r="J875" i="2"/>
  <c r="C875" i="2"/>
  <c r="A875" i="2"/>
  <c r="J874" i="2"/>
  <c r="C874" i="2"/>
  <c r="A874" i="2"/>
  <c r="J873" i="2"/>
  <c r="C873" i="2"/>
  <c r="A873" i="2"/>
  <c r="J872" i="2"/>
  <c r="C872" i="2"/>
  <c r="A872" i="2"/>
  <c r="J871" i="2"/>
  <c r="C871" i="2"/>
  <c r="A871" i="2"/>
  <c r="J870" i="2"/>
  <c r="C870" i="2"/>
  <c r="A870" i="2"/>
  <c r="J869" i="2"/>
  <c r="C869" i="2"/>
  <c r="A869" i="2"/>
  <c r="J868" i="2"/>
  <c r="C868" i="2"/>
  <c r="A868" i="2"/>
  <c r="J867" i="2"/>
  <c r="C867" i="2"/>
  <c r="A867" i="2"/>
  <c r="J866" i="2"/>
  <c r="C866" i="2"/>
  <c r="A866" i="2"/>
  <c r="J865" i="2"/>
  <c r="C865" i="2"/>
  <c r="A865" i="2"/>
  <c r="J864" i="2"/>
  <c r="C864" i="2"/>
  <c r="A864" i="2"/>
  <c r="J863" i="2"/>
  <c r="C863" i="2"/>
  <c r="A863" i="2"/>
  <c r="J862" i="2"/>
  <c r="C862" i="2"/>
  <c r="A862" i="2"/>
  <c r="J861" i="2"/>
  <c r="C861" i="2"/>
  <c r="A861" i="2"/>
  <c r="J860" i="2"/>
  <c r="C860" i="2"/>
  <c r="A860" i="2"/>
  <c r="J859" i="2"/>
  <c r="C859" i="2"/>
  <c r="A859" i="2"/>
  <c r="J858" i="2"/>
  <c r="C858" i="2"/>
  <c r="A858" i="2"/>
  <c r="J857" i="2"/>
  <c r="C857" i="2"/>
  <c r="A857" i="2"/>
  <c r="J856" i="2"/>
  <c r="C856" i="2"/>
  <c r="A856" i="2"/>
  <c r="J855" i="2"/>
  <c r="C855" i="2"/>
  <c r="A855" i="2"/>
  <c r="J854" i="2"/>
  <c r="C854" i="2"/>
  <c r="A854" i="2"/>
  <c r="J853" i="2"/>
  <c r="C853" i="2"/>
  <c r="A853" i="2"/>
  <c r="J852" i="2"/>
  <c r="C852" i="2"/>
  <c r="A852" i="2"/>
  <c r="J851" i="2"/>
  <c r="C851" i="2"/>
  <c r="A851" i="2"/>
  <c r="J850" i="2"/>
  <c r="C850" i="2"/>
  <c r="A850" i="2"/>
  <c r="J849" i="2"/>
  <c r="C849" i="2"/>
  <c r="A849" i="2"/>
  <c r="J848" i="2"/>
  <c r="C848" i="2"/>
  <c r="A848" i="2"/>
  <c r="J847" i="2"/>
  <c r="C847" i="2"/>
  <c r="A847" i="2"/>
  <c r="J846" i="2"/>
  <c r="C846" i="2"/>
  <c r="A846" i="2"/>
  <c r="J845" i="2"/>
  <c r="C845" i="2"/>
  <c r="A845" i="2"/>
  <c r="J844" i="2"/>
  <c r="C844" i="2"/>
  <c r="A844" i="2"/>
  <c r="J843" i="2"/>
  <c r="C843" i="2"/>
  <c r="A843" i="2"/>
  <c r="J842" i="2"/>
  <c r="C842" i="2"/>
  <c r="A842" i="2"/>
  <c r="J841" i="2"/>
  <c r="C841" i="2"/>
  <c r="A841" i="2"/>
  <c r="J840" i="2"/>
  <c r="C840" i="2"/>
  <c r="A840" i="2"/>
  <c r="J839" i="2"/>
  <c r="C839" i="2"/>
  <c r="A839" i="2"/>
  <c r="J838" i="2"/>
  <c r="C838" i="2"/>
  <c r="A838" i="2"/>
  <c r="J837" i="2"/>
  <c r="C837" i="2"/>
  <c r="A837" i="2"/>
  <c r="J836" i="2"/>
  <c r="C836" i="2"/>
  <c r="A836" i="2"/>
  <c r="J835" i="2"/>
  <c r="C835" i="2"/>
  <c r="A835" i="2"/>
  <c r="J834" i="2"/>
  <c r="C834" i="2"/>
  <c r="A834" i="2"/>
  <c r="J833" i="2"/>
  <c r="C833" i="2"/>
  <c r="A833" i="2"/>
  <c r="J832" i="2"/>
  <c r="C832" i="2"/>
  <c r="A832" i="2"/>
  <c r="J831" i="2"/>
  <c r="C831" i="2"/>
  <c r="A831" i="2"/>
  <c r="J830" i="2"/>
  <c r="C830" i="2"/>
  <c r="A830" i="2"/>
  <c r="J829" i="2"/>
  <c r="C829" i="2"/>
  <c r="A829" i="2"/>
  <c r="J828" i="2"/>
  <c r="C828" i="2"/>
  <c r="A828" i="2"/>
  <c r="J827" i="2"/>
  <c r="C827" i="2"/>
  <c r="A827" i="2"/>
  <c r="J826" i="2"/>
  <c r="C826" i="2"/>
  <c r="A826" i="2"/>
  <c r="J825" i="2"/>
  <c r="C825" i="2"/>
  <c r="A825" i="2"/>
  <c r="J824" i="2"/>
  <c r="C824" i="2"/>
  <c r="A824" i="2"/>
  <c r="J823" i="2"/>
  <c r="C823" i="2"/>
  <c r="A823" i="2"/>
  <c r="J822" i="2"/>
  <c r="C822" i="2"/>
  <c r="A822" i="2"/>
  <c r="J821" i="2"/>
  <c r="C821" i="2"/>
  <c r="A821" i="2"/>
  <c r="J820" i="2"/>
  <c r="C820" i="2"/>
  <c r="A820" i="2"/>
  <c r="J819" i="2"/>
  <c r="C819" i="2"/>
  <c r="A819" i="2"/>
  <c r="J818" i="2"/>
  <c r="C818" i="2"/>
  <c r="A818" i="2"/>
  <c r="J817" i="2"/>
  <c r="C817" i="2"/>
  <c r="A817" i="2"/>
  <c r="J816" i="2"/>
  <c r="C816" i="2"/>
  <c r="A816" i="2"/>
  <c r="J815" i="2"/>
  <c r="C815" i="2"/>
  <c r="A815" i="2"/>
  <c r="J814" i="2"/>
  <c r="C814" i="2"/>
  <c r="A814" i="2"/>
  <c r="J813" i="2"/>
  <c r="C813" i="2"/>
  <c r="A813" i="2"/>
  <c r="J812" i="2"/>
  <c r="C812" i="2"/>
  <c r="A812" i="2"/>
  <c r="J811" i="2"/>
  <c r="C811" i="2"/>
  <c r="A811" i="2"/>
  <c r="J810" i="2"/>
  <c r="C810" i="2"/>
  <c r="A810" i="2"/>
  <c r="J809" i="2"/>
  <c r="C809" i="2"/>
  <c r="A809" i="2"/>
  <c r="J808" i="2"/>
  <c r="C808" i="2"/>
  <c r="A808" i="2"/>
  <c r="J807" i="2"/>
  <c r="C807" i="2"/>
  <c r="A807" i="2"/>
  <c r="J806" i="2"/>
  <c r="C806" i="2"/>
  <c r="A806" i="2"/>
  <c r="J805" i="2"/>
  <c r="C805" i="2"/>
  <c r="A805" i="2"/>
  <c r="J804" i="2"/>
  <c r="C804" i="2"/>
  <c r="A804" i="2"/>
  <c r="J803" i="2"/>
  <c r="C803" i="2"/>
  <c r="A803" i="2"/>
  <c r="J802" i="2"/>
  <c r="C802" i="2"/>
  <c r="A802" i="2"/>
  <c r="J801" i="2"/>
  <c r="C801" i="2"/>
  <c r="A801" i="2"/>
  <c r="J800" i="2"/>
  <c r="C800" i="2"/>
  <c r="A800" i="2"/>
  <c r="J799" i="2"/>
  <c r="C799" i="2"/>
  <c r="A799" i="2"/>
  <c r="J798" i="2"/>
  <c r="C798" i="2"/>
  <c r="A798" i="2"/>
  <c r="J797" i="2"/>
  <c r="C797" i="2"/>
  <c r="A797" i="2"/>
  <c r="J796" i="2"/>
  <c r="C796" i="2"/>
  <c r="A796" i="2"/>
  <c r="J795" i="2"/>
  <c r="C795" i="2"/>
  <c r="A795" i="2"/>
  <c r="J794" i="2"/>
  <c r="C794" i="2"/>
  <c r="A794" i="2"/>
  <c r="J793" i="2"/>
  <c r="C793" i="2"/>
  <c r="A793" i="2"/>
  <c r="J792" i="2"/>
  <c r="C792" i="2"/>
  <c r="A792" i="2"/>
  <c r="J791" i="2"/>
  <c r="C791" i="2"/>
  <c r="A791" i="2"/>
  <c r="J790" i="2"/>
  <c r="C790" i="2"/>
  <c r="A790" i="2"/>
  <c r="J789" i="2"/>
  <c r="C789" i="2"/>
  <c r="A789" i="2"/>
  <c r="J788" i="2"/>
  <c r="C788" i="2"/>
  <c r="A788" i="2"/>
  <c r="J787" i="2"/>
  <c r="C787" i="2"/>
  <c r="A787" i="2"/>
  <c r="J786" i="2"/>
  <c r="C786" i="2"/>
  <c r="A786" i="2"/>
  <c r="J785" i="2"/>
  <c r="C785" i="2"/>
  <c r="A785" i="2"/>
  <c r="J784" i="2"/>
  <c r="C784" i="2"/>
  <c r="A784" i="2"/>
  <c r="J783" i="2"/>
  <c r="C783" i="2"/>
  <c r="A783" i="2"/>
  <c r="J782" i="2"/>
  <c r="C782" i="2"/>
  <c r="A782" i="2"/>
  <c r="J781" i="2"/>
  <c r="C781" i="2"/>
  <c r="A781" i="2"/>
  <c r="J780" i="2"/>
  <c r="C780" i="2"/>
  <c r="A780" i="2"/>
  <c r="J779" i="2"/>
  <c r="C779" i="2"/>
  <c r="A779" i="2"/>
  <c r="J778" i="2"/>
  <c r="C778" i="2"/>
  <c r="A778" i="2"/>
  <c r="J777" i="2"/>
  <c r="C777" i="2"/>
  <c r="A777" i="2"/>
  <c r="J776" i="2"/>
  <c r="C776" i="2"/>
  <c r="A776" i="2"/>
  <c r="J775" i="2"/>
  <c r="C775" i="2"/>
  <c r="A775" i="2"/>
  <c r="J774" i="2"/>
  <c r="C774" i="2"/>
  <c r="A774" i="2"/>
  <c r="J773" i="2"/>
  <c r="C773" i="2"/>
  <c r="A773" i="2"/>
  <c r="J772" i="2"/>
  <c r="C772" i="2"/>
  <c r="A772" i="2"/>
  <c r="J771" i="2"/>
  <c r="C771" i="2"/>
  <c r="A771" i="2"/>
  <c r="J770" i="2"/>
  <c r="C770" i="2"/>
  <c r="A770" i="2"/>
  <c r="J769" i="2"/>
  <c r="C769" i="2"/>
  <c r="A769" i="2"/>
  <c r="J768" i="2"/>
  <c r="C768" i="2"/>
  <c r="A768" i="2"/>
  <c r="J767" i="2"/>
  <c r="C767" i="2"/>
  <c r="A767" i="2"/>
  <c r="J766" i="2"/>
  <c r="C766" i="2"/>
  <c r="A766" i="2"/>
  <c r="J765" i="2"/>
  <c r="C765" i="2"/>
  <c r="A765" i="2"/>
  <c r="J764" i="2"/>
  <c r="C764" i="2"/>
  <c r="A764" i="2"/>
  <c r="J763" i="2"/>
  <c r="C763" i="2"/>
  <c r="A763" i="2"/>
  <c r="J762" i="2"/>
  <c r="C762" i="2"/>
  <c r="A762" i="2"/>
  <c r="J761" i="2"/>
  <c r="C761" i="2"/>
  <c r="A761" i="2"/>
  <c r="J760" i="2"/>
  <c r="C760" i="2"/>
  <c r="A760" i="2"/>
  <c r="J759" i="2"/>
  <c r="C759" i="2"/>
  <c r="A759" i="2"/>
  <c r="J758" i="2"/>
  <c r="C758" i="2"/>
  <c r="A758" i="2"/>
  <c r="J757" i="2"/>
  <c r="C757" i="2"/>
  <c r="A757" i="2"/>
  <c r="J756" i="2"/>
  <c r="C756" i="2"/>
  <c r="A756" i="2"/>
  <c r="J755" i="2"/>
  <c r="C755" i="2"/>
  <c r="A755" i="2"/>
  <c r="J754" i="2"/>
  <c r="C754" i="2"/>
  <c r="A754" i="2"/>
  <c r="J753" i="2"/>
  <c r="C753" i="2"/>
  <c r="A753" i="2"/>
  <c r="J752" i="2"/>
  <c r="C752" i="2"/>
  <c r="A752" i="2"/>
  <c r="J751" i="2"/>
  <c r="C751" i="2"/>
  <c r="A751" i="2"/>
  <c r="J750" i="2"/>
  <c r="C750" i="2"/>
  <c r="A750" i="2"/>
  <c r="J749" i="2"/>
  <c r="C749" i="2"/>
  <c r="A749" i="2"/>
  <c r="J748" i="2"/>
  <c r="C748" i="2"/>
  <c r="A748" i="2"/>
  <c r="J747" i="2"/>
  <c r="C747" i="2"/>
  <c r="A747" i="2"/>
  <c r="J746" i="2"/>
  <c r="C746" i="2"/>
  <c r="A746" i="2"/>
  <c r="J745" i="2"/>
  <c r="C745" i="2"/>
  <c r="A745" i="2"/>
  <c r="J744" i="2"/>
  <c r="C744" i="2"/>
  <c r="A744" i="2"/>
  <c r="J743" i="2"/>
  <c r="C743" i="2"/>
  <c r="A743" i="2"/>
  <c r="J742" i="2"/>
  <c r="C742" i="2"/>
  <c r="A742" i="2"/>
  <c r="J741" i="2"/>
  <c r="C741" i="2"/>
  <c r="A741" i="2"/>
  <c r="J740" i="2"/>
  <c r="C740" i="2"/>
  <c r="A740" i="2"/>
  <c r="J739" i="2"/>
  <c r="C739" i="2"/>
  <c r="A739" i="2"/>
  <c r="J738" i="2"/>
  <c r="C738" i="2"/>
  <c r="A738" i="2"/>
  <c r="J737" i="2"/>
  <c r="C737" i="2"/>
  <c r="A737" i="2"/>
  <c r="J736" i="2"/>
  <c r="C736" i="2"/>
  <c r="A736" i="2"/>
  <c r="J735" i="2"/>
  <c r="C735" i="2"/>
  <c r="A735" i="2"/>
  <c r="J734" i="2"/>
  <c r="C734" i="2"/>
  <c r="A734" i="2"/>
  <c r="J733" i="2"/>
  <c r="C733" i="2"/>
  <c r="A733" i="2"/>
  <c r="J732" i="2"/>
  <c r="C732" i="2"/>
  <c r="A732" i="2"/>
  <c r="J731" i="2"/>
  <c r="C731" i="2"/>
  <c r="A731" i="2"/>
  <c r="J730" i="2"/>
  <c r="C730" i="2"/>
  <c r="A730" i="2"/>
  <c r="J729" i="2"/>
  <c r="C729" i="2"/>
  <c r="A729" i="2"/>
  <c r="J728" i="2"/>
  <c r="C728" i="2"/>
  <c r="A728" i="2"/>
  <c r="J727" i="2"/>
  <c r="C727" i="2"/>
  <c r="A727" i="2"/>
  <c r="J726" i="2"/>
  <c r="C726" i="2"/>
  <c r="A726" i="2"/>
  <c r="J725" i="2"/>
  <c r="C725" i="2"/>
  <c r="A725" i="2"/>
  <c r="J724" i="2"/>
  <c r="C724" i="2"/>
  <c r="A724" i="2"/>
  <c r="J723" i="2"/>
  <c r="C723" i="2"/>
  <c r="A723" i="2"/>
  <c r="J722" i="2"/>
  <c r="C722" i="2"/>
  <c r="A722" i="2"/>
  <c r="J721" i="2"/>
  <c r="C721" i="2"/>
  <c r="A721" i="2"/>
  <c r="J720" i="2"/>
  <c r="C720" i="2"/>
  <c r="A720" i="2"/>
  <c r="J719" i="2"/>
  <c r="C719" i="2"/>
  <c r="A719" i="2"/>
  <c r="J718" i="2"/>
  <c r="C718" i="2"/>
  <c r="A718" i="2"/>
  <c r="J717" i="2"/>
  <c r="C717" i="2"/>
  <c r="A717" i="2"/>
  <c r="J716" i="2"/>
  <c r="C716" i="2"/>
  <c r="A716" i="2"/>
  <c r="J715" i="2"/>
  <c r="C715" i="2"/>
  <c r="A715" i="2"/>
  <c r="J714" i="2"/>
  <c r="C714" i="2"/>
  <c r="A714" i="2"/>
  <c r="J713" i="2"/>
  <c r="C713" i="2"/>
  <c r="A713" i="2"/>
  <c r="J712" i="2"/>
  <c r="C712" i="2"/>
  <c r="A712" i="2"/>
  <c r="J711" i="2"/>
  <c r="C711" i="2"/>
  <c r="A711" i="2"/>
  <c r="J710" i="2"/>
  <c r="C710" i="2"/>
  <c r="A710" i="2"/>
  <c r="J709" i="2"/>
  <c r="C709" i="2"/>
  <c r="A709" i="2"/>
  <c r="J708" i="2"/>
  <c r="C708" i="2"/>
  <c r="A708" i="2"/>
  <c r="J707" i="2"/>
  <c r="C707" i="2"/>
  <c r="A707" i="2"/>
  <c r="J706" i="2"/>
  <c r="C706" i="2"/>
  <c r="A706" i="2"/>
  <c r="J705" i="2"/>
  <c r="C705" i="2"/>
  <c r="A705" i="2"/>
  <c r="J704" i="2"/>
  <c r="C704" i="2"/>
  <c r="A704" i="2"/>
  <c r="J703" i="2"/>
  <c r="C703" i="2"/>
  <c r="A703" i="2"/>
  <c r="J702" i="2"/>
  <c r="C702" i="2"/>
  <c r="A702" i="2"/>
  <c r="J701" i="2"/>
  <c r="C701" i="2"/>
  <c r="A701" i="2"/>
  <c r="J700" i="2"/>
  <c r="C700" i="2"/>
  <c r="A700" i="2"/>
  <c r="J699" i="2"/>
  <c r="C699" i="2"/>
  <c r="A699" i="2"/>
  <c r="J698" i="2"/>
  <c r="C698" i="2"/>
  <c r="A698" i="2"/>
  <c r="J697" i="2"/>
  <c r="C697" i="2"/>
  <c r="A697" i="2"/>
  <c r="J696" i="2"/>
  <c r="C696" i="2"/>
  <c r="A696" i="2"/>
  <c r="J695" i="2"/>
  <c r="C695" i="2"/>
  <c r="A695" i="2"/>
  <c r="J694" i="2"/>
  <c r="C694" i="2"/>
  <c r="A694" i="2"/>
  <c r="J693" i="2"/>
  <c r="C693" i="2"/>
  <c r="A693" i="2"/>
  <c r="J692" i="2"/>
  <c r="C692" i="2"/>
  <c r="A692" i="2"/>
  <c r="J691" i="2"/>
  <c r="C691" i="2"/>
  <c r="A691" i="2"/>
  <c r="J690" i="2"/>
  <c r="C690" i="2"/>
  <c r="A690" i="2"/>
  <c r="J689" i="2"/>
  <c r="C689" i="2"/>
  <c r="A689" i="2"/>
  <c r="J688" i="2"/>
  <c r="C688" i="2"/>
  <c r="A688" i="2"/>
  <c r="J687" i="2"/>
  <c r="C687" i="2"/>
  <c r="A687" i="2"/>
  <c r="J686" i="2"/>
  <c r="C686" i="2"/>
  <c r="A686" i="2"/>
  <c r="J685" i="2"/>
  <c r="C685" i="2"/>
  <c r="A685" i="2"/>
  <c r="J684" i="2"/>
  <c r="C684" i="2"/>
  <c r="A684" i="2"/>
  <c r="J683" i="2"/>
  <c r="C683" i="2"/>
  <c r="A683" i="2"/>
  <c r="J682" i="2"/>
  <c r="C682" i="2"/>
  <c r="A682" i="2"/>
  <c r="J681" i="2"/>
  <c r="C681" i="2"/>
  <c r="A681" i="2"/>
  <c r="J680" i="2"/>
  <c r="C680" i="2"/>
  <c r="A680" i="2"/>
  <c r="J679" i="2"/>
  <c r="C679" i="2"/>
  <c r="A679" i="2"/>
  <c r="J678" i="2"/>
  <c r="C678" i="2"/>
  <c r="A678" i="2"/>
  <c r="J677" i="2"/>
  <c r="C677" i="2"/>
  <c r="A677" i="2"/>
  <c r="J676" i="2"/>
  <c r="C676" i="2"/>
  <c r="A676" i="2"/>
  <c r="J675" i="2"/>
  <c r="C675" i="2"/>
  <c r="A675" i="2"/>
  <c r="J674" i="2"/>
  <c r="C674" i="2"/>
  <c r="A674" i="2"/>
  <c r="J673" i="2"/>
  <c r="C673" i="2"/>
  <c r="A673" i="2"/>
  <c r="J672" i="2"/>
  <c r="C672" i="2"/>
  <c r="A672" i="2"/>
  <c r="J671" i="2"/>
  <c r="C671" i="2"/>
  <c r="A671" i="2"/>
  <c r="J670" i="2"/>
  <c r="C670" i="2"/>
  <c r="A670" i="2"/>
  <c r="J669" i="2"/>
  <c r="C669" i="2"/>
  <c r="A669" i="2"/>
  <c r="J668" i="2"/>
  <c r="C668" i="2"/>
  <c r="A668" i="2"/>
  <c r="J667" i="2"/>
  <c r="C667" i="2"/>
  <c r="A667" i="2"/>
  <c r="J666" i="2"/>
  <c r="C666" i="2"/>
  <c r="A666" i="2"/>
  <c r="J665" i="2"/>
  <c r="C665" i="2"/>
  <c r="A665" i="2"/>
  <c r="J664" i="2"/>
  <c r="C664" i="2"/>
  <c r="A664" i="2"/>
  <c r="J663" i="2"/>
  <c r="C663" i="2"/>
  <c r="A663" i="2"/>
  <c r="J662" i="2"/>
  <c r="C662" i="2"/>
  <c r="A662" i="2"/>
  <c r="J661" i="2"/>
  <c r="C661" i="2"/>
  <c r="A661" i="2"/>
  <c r="J660" i="2"/>
  <c r="C660" i="2"/>
  <c r="A660" i="2"/>
  <c r="J659" i="2"/>
  <c r="C659" i="2"/>
  <c r="A659" i="2"/>
  <c r="J658" i="2"/>
  <c r="C658" i="2"/>
  <c r="A658" i="2"/>
  <c r="J657" i="2"/>
  <c r="C657" i="2"/>
  <c r="A657" i="2"/>
  <c r="J656" i="2"/>
  <c r="C656" i="2"/>
  <c r="A656" i="2"/>
  <c r="J655" i="2"/>
  <c r="C655" i="2"/>
  <c r="A655" i="2"/>
  <c r="J654" i="2"/>
  <c r="C654" i="2"/>
  <c r="A654" i="2"/>
  <c r="J653" i="2"/>
  <c r="C653" i="2"/>
  <c r="A653" i="2"/>
  <c r="J652" i="2"/>
  <c r="C652" i="2"/>
  <c r="A652" i="2"/>
  <c r="J651" i="2"/>
  <c r="C651" i="2"/>
  <c r="A651" i="2"/>
  <c r="J650" i="2"/>
  <c r="C650" i="2"/>
  <c r="A650" i="2"/>
  <c r="J649" i="2"/>
  <c r="C649" i="2"/>
  <c r="A649" i="2"/>
  <c r="J648" i="2"/>
  <c r="C648" i="2"/>
  <c r="A648" i="2"/>
  <c r="J647" i="2"/>
  <c r="C647" i="2"/>
  <c r="A647" i="2"/>
  <c r="J646" i="2"/>
  <c r="C646" i="2"/>
  <c r="A646" i="2"/>
  <c r="J645" i="2"/>
  <c r="C645" i="2"/>
  <c r="A645" i="2"/>
  <c r="J644" i="2"/>
  <c r="C644" i="2"/>
  <c r="A644" i="2"/>
  <c r="J643" i="2"/>
  <c r="C643" i="2"/>
  <c r="A643" i="2"/>
  <c r="J642" i="2"/>
  <c r="C642" i="2"/>
  <c r="A642" i="2"/>
  <c r="J641" i="2"/>
  <c r="C641" i="2"/>
  <c r="A641" i="2"/>
  <c r="J640" i="2"/>
  <c r="C640" i="2"/>
  <c r="A640" i="2"/>
  <c r="J639" i="2"/>
  <c r="C639" i="2"/>
  <c r="A639" i="2"/>
  <c r="J638" i="2"/>
  <c r="C638" i="2"/>
  <c r="A638" i="2"/>
  <c r="J637" i="2"/>
  <c r="C637" i="2"/>
  <c r="A637" i="2"/>
  <c r="J636" i="2"/>
  <c r="C636" i="2"/>
  <c r="A636" i="2"/>
  <c r="J635" i="2"/>
  <c r="C635" i="2"/>
  <c r="A635" i="2"/>
  <c r="J634" i="2"/>
  <c r="C634" i="2"/>
  <c r="A634" i="2"/>
  <c r="J633" i="2"/>
  <c r="C633" i="2"/>
  <c r="A633" i="2"/>
  <c r="J632" i="2"/>
  <c r="C632" i="2"/>
  <c r="A632" i="2"/>
  <c r="J631" i="2"/>
  <c r="C631" i="2"/>
  <c r="A631" i="2"/>
  <c r="J630" i="2"/>
  <c r="C630" i="2"/>
  <c r="A630" i="2"/>
  <c r="J629" i="2"/>
  <c r="C629" i="2"/>
  <c r="A629" i="2"/>
  <c r="J628" i="2"/>
  <c r="C628" i="2"/>
  <c r="A628" i="2"/>
  <c r="J627" i="2"/>
  <c r="C627" i="2"/>
  <c r="A627" i="2"/>
  <c r="J626" i="2"/>
  <c r="C626" i="2"/>
  <c r="A626" i="2"/>
  <c r="J625" i="2"/>
  <c r="C625" i="2"/>
  <c r="A625" i="2"/>
  <c r="J624" i="2"/>
  <c r="C624" i="2"/>
  <c r="A624" i="2"/>
  <c r="J623" i="2"/>
  <c r="C623" i="2"/>
  <c r="A623" i="2"/>
  <c r="J622" i="2"/>
  <c r="C622" i="2"/>
  <c r="A622" i="2"/>
  <c r="J621" i="2"/>
  <c r="C621" i="2"/>
  <c r="A621" i="2"/>
  <c r="J620" i="2"/>
  <c r="C620" i="2"/>
  <c r="A620" i="2"/>
  <c r="J619" i="2"/>
  <c r="C619" i="2"/>
  <c r="A619" i="2"/>
  <c r="J618" i="2"/>
  <c r="C618" i="2"/>
  <c r="A618" i="2"/>
  <c r="J617" i="2"/>
  <c r="C617" i="2"/>
  <c r="A617" i="2"/>
  <c r="J616" i="2"/>
  <c r="C616" i="2"/>
  <c r="A616" i="2"/>
  <c r="J615" i="2"/>
  <c r="C615" i="2"/>
  <c r="A615" i="2"/>
  <c r="J614" i="2"/>
  <c r="C614" i="2"/>
  <c r="A614" i="2"/>
  <c r="J613" i="2"/>
  <c r="C613" i="2"/>
  <c r="A613" i="2"/>
  <c r="J612" i="2"/>
  <c r="C612" i="2"/>
  <c r="A612" i="2"/>
  <c r="J611" i="2"/>
  <c r="C611" i="2"/>
  <c r="A611" i="2"/>
  <c r="J610" i="2"/>
  <c r="C610" i="2"/>
  <c r="A610" i="2"/>
  <c r="J609" i="2"/>
  <c r="C609" i="2"/>
  <c r="A609" i="2"/>
  <c r="J608" i="2"/>
  <c r="C608" i="2"/>
  <c r="A608" i="2"/>
  <c r="J607" i="2"/>
  <c r="C607" i="2"/>
  <c r="A607" i="2"/>
  <c r="J606" i="2"/>
  <c r="C606" i="2"/>
  <c r="A606" i="2"/>
  <c r="J605" i="2"/>
  <c r="C605" i="2"/>
  <c r="A605" i="2"/>
  <c r="J604" i="2"/>
  <c r="C604" i="2"/>
  <c r="A604" i="2"/>
  <c r="J603" i="2"/>
  <c r="C603" i="2"/>
  <c r="A603" i="2"/>
  <c r="J602" i="2"/>
  <c r="C602" i="2"/>
  <c r="A602" i="2"/>
  <c r="J601" i="2"/>
  <c r="C601" i="2"/>
  <c r="A601" i="2"/>
  <c r="J600" i="2"/>
  <c r="C600" i="2"/>
  <c r="A600" i="2"/>
  <c r="J599" i="2"/>
  <c r="C599" i="2"/>
  <c r="A599" i="2"/>
  <c r="J598" i="2"/>
  <c r="C598" i="2"/>
  <c r="A598" i="2"/>
  <c r="J597" i="2"/>
  <c r="C597" i="2"/>
  <c r="A597" i="2"/>
  <c r="J596" i="2"/>
  <c r="C596" i="2"/>
  <c r="A596" i="2"/>
  <c r="J595" i="2"/>
  <c r="C595" i="2"/>
  <c r="A595" i="2"/>
  <c r="J594" i="2"/>
  <c r="C594" i="2"/>
  <c r="A594" i="2"/>
  <c r="J593" i="2"/>
  <c r="C593" i="2"/>
  <c r="A593" i="2"/>
  <c r="J592" i="2"/>
  <c r="C592" i="2"/>
  <c r="A592" i="2"/>
  <c r="J591" i="2"/>
  <c r="C591" i="2"/>
  <c r="A591" i="2"/>
  <c r="J590" i="2"/>
  <c r="C590" i="2"/>
  <c r="A590" i="2"/>
  <c r="J589" i="2"/>
  <c r="C589" i="2"/>
  <c r="A589" i="2"/>
  <c r="J588" i="2"/>
  <c r="C588" i="2"/>
  <c r="A588" i="2"/>
  <c r="J587" i="2"/>
  <c r="C587" i="2"/>
  <c r="A587" i="2"/>
  <c r="J586" i="2"/>
  <c r="C586" i="2"/>
  <c r="A586" i="2"/>
  <c r="J585" i="2"/>
  <c r="C585" i="2"/>
  <c r="A585" i="2"/>
  <c r="J584" i="2"/>
  <c r="C584" i="2"/>
  <c r="A584" i="2"/>
  <c r="J583" i="2"/>
  <c r="C583" i="2"/>
  <c r="A583" i="2"/>
  <c r="J582" i="2"/>
  <c r="C582" i="2"/>
  <c r="A582" i="2"/>
  <c r="J581" i="2"/>
  <c r="C581" i="2"/>
  <c r="A581" i="2"/>
  <c r="J580" i="2"/>
  <c r="C580" i="2"/>
  <c r="A580" i="2"/>
  <c r="J579" i="2"/>
  <c r="C579" i="2"/>
  <c r="A579" i="2"/>
  <c r="J578" i="2"/>
  <c r="C578" i="2"/>
  <c r="A578" i="2"/>
  <c r="J577" i="2"/>
  <c r="C577" i="2"/>
  <c r="A577" i="2"/>
  <c r="J576" i="2"/>
  <c r="C576" i="2"/>
  <c r="A576" i="2"/>
  <c r="J575" i="2"/>
  <c r="C575" i="2"/>
  <c r="A575" i="2"/>
  <c r="J574" i="2"/>
  <c r="C574" i="2"/>
  <c r="A574" i="2"/>
  <c r="J573" i="2"/>
  <c r="C573" i="2"/>
  <c r="A573" i="2"/>
  <c r="J572" i="2"/>
  <c r="C572" i="2"/>
  <c r="A572" i="2"/>
  <c r="J571" i="2"/>
  <c r="C571" i="2"/>
  <c r="A571" i="2"/>
  <c r="J570" i="2"/>
  <c r="C570" i="2"/>
  <c r="A570" i="2"/>
  <c r="J569" i="2"/>
  <c r="C569" i="2"/>
  <c r="A569" i="2"/>
  <c r="J568" i="2"/>
  <c r="C568" i="2"/>
  <c r="A568" i="2"/>
  <c r="J567" i="2"/>
  <c r="C567" i="2"/>
  <c r="A567" i="2"/>
  <c r="J566" i="2"/>
  <c r="C566" i="2"/>
  <c r="A566" i="2"/>
  <c r="J565" i="2"/>
  <c r="C565" i="2"/>
  <c r="A565" i="2"/>
  <c r="J564" i="2"/>
  <c r="C564" i="2"/>
  <c r="A564" i="2"/>
  <c r="J563" i="2"/>
  <c r="C563" i="2"/>
  <c r="A563" i="2"/>
  <c r="J562" i="2"/>
  <c r="C562" i="2"/>
  <c r="A562" i="2"/>
  <c r="J561" i="2"/>
  <c r="C561" i="2"/>
  <c r="A561" i="2"/>
  <c r="J560" i="2"/>
  <c r="C560" i="2"/>
  <c r="A560" i="2"/>
  <c r="J559" i="2"/>
  <c r="C559" i="2"/>
  <c r="A559" i="2"/>
  <c r="J558" i="2"/>
  <c r="C558" i="2"/>
  <c r="A558" i="2"/>
  <c r="J557" i="2"/>
  <c r="C557" i="2"/>
  <c r="A557" i="2"/>
  <c r="J556" i="2"/>
  <c r="C556" i="2"/>
  <c r="A556" i="2"/>
  <c r="J555" i="2"/>
  <c r="C555" i="2"/>
  <c r="A555" i="2"/>
  <c r="J554" i="2"/>
  <c r="C554" i="2"/>
  <c r="A554" i="2"/>
  <c r="J553" i="2"/>
  <c r="C553" i="2"/>
  <c r="A553" i="2"/>
  <c r="J552" i="2"/>
  <c r="C552" i="2"/>
  <c r="A552" i="2"/>
  <c r="J551" i="2"/>
  <c r="C551" i="2"/>
  <c r="A551" i="2"/>
  <c r="J550" i="2"/>
  <c r="C550" i="2"/>
  <c r="A550" i="2"/>
  <c r="J549" i="2"/>
  <c r="C549" i="2"/>
  <c r="A549" i="2"/>
  <c r="J548" i="2"/>
  <c r="C548" i="2"/>
  <c r="A548" i="2"/>
  <c r="J547" i="2"/>
  <c r="C547" i="2"/>
  <c r="A547" i="2"/>
  <c r="J546" i="2"/>
  <c r="C546" i="2"/>
  <c r="A546" i="2"/>
  <c r="J545" i="2"/>
  <c r="C545" i="2"/>
  <c r="A545" i="2"/>
  <c r="J544" i="2"/>
  <c r="C544" i="2"/>
  <c r="A544" i="2"/>
  <c r="J543" i="2"/>
  <c r="C543" i="2"/>
  <c r="A543" i="2"/>
  <c r="J542" i="2"/>
  <c r="C542" i="2"/>
  <c r="A542" i="2"/>
  <c r="J541" i="2"/>
  <c r="C541" i="2"/>
  <c r="A541" i="2"/>
  <c r="J540" i="2"/>
  <c r="C540" i="2"/>
  <c r="A540" i="2"/>
  <c r="J539" i="2"/>
  <c r="C539" i="2"/>
  <c r="A539" i="2"/>
  <c r="J538" i="2"/>
  <c r="C538" i="2"/>
  <c r="A538" i="2"/>
  <c r="J537" i="2"/>
  <c r="C537" i="2"/>
  <c r="A537" i="2"/>
  <c r="J536" i="2"/>
  <c r="C536" i="2"/>
  <c r="A536" i="2"/>
  <c r="J535" i="2"/>
  <c r="C535" i="2"/>
  <c r="A535" i="2"/>
  <c r="J534" i="2"/>
  <c r="C534" i="2"/>
  <c r="A534" i="2"/>
  <c r="J533" i="2"/>
  <c r="C533" i="2"/>
  <c r="A533" i="2"/>
  <c r="J532" i="2"/>
  <c r="C532" i="2"/>
  <c r="A532" i="2"/>
  <c r="J531" i="2"/>
  <c r="C531" i="2"/>
  <c r="A531" i="2"/>
  <c r="J530" i="2"/>
  <c r="C530" i="2"/>
  <c r="A530" i="2"/>
  <c r="J529" i="2"/>
  <c r="C529" i="2"/>
  <c r="A529" i="2"/>
  <c r="J528" i="2"/>
  <c r="C528" i="2"/>
  <c r="A528" i="2"/>
  <c r="J527" i="2"/>
  <c r="C527" i="2"/>
  <c r="A527" i="2"/>
  <c r="J526" i="2"/>
  <c r="C526" i="2"/>
  <c r="A526" i="2"/>
  <c r="J525" i="2"/>
  <c r="C525" i="2"/>
  <c r="A525" i="2"/>
  <c r="J524" i="2"/>
  <c r="C524" i="2"/>
  <c r="A524" i="2"/>
  <c r="J523" i="2"/>
  <c r="C523" i="2"/>
  <c r="A523" i="2"/>
  <c r="J522" i="2"/>
  <c r="C522" i="2"/>
  <c r="A522" i="2"/>
  <c r="J521" i="2"/>
  <c r="C521" i="2"/>
  <c r="A521" i="2"/>
  <c r="J520" i="2"/>
  <c r="C520" i="2"/>
  <c r="A520" i="2"/>
  <c r="J519" i="2"/>
  <c r="C519" i="2"/>
  <c r="A519" i="2"/>
  <c r="J518" i="2"/>
  <c r="C518" i="2"/>
  <c r="A518" i="2"/>
  <c r="J517" i="2"/>
  <c r="C517" i="2"/>
  <c r="A517" i="2"/>
  <c r="J516" i="2"/>
  <c r="C516" i="2"/>
  <c r="A516" i="2"/>
  <c r="J515" i="2"/>
  <c r="C515" i="2"/>
  <c r="A515" i="2"/>
  <c r="J514" i="2"/>
  <c r="C514" i="2"/>
  <c r="A514" i="2"/>
  <c r="J513" i="2"/>
  <c r="C513" i="2"/>
  <c r="A513" i="2"/>
  <c r="J512" i="2"/>
  <c r="C512" i="2"/>
  <c r="A512" i="2"/>
  <c r="J511" i="2"/>
  <c r="C511" i="2"/>
  <c r="A511" i="2"/>
  <c r="J510" i="2"/>
  <c r="C510" i="2"/>
  <c r="A510" i="2"/>
  <c r="J509" i="2"/>
  <c r="C509" i="2"/>
  <c r="A509" i="2"/>
  <c r="J508" i="2"/>
  <c r="C508" i="2"/>
  <c r="A508" i="2"/>
  <c r="J507" i="2"/>
  <c r="C507" i="2"/>
  <c r="A507" i="2"/>
  <c r="J506" i="2"/>
  <c r="C506" i="2"/>
  <c r="A506" i="2"/>
  <c r="J505" i="2"/>
  <c r="C505" i="2"/>
  <c r="A505" i="2"/>
  <c r="J504" i="2"/>
  <c r="C504" i="2"/>
  <c r="A504" i="2"/>
  <c r="J503" i="2"/>
  <c r="C503" i="2"/>
  <c r="A503" i="2"/>
  <c r="J502" i="2"/>
  <c r="C502" i="2"/>
  <c r="A502" i="2"/>
  <c r="J501" i="2"/>
  <c r="C501" i="2"/>
  <c r="A501" i="2"/>
  <c r="J500" i="2"/>
  <c r="C500" i="2"/>
  <c r="A500" i="2"/>
  <c r="J499" i="2"/>
  <c r="C499" i="2"/>
  <c r="A499" i="2"/>
  <c r="J498" i="2"/>
  <c r="C498" i="2"/>
  <c r="A498" i="2"/>
  <c r="J497" i="2"/>
  <c r="C497" i="2"/>
  <c r="A497" i="2"/>
  <c r="J496" i="2"/>
  <c r="C496" i="2"/>
  <c r="A496" i="2"/>
  <c r="J495" i="2"/>
  <c r="C495" i="2"/>
  <c r="A495" i="2"/>
  <c r="J494" i="2"/>
  <c r="C494" i="2"/>
  <c r="A494" i="2"/>
  <c r="J493" i="2"/>
  <c r="C493" i="2"/>
  <c r="A493" i="2"/>
  <c r="J492" i="2"/>
  <c r="C492" i="2"/>
  <c r="A492" i="2"/>
  <c r="J491" i="2"/>
  <c r="C491" i="2"/>
  <c r="A491" i="2"/>
  <c r="J490" i="2"/>
  <c r="C490" i="2"/>
  <c r="A490" i="2"/>
  <c r="J489" i="2"/>
  <c r="C489" i="2"/>
  <c r="A489" i="2"/>
  <c r="J488" i="2"/>
  <c r="C488" i="2"/>
  <c r="A488" i="2"/>
  <c r="J487" i="2"/>
  <c r="C487" i="2"/>
  <c r="A487" i="2"/>
  <c r="J486" i="2"/>
  <c r="C486" i="2"/>
  <c r="A486" i="2"/>
  <c r="J485" i="2"/>
  <c r="C485" i="2"/>
  <c r="A485" i="2"/>
  <c r="J484" i="2"/>
  <c r="C484" i="2"/>
  <c r="A484" i="2"/>
  <c r="J483" i="2"/>
  <c r="C483" i="2"/>
  <c r="A483" i="2"/>
  <c r="J482" i="2"/>
  <c r="C482" i="2"/>
  <c r="A482" i="2"/>
  <c r="J481" i="2"/>
  <c r="C481" i="2"/>
  <c r="A481" i="2"/>
  <c r="J480" i="2"/>
  <c r="C480" i="2"/>
  <c r="A480" i="2"/>
  <c r="J479" i="2"/>
  <c r="C479" i="2"/>
  <c r="A479" i="2"/>
  <c r="J478" i="2"/>
  <c r="C478" i="2"/>
  <c r="A478" i="2"/>
  <c r="J477" i="2"/>
  <c r="C477" i="2"/>
  <c r="A477" i="2"/>
  <c r="J476" i="2"/>
  <c r="C476" i="2"/>
  <c r="A476" i="2"/>
  <c r="J475" i="2"/>
  <c r="C475" i="2"/>
  <c r="A475" i="2"/>
  <c r="J474" i="2"/>
  <c r="C474" i="2"/>
  <c r="A474" i="2"/>
  <c r="J473" i="2"/>
  <c r="C473" i="2"/>
  <c r="A473" i="2"/>
  <c r="J472" i="2"/>
  <c r="C472" i="2"/>
  <c r="A472" i="2"/>
  <c r="J471" i="2"/>
  <c r="C471" i="2"/>
  <c r="A471" i="2"/>
  <c r="J470" i="2"/>
  <c r="C470" i="2"/>
  <c r="A470" i="2"/>
  <c r="J469" i="2"/>
  <c r="C469" i="2"/>
  <c r="A469" i="2"/>
  <c r="J468" i="2"/>
  <c r="C468" i="2"/>
  <c r="A468" i="2"/>
  <c r="J467" i="2"/>
  <c r="C467" i="2"/>
  <c r="A467" i="2"/>
  <c r="J466" i="2"/>
  <c r="C466" i="2"/>
  <c r="A466" i="2"/>
  <c r="J465" i="2"/>
  <c r="C465" i="2"/>
  <c r="A465" i="2"/>
  <c r="J464" i="2"/>
  <c r="C464" i="2"/>
  <c r="A464" i="2"/>
  <c r="J463" i="2"/>
  <c r="C463" i="2"/>
  <c r="A463" i="2"/>
  <c r="J462" i="2"/>
  <c r="C462" i="2"/>
  <c r="A462" i="2"/>
  <c r="J461" i="2"/>
  <c r="C461" i="2"/>
  <c r="A461" i="2"/>
  <c r="J460" i="2"/>
  <c r="C460" i="2"/>
  <c r="A460" i="2"/>
  <c r="J459" i="2"/>
  <c r="C459" i="2"/>
  <c r="A459" i="2"/>
  <c r="J458" i="2"/>
  <c r="C458" i="2"/>
  <c r="A458" i="2"/>
  <c r="J457" i="2"/>
  <c r="C457" i="2"/>
  <c r="A457" i="2"/>
  <c r="J456" i="2"/>
  <c r="C456" i="2"/>
  <c r="A456" i="2"/>
  <c r="J455" i="2"/>
  <c r="C455" i="2"/>
  <c r="A455" i="2"/>
  <c r="J454" i="2"/>
  <c r="C454" i="2"/>
  <c r="A454" i="2"/>
  <c r="J453" i="2"/>
  <c r="C453" i="2"/>
  <c r="A453" i="2"/>
  <c r="J452" i="2"/>
  <c r="C452" i="2"/>
  <c r="A452" i="2"/>
  <c r="J451" i="2"/>
  <c r="C451" i="2"/>
  <c r="A451" i="2"/>
  <c r="J450" i="2"/>
  <c r="C450" i="2"/>
  <c r="A450" i="2"/>
  <c r="J449" i="2"/>
  <c r="C449" i="2"/>
  <c r="A449" i="2"/>
  <c r="J448" i="2"/>
  <c r="C448" i="2"/>
  <c r="A448" i="2"/>
  <c r="J447" i="2"/>
  <c r="C447" i="2"/>
  <c r="A447" i="2"/>
  <c r="J446" i="2"/>
  <c r="C446" i="2"/>
  <c r="A446" i="2"/>
  <c r="J445" i="2"/>
  <c r="C445" i="2"/>
  <c r="A445" i="2"/>
  <c r="J444" i="2"/>
  <c r="C444" i="2"/>
  <c r="A444" i="2"/>
  <c r="J443" i="2"/>
  <c r="C443" i="2"/>
  <c r="A443" i="2"/>
  <c r="J442" i="2"/>
  <c r="C442" i="2"/>
  <c r="A442" i="2"/>
  <c r="J441" i="2"/>
  <c r="C441" i="2"/>
  <c r="A441" i="2"/>
  <c r="J440" i="2"/>
  <c r="C440" i="2"/>
  <c r="A440" i="2"/>
  <c r="J439" i="2"/>
  <c r="C439" i="2"/>
  <c r="A439" i="2"/>
  <c r="J438" i="2"/>
  <c r="C438" i="2"/>
  <c r="A438" i="2"/>
  <c r="J437" i="2"/>
  <c r="C437" i="2"/>
  <c r="A437" i="2"/>
  <c r="J436" i="2"/>
  <c r="C436" i="2"/>
  <c r="A436" i="2"/>
  <c r="J435" i="2"/>
  <c r="C435" i="2"/>
  <c r="A435" i="2"/>
  <c r="J434" i="2"/>
  <c r="C434" i="2"/>
  <c r="A434" i="2"/>
  <c r="J433" i="2"/>
  <c r="C433" i="2"/>
  <c r="A433" i="2"/>
  <c r="J432" i="2"/>
  <c r="C432" i="2"/>
  <c r="A432" i="2"/>
  <c r="J431" i="2"/>
  <c r="C431" i="2"/>
  <c r="A431" i="2"/>
  <c r="J430" i="2"/>
  <c r="C430" i="2"/>
  <c r="A430" i="2"/>
  <c r="J429" i="2"/>
  <c r="C429" i="2"/>
  <c r="A429" i="2"/>
  <c r="J428" i="2"/>
  <c r="C428" i="2"/>
  <c r="A428" i="2"/>
  <c r="J427" i="2"/>
  <c r="C427" i="2"/>
  <c r="A427" i="2"/>
  <c r="J426" i="2"/>
  <c r="C426" i="2"/>
  <c r="A426" i="2"/>
  <c r="J425" i="2"/>
  <c r="C425" i="2"/>
  <c r="A425" i="2"/>
  <c r="J424" i="2"/>
  <c r="C424" i="2"/>
  <c r="A424" i="2"/>
  <c r="J423" i="2"/>
  <c r="C423" i="2"/>
  <c r="A423" i="2"/>
  <c r="J422" i="2"/>
  <c r="C422" i="2"/>
  <c r="A422" i="2"/>
  <c r="J421" i="2"/>
  <c r="C421" i="2"/>
  <c r="A421" i="2"/>
  <c r="J420" i="2"/>
  <c r="C420" i="2"/>
  <c r="A420" i="2"/>
  <c r="J419" i="2"/>
  <c r="C419" i="2"/>
  <c r="A419" i="2"/>
  <c r="J418" i="2"/>
  <c r="C418" i="2"/>
  <c r="A418" i="2"/>
  <c r="J417" i="2"/>
  <c r="C417" i="2"/>
  <c r="A417" i="2"/>
  <c r="J416" i="2"/>
  <c r="C416" i="2"/>
  <c r="A416" i="2"/>
  <c r="J415" i="2"/>
  <c r="C415" i="2"/>
  <c r="A415" i="2"/>
  <c r="J414" i="2"/>
  <c r="C414" i="2"/>
  <c r="A414" i="2"/>
  <c r="J413" i="2"/>
  <c r="C413" i="2"/>
  <c r="A413" i="2"/>
  <c r="J412" i="2"/>
  <c r="C412" i="2"/>
  <c r="A412" i="2"/>
  <c r="J411" i="2"/>
  <c r="C411" i="2"/>
  <c r="A411" i="2"/>
  <c r="J410" i="2"/>
  <c r="C410" i="2"/>
  <c r="A410" i="2"/>
  <c r="J409" i="2"/>
  <c r="C409" i="2"/>
  <c r="A409" i="2"/>
  <c r="J408" i="2"/>
  <c r="C408" i="2"/>
  <c r="A408" i="2"/>
  <c r="J407" i="2"/>
  <c r="C407" i="2"/>
  <c r="A407" i="2"/>
  <c r="J406" i="2"/>
  <c r="C406" i="2"/>
  <c r="A406" i="2"/>
  <c r="J405" i="2"/>
  <c r="C405" i="2"/>
  <c r="A405" i="2"/>
  <c r="J404" i="2"/>
  <c r="C404" i="2"/>
  <c r="A404" i="2"/>
  <c r="J403" i="2"/>
  <c r="C403" i="2"/>
  <c r="A403" i="2"/>
  <c r="J402" i="2"/>
  <c r="C402" i="2"/>
  <c r="A402" i="2"/>
  <c r="J401" i="2"/>
  <c r="C401" i="2"/>
  <c r="A401" i="2"/>
  <c r="J400" i="2"/>
  <c r="C400" i="2"/>
  <c r="A400" i="2"/>
  <c r="J399" i="2"/>
  <c r="C399" i="2"/>
  <c r="A399" i="2"/>
  <c r="J398" i="2"/>
  <c r="C398" i="2"/>
  <c r="A398" i="2"/>
  <c r="J397" i="2"/>
  <c r="C397" i="2"/>
  <c r="A397" i="2"/>
  <c r="J396" i="2"/>
  <c r="C396" i="2"/>
  <c r="A396" i="2"/>
  <c r="J395" i="2"/>
  <c r="C395" i="2"/>
  <c r="A395" i="2"/>
  <c r="J394" i="2"/>
  <c r="C394" i="2"/>
  <c r="A394" i="2"/>
  <c r="J393" i="2"/>
  <c r="C393" i="2"/>
  <c r="A393" i="2"/>
  <c r="J392" i="2"/>
  <c r="C392" i="2"/>
  <c r="A392" i="2"/>
  <c r="J391" i="2"/>
  <c r="C391" i="2"/>
  <c r="A391" i="2"/>
  <c r="J390" i="2"/>
  <c r="C390" i="2"/>
  <c r="A390" i="2"/>
  <c r="J389" i="2"/>
  <c r="C389" i="2"/>
  <c r="A389" i="2"/>
  <c r="J388" i="2"/>
  <c r="C388" i="2"/>
  <c r="A388" i="2"/>
  <c r="J387" i="2"/>
  <c r="C387" i="2"/>
  <c r="A387" i="2"/>
  <c r="J386" i="2"/>
  <c r="C386" i="2"/>
  <c r="A386" i="2"/>
  <c r="J385" i="2"/>
  <c r="C385" i="2"/>
  <c r="A385" i="2"/>
  <c r="J384" i="2"/>
  <c r="C384" i="2"/>
  <c r="A384" i="2"/>
  <c r="J383" i="2"/>
  <c r="C383" i="2"/>
  <c r="A383" i="2"/>
  <c r="J382" i="2"/>
  <c r="C382" i="2"/>
  <c r="A382" i="2"/>
  <c r="J381" i="2"/>
  <c r="C381" i="2"/>
  <c r="A381" i="2"/>
  <c r="J380" i="2"/>
  <c r="C380" i="2"/>
  <c r="A380" i="2"/>
  <c r="J379" i="2"/>
  <c r="C379" i="2"/>
  <c r="A379" i="2"/>
  <c r="J378" i="2"/>
  <c r="C378" i="2"/>
  <c r="A378" i="2"/>
  <c r="J377" i="2"/>
  <c r="C377" i="2"/>
  <c r="A377" i="2"/>
  <c r="J376" i="2"/>
  <c r="C376" i="2"/>
  <c r="A376" i="2"/>
  <c r="J375" i="2"/>
  <c r="C375" i="2"/>
  <c r="A375" i="2"/>
  <c r="J374" i="2"/>
  <c r="C374" i="2"/>
  <c r="A374" i="2"/>
  <c r="J373" i="2"/>
  <c r="C373" i="2"/>
  <c r="A373" i="2"/>
  <c r="J372" i="2"/>
  <c r="C372" i="2"/>
  <c r="A372" i="2"/>
  <c r="J371" i="2"/>
  <c r="C371" i="2"/>
  <c r="A371" i="2"/>
  <c r="J370" i="2"/>
  <c r="C370" i="2"/>
  <c r="A370" i="2"/>
  <c r="J369" i="2"/>
  <c r="C369" i="2"/>
  <c r="A369" i="2"/>
  <c r="J368" i="2"/>
  <c r="C368" i="2"/>
  <c r="A368" i="2"/>
  <c r="J367" i="2"/>
  <c r="C367" i="2"/>
  <c r="A367" i="2"/>
  <c r="J366" i="2"/>
  <c r="C366" i="2"/>
  <c r="A366" i="2"/>
  <c r="J365" i="2"/>
  <c r="C365" i="2"/>
  <c r="A365" i="2"/>
  <c r="J364" i="2"/>
  <c r="C364" i="2"/>
  <c r="A364" i="2"/>
  <c r="J363" i="2"/>
  <c r="C363" i="2"/>
  <c r="A363" i="2"/>
  <c r="J362" i="2"/>
  <c r="C362" i="2"/>
  <c r="A362" i="2"/>
  <c r="J361" i="2"/>
  <c r="C361" i="2"/>
  <c r="A361" i="2"/>
  <c r="J360" i="2"/>
  <c r="C360" i="2"/>
  <c r="A360" i="2"/>
  <c r="J359" i="2"/>
  <c r="C359" i="2"/>
  <c r="A359" i="2"/>
  <c r="J358" i="2"/>
  <c r="C358" i="2"/>
  <c r="A358" i="2"/>
  <c r="J357" i="2"/>
  <c r="C357" i="2"/>
  <c r="A357" i="2"/>
  <c r="J356" i="2"/>
  <c r="C356" i="2"/>
  <c r="A356" i="2"/>
  <c r="J355" i="2"/>
  <c r="C355" i="2"/>
  <c r="A355" i="2"/>
  <c r="J354" i="2"/>
  <c r="C354" i="2"/>
  <c r="A354" i="2"/>
  <c r="J353" i="2"/>
  <c r="C353" i="2"/>
  <c r="A353" i="2"/>
  <c r="J352" i="2"/>
  <c r="C352" i="2"/>
  <c r="A352" i="2"/>
  <c r="J351" i="2"/>
  <c r="C351" i="2"/>
  <c r="A351" i="2"/>
  <c r="J350" i="2"/>
  <c r="C350" i="2"/>
  <c r="A350" i="2"/>
  <c r="J349" i="2"/>
  <c r="C349" i="2"/>
  <c r="A349" i="2"/>
  <c r="J348" i="2"/>
  <c r="C348" i="2"/>
  <c r="A348" i="2"/>
  <c r="J347" i="2"/>
  <c r="C347" i="2"/>
  <c r="A347" i="2"/>
  <c r="J346" i="2"/>
  <c r="C346" i="2"/>
  <c r="A346" i="2"/>
  <c r="J345" i="2"/>
  <c r="C345" i="2"/>
  <c r="A345" i="2"/>
  <c r="J344" i="2"/>
  <c r="C344" i="2"/>
  <c r="A344" i="2"/>
  <c r="J343" i="2"/>
  <c r="C343" i="2"/>
  <c r="A343" i="2"/>
  <c r="J342" i="2"/>
  <c r="C342" i="2"/>
  <c r="A342" i="2"/>
  <c r="J341" i="2"/>
  <c r="C341" i="2"/>
  <c r="A341" i="2"/>
  <c r="J340" i="2"/>
  <c r="C340" i="2"/>
  <c r="A340" i="2"/>
  <c r="J339" i="2"/>
  <c r="C339" i="2"/>
  <c r="A339" i="2"/>
  <c r="J338" i="2"/>
  <c r="C338" i="2"/>
  <c r="A338" i="2"/>
  <c r="J337" i="2"/>
  <c r="C337" i="2"/>
  <c r="A337" i="2"/>
  <c r="J336" i="2"/>
  <c r="C336" i="2"/>
  <c r="A336" i="2"/>
  <c r="J335" i="2"/>
  <c r="C335" i="2"/>
  <c r="A335" i="2"/>
  <c r="J334" i="2"/>
  <c r="C334" i="2"/>
  <c r="A334" i="2"/>
  <c r="J333" i="2"/>
  <c r="C333" i="2"/>
  <c r="A333" i="2"/>
  <c r="J332" i="2"/>
  <c r="C332" i="2"/>
  <c r="A332" i="2"/>
  <c r="J331" i="2"/>
  <c r="C331" i="2"/>
  <c r="A331" i="2"/>
  <c r="J330" i="2"/>
  <c r="C330" i="2"/>
  <c r="A330" i="2"/>
  <c r="J329" i="2"/>
  <c r="C329" i="2"/>
  <c r="A329" i="2"/>
  <c r="J328" i="2"/>
  <c r="C328" i="2"/>
  <c r="A328" i="2"/>
  <c r="J327" i="2"/>
  <c r="C327" i="2"/>
  <c r="A327" i="2"/>
  <c r="J326" i="2"/>
  <c r="C326" i="2"/>
  <c r="A326" i="2"/>
  <c r="J325" i="2"/>
  <c r="C325" i="2"/>
  <c r="A325" i="2"/>
  <c r="J324" i="2"/>
  <c r="C324" i="2"/>
  <c r="A324" i="2"/>
  <c r="J323" i="2"/>
  <c r="C323" i="2"/>
  <c r="A323" i="2"/>
  <c r="J322" i="2"/>
  <c r="C322" i="2"/>
  <c r="A322" i="2"/>
  <c r="J321" i="2"/>
  <c r="C321" i="2"/>
  <c r="A321" i="2"/>
  <c r="J320" i="2"/>
  <c r="C320" i="2"/>
  <c r="A320" i="2"/>
  <c r="J319" i="2"/>
  <c r="C319" i="2"/>
  <c r="A319" i="2"/>
  <c r="J318" i="2"/>
  <c r="C318" i="2"/>
  <c r="A318" i="2"/>
  <c r="J317" i="2"/>
  <c r="C317" i="2"/>
  <c r="A317" i="2"/>
  <c r="J316" i="2"/>
  <c r="C316" i="2"/>
  <c r="A316" i="2"/>
  <c r="J315" i="2"/>
  <c r="C315" i="2"/>
  <c r="A315" i="2"/>
  <c r="J314" i="2"/>
  <c r="C314" i="2"/>
  <c r="A314" i="2"/>
  <c r="J313" i="2"/>
  <c r="C313" i="2"/>
  <c r="A313" i="2"/>
  <c r="J312" i="2"/>
  <c r="C312" i="2"/>
  <c r="A312" i="2"/>
  <c r="J311" i="2"/>
  <c r="C311" i="2"/>
  <c r="A311" i="2"/>
  <c r="J310" i="2"/>
  <c r="C310" i="2"/>
  <c r="A310" i="2"/>
  <c r="J309" i="2"/>
  <c r="C309" i="2"/>
  <c r="A309" i="2"/>
  <c r="J308" i="2"/>
  <c r="C308" i="2"/>
  <c r="A308" i="2"/>
  <c r="J307" i="2"/>
  <c r="C307" i="2"/>
  <c r="A307" i="2"/>
  <c r="J306" i="2"/>
  <c r="C306" i="2"/>
  <c r="A306" i="2"/>
  <c r="J305" i="2"/>
  <c r="C305" i="2"/>
  <c r="A305" i="2"/>
  <c r="J304" i="2"/>
  <c r="C304" i="2"/>
  <c r="A304" i="2"/>
  <c r="J303" i="2"/>
  <c r="C303" i="2"/>
  <c r="A303" i="2"/>
  <c r="J302" i="2"/>
  <c r="C302" i="2"/>
  <c r="A302" i="2"/>
  <c r="J301" i="2"/>
  <c r="C301" i="2"/>
  <c r="A301" i="2"/>
  <c r="J300" i="2"/>
  <c r="C300" i="2"/>
  <c r="A300" i="2"/>
  <c r="J299" i="2"/>
  <c r="C299" i="2"/>
  <c r="A299" i="2"/>
  <c r="J298" i="2"/>
  <c r="C298" i="2"/>
  <c r="A298" i="2"/>
  <c r="J297" i="2"/>
  <c r="C297" i="2"/>
  <c r="A297" i="2"/>
  <c r="J296" i="2"/>
  <c r="C296" i="2"/>
  <c r="A296" i="2"/>
  <c r="J295" i="2"/>
  <c r="C295" i="2"/>
  <c r="A295" i="2"/>
  <c r="J294" i="2"/>
  <c r="C294" i="2"/>
  <c r="A294" i="2"/>
  <c r="J293" i="2"/>
  <c r="C293" i="2"/>
  <c r="A293" i="2"/>
  <c r="J292" i="2"/>
  <c r="C292" i="2"/>
  <c r="A292" i="2"/>
  <c r="J291" i="2"/>
  <c r="C291" i="2"/>
  <c r="A291" i="2"/>
  <c r="J290" i="2"/>
  <c r="C290" i="2"/>
  <c r="A290" i="2"/>
  <c r="J289" i="2"/>
  <c r="C289" i="2"/>
  <c r="A289" i="2"/>
  <c r="J288" i="2"/>
  <c r="C288" i="2"/>
  <c r="A288" i="2"/>
  <c r="J287" i="2"/>
  <c r="C287" i="2"/>
  <c r="A287" i="2"/>
  <c r="J286" i="2"/>
  <c r="C286" i="2"/>
  <c r="A286" i="2"/>
  <c r="J285" i="2"/>
  <c r="C285" i="2"/>
  <c r="A285" i="2"/>
  <c r="J284" i="2"/>
  <c r="C284" i="2"/>
  <c r="A284" i="2"/>
  <c r="J283" i="2"/>
  <c r="C283" i="2"/>
  <c r="A283" i="2"/>
  <c r="J282" i="2"/>
  <c r="C282" i="2"/>
  <c r="A282" i="2"/>
  <c r="J281" i="2"/>
  <c r="C281" i="2"/>
  <c r="A281" i="2"/>
  <c r="J280" i="2"/>
  <c r="C280" i="2"/>
  <c r="A280" i="2"/>
  <c r="J279" i="2"/>
  <c r="C279" i="2"/>
  <c r="A279" i="2"/>
  <c r="J278" i="2"/>
  <c r="C278" i="2"/>
  <c r="A278" i="2"/>
  <c r="J277" i="2"/>
  <c r="C277" i="2"/>
  <c r="A277" i="2"/>
  <c r="J276" i="2"/>
  <c r="C276" i="2"/>
  <c r="A276" i="2"/>
  <c r="J275" i="2"/>
  <c r="C275" i="2"/>
  <c r="A275" i="2"/>
  <c r="J274" i="2"/>
  <c r="C274" i="2"/>
  <c r="A274" i="2"/>
  <c r="J273" i="2"/>
  <c r="C273" i="2"/>
  <c r="A273" i="2"/>
  <c r="J272" i="2"/>
  <c r="C272" i="2"/>
  <c r="A272" i="2"/>
  <c r="J271" i="2"/>
  <c r="C271" i="2"/>
  <c r="A271" i="2"/>
  <c r="J270" i="2"/>
  <c r="C270" i="2"/>
  <c r="A270" i="2"/>
  <c r="J269" i="2"/>
  <c r="C269" i="2"/>
  <c r="A269" i="2"/>
  <c r="J268" i="2"/>
  <c r="C268" i="2"/>
  <c r="A268" i="2"/>
  <c r="J267" i="2"/>
  <c r="C267" i="2"/>
  <c r="A267" i="2"/>
  <c r="J266" i="2"/>
  <c r="I266" i="2"/>
  <c r="C266" i="2"/>
  <c r="A266" i="2"/>
  <c r="J265" i="2"/>
  <c r="C265" i="2"/>
  <c r="A265" i="2"/>
  <c r="J264" i="2"/>
  <c r="I264" i="2"/>
  <c r="C264" i="2"/>
  <c r="A264" i="2"/>
  <c r="J263" i="2"/>
  <c r="C263" i="2"/>
  <c r="A263" i="2"/>
  <c r="J262" i="2"/>
  <c r="C262" i="2"/>
  <c r="A262" i="2"/>
  <c r="J261" i="2"/>
  <c r="C261" i="2"/>
  <c r="A261" i="2"/>
  <c r="J260" i="2"/>
  <c r="C260" i="2"/>
  <c r="A260" i="2"/>
  <c r="J259" i="2"/>
  <c r="C259" i="2"/>
  <c r="A259" i="2"/>
  <c r="J258" i="2"/>
  <c r="C258" i="2"/>
  <c r="A258" i="2"/>
  <c r="J257" i="2"/>
  <c r="C257" i="2"/>
  <c r="A257" i="2"/>
  <c r="J256" i="2"/>
  <c r="C256" i="2"/>
  <c r="A256" i="2"/>
  <c r="J255" i="2"/>
  <c r="C255" i="2"/>
  <c r="A255" i="2"/>
  <c r="J254" i="2"/>
  <c r="C254" i="2"/>
  <c r="A254" i="2"/>
  <c r="J253" i="2"/>
  <c r="C253" i="2"/>
  <c r="A253" i="2"/>
  <c r="J252" i="2"/>
  <c r="C252" i="2"/>
  <c r="A252" i="2"/>
  <c r="J251" i="2"/>
  <c r="C251" i="2"/>
  <c r="A251" i="2"/>
  <c r="J250" i="2"/>
  <c r="C250" i="2"/>
  <c r="A250" i="2"/>
  <c r="J249" i="2"/>
  <c r="C249" i="2"/>
  <c r="A249" i="2"/>
  <c r="J248" i="2"/>
  <c r="C248" i="2"/>
  <c r="A248" i="2"/>
  <c r="J247" i="2"/>
  <c r="C247" i="2"/>
  <c r="A247" i="2"/>
  <c r="J246" i="2"/>
  <c r="C246" i="2"/>
  <c r="A246" i="2"/>
  <c r="J245" i="2"/>
  <c r="C245" i="2"/>
  <c r="A245" i="2"/>
  <c r="J244" i="2"/>
  <c r="C244" i="2"/>
  <c r="A244" i="2"/>
  <c r="J243" i="2"/>
  <c r="C243" i="2"/>
  <c r="A243" i="2"/>
  <c r="J242" i="2"/>
  <c r="C242" i="2"/>
  <c r="A242" i="2"/>
  <c r="J241" i="2"/>
  <c r="C241" i="2"/>
  <c r="A241" i="2"/>
  <c r="J240" i="2"/>
  <c r="C240" i="2"/>
  <c r="A240" i="2"/>
  <c r="J239" i="2"/>
  <c r="C239" i="2"/>
  <c r="A239" i="2"/>
  <c r="J238" i="2"/>
  <c r="C238" i="2"/>
  <c r="A238" i="2"/>
  <c r="J237" i="2"/>
  <c r="C237" i="2"/>
  <c r="A237" i="2"/>
  <c r="J236" i="2"/>
  <c r="C236" i="2"/>
  <c r="A236" i="2"/>
  <c r="J235" i="2"/>
  <c r="C235" i="2"/>
  <c r="A235" i="2"/>
  <c r="J234" i="2"/>
  <c r="C234" i="2"/>
  <c r="A234" i="2"/>
  <c r="J233" i="2"/>
  <c r="C233" i="2"/>
  <c r="A233" i="2"/>
  <c r="J232" i="2"/>
  <c r="C232" i="2"/>
  <c r="A232" i="2"/>
  <c r="J231" i="2"/>
  <c r="C231" i="2"/>
  <c r="A231" i="2"/>
  <c r="J230" i="2"/>
  <c r="C230" i="2"/>
  <c r="A230" i="2"/>
  <c r="J229" i="2"/>
  <c r="C229" i="2"/>
  <c r="A229" i="2"/>
  <c r="J228" i="2"/>
  <c r="C228" i="2"/>
  <c r="A228" i="2"/>
  <c r="J227" i="2"/>
  <c r="C227" i="2"/>
  <c r="A227" i="2"/>
  <c r="J226" i="2"/>
  <c r="C226" i="2"/>
  <c r="A226" i="2"/>
  <c r="J225" i="2"/>
  <c r="C225" i="2"/>
  <c r="A225" i="2"/>
  <c r="J224" i="2"/>
  <c r="C224" i="2"/>
  <c r="A224" i="2"/>
  <c r="J223" i="2"/>
  <c r="C223" i="2"/>
  <c r="A223" i="2"/>
  <c r="J222" i="2"/>
  <c r="C222" i="2"/>
  <c r="A222" i="2"/>
  <c r="J221" i="2"/>
  <c r="C221" i="2"/>
  <c r="A221" i="2"/>
  <c r="J220" i="2"/>
  <c r="C220" i="2"/>
  <c r="A220" i="2"/>
  <c r="J219" i="2"/>
  <c r="C219" i="2"/>
  <c r="A219" i="2"/>
  <c r="J218" i="2"/>
  <c r="C218" i="2"/>
  <c r="A218" i="2"/>
  <c r="J217" i="2"/>
  <c r="C217" i="2"/>
  <c r="A217" i="2"/>
  <c r="J216" i="2"/>
  <c r="C216" i="2"/>
  <c r="A216" i="2"/>
  <c r="J215" i="2"/>
  <c r="C215" i="2"/>
  <c r="A215" i="2"/>
  <c r="J214" i="2"/>
  <c r="C214" i="2"/>
  <c r="A214" i="2"/>
  <c r="J213" i="2"/>
  <c r="C213" i="2"/>
  <c r="A213" i="2"/>
  <c r="J212" i="2"/>
  <c r="C212" i="2"/>
  <c r="A212" i="2"/>
  <c r="J211" i="2"/>
  <c r="C211" i="2"/>
  <c r="A211" i="2"/>
  <c r="J210" i="2"/>
  <c r="C210" i="2"/>
  <c r="A210" i="2"/>
  <c r="J209" i="2"/>
  <c r="C209" i="2"/>
  <c r="A209" i="2"/>
  <c r="J208" i="2"/>
  <c r="C208" i="2"/>
  <c r="A208" i="2"/>
  <c r="J207" i="2"/>
  <c r="C207" i="2"/>
  <c r="A207" i="2"/>
  <c r="J206" i="2"/>
  <c r="C206" i="2"/>
  <c r="A206" i="2"/>
  <c r="J205" i="2"/>
  <c r="C205" i="2"/>
  <c r="A205" i="2"/>
  <c r="J204" i="2"/>
  <c r="C204" i="2"/>
  <c r="A204" i="2"/>
  <c r="J203" i="2"/>
  <c r="C203" i="2"/>
  <c r="A203" i="2"/>
  <c r="J202" i="2"/>
  <c r="C202" i="2"/>
  <c r="A202" i="2"/>
  <c r="J201" i="2"/>
  <c r="C201" i="2"/>
  <c r="A201" i="2"/>
  <c r="J200" i="2"/>
  <c r="C200" i="2"/>
  <c r="A200" i="2"/>
  <c r="J199" i="2"/>
  <c r="C199" i="2"/>
  <c r="A199" i="2"/>
  <c r="J198" i="2"/>
  <c r="C198" i="2"/>
  <c r="A198" i="2"/>
  <c r="J197" i="2"/>
  <c r="C197" i="2"/>
  <c r="A197" i="2"/>
  <c r="J196" i="2"/>
  <c r="C196" i="2"/>
  <c r="A196" i="2"/>
  <c r="J195" i="2"/>
  <c r="C195" i="2"/>
  <c r="A195" i="2"/>
  <c r="J194" i="2"/>
  <c r="C194" i="2"/>
  <c r="A194" i="2"/>
  <c r="J193" i="2"/>
  <c r="C193" i="2"/>
  <c r="A193" i="2"/>
  <c r="J192" i="2"/>
  <c r="C192" i="2"/>
  <c r="A192" i="2"/>
  <c r="J191" i="2"/>
  <c r="C191" i="2"/>
  <c r="A191" i="2"/>
  <c r="J190" i="2"/>
  <c r="C190" i="2"/>
  <c r="A190" i="2"/>
  <c r="J189" i="2"/>
  <c r="C189" i="2"/>
  <c r="A189" i="2"/>
  <c r="J188" i="2"/>
  <c r="C188" i="2"/>
  <c r="A188" i="2"/>
  <c r="J187" i="2"/>
  <c r="C187" i="2"/>
  <c r="A187" i="2"/>
  <c r="J186" i="2"/>
  <c r="C186" i="2"/>
  <c r="A186" i="2"/>
  <c r="J185" i="2"/>
  <c r="C185" i="2"/>
  <c r="A185" i="2"/>
  <c r="J184" i="2"/>
  <c r="C184" i="2"/>
  <c r="A184" i="2"/>
  <c r="J183" i="2"/>
  <c r="C183" i="2"/>
  <c r="A183" i="2"/>
  <c r="J182" i="2"/>
  <c r="C182" i="2"/>
  <c r="A182" i="2"/>
  <c r="J181" i="2"/>
  <c r="C181" i="2"/>
  <c r="A181" i="2"/>
  <c r="J180" i="2"/>
  <c r="C180" i="2"/>
  <c r="A180" i="2"/>
  <c r="J179" i="2"/>
  <c r="C179" i="2"/>
  <c r="A179" i="2"/>
  <c r="J178" i="2"/>
  <c r="C178" i="2"/>
  <c r="A178" i="2"/>
  <c r="J177" i="2"/>
  <c r="C177" i="2"/>
  <c r="A177" i="2"/>
  <c r="J176" i="2"/>
  <c r="C176" i="2"/>
  <c r="A176" i="2"/>
  <c r="J175" i="2"/>
  <c r="C175" i="2"/>
  <c r="A175" i="2"/>
  <c r="J174" i="2"/>
  <c r="C174" i="2"/>
  <c r="A174" i="2"/>
  <c r="J173" i="2"/>
  <c r="C173" i="2"/>
  <c r="A173" i="2"/>
  <c r="J172" i="2"/>
  <c r="C172" i="2"/>
  <c r="A172" i="2"/>
  <c r="J171" i="2"/>
  <c r="C171" i="2"/>
  <c r="A171" i="2"/>
  <c r="J170" i="2"/>
  <c r="C170" i="2"/>
  <c r="A170" i="2"/>
  <c r="J169" i="2"/>
  <c r="C169" i="2"/>
  <c r="A169" i="2"/>
  <c r="J168" i="2"/>
  <c r="C168" i="2"/>
  <c r="A168" i="2"/>
  <c r="J167" i="2"/>
  <c r="C167" i="2"/>
  <c r="A167" i="2"/>
  <c r="J166" i="2"/>
  <c r="C166" i="2"/>
  <c r="A166" i="2"/>
  <c r="J165" i="2"/>
  <c r="C165" i="2"/>
  <c r="A165" i="2"/>
  <c r="J164" i="2"/>
  <c r="C164" i="2"/>
  <c r="A164" i="2"/>
  <c r="J163" i="2"/>
  <c r="C163" i="2"/>
  <c r="A163" i="2"/>
  <c r="J162" i="2"/>
  <c r="C162" i="2"/>
  <c r="A162" i="2"/>
  <c r="J161" i="2"/>
  <c r="C161" i="2"/>
  <c r="A161" i="2"/>
  <c r="J160" i="2"/>
  <c r="C160" i="2"/>
  <c r="A160" i="2"/>
  <c r="J159" i="2"/>
  <c r="C159" i="2"/>
  <c r="A159" i="2"/>
  <c r="J158" i="2"/>
  <c r="C158" i="2"/>
  <c r="A158" i="2"/>
  <c r="J157" i="2"/>
  <c r="C157" i="2"/>
  <c r="A157" i="2"/>
  <c r="J156" i="2"/>
  <c r="C156" i="2"/>
  <c r="A156" i="2"/>
  <c r="J155" i="2"/>
  <c r="C155" i="2"/>
  <c r="A155" i="2"/>
  <c r="J154" i="2"/>
  <c r="C154" i="2"/>
  <c r="A154" i="2"/>
  <c r="J153" i="2"/>
  <c r="C153" i="2"/>
  <c r="A153" i="2"/>
  <c r="J152" i="2"/>
  <c r="C152" i="2"/>
  <c r="A152" i="2"/>
  <c r="J151" i="2"/>
  <c r="C151" i="2"/>
  <c r="A151" i="2"/>
  <c r="J150" i="2"/>
  <c r="C150" i="2"/>
  <c r="A150" i="2"/>
  <c r="J149" i="2"/>
  <c r="C149" i="2"/>
  <c r="A149" i="2"/>
  <c r="J148" i="2"/>
  <c r="C148" i="2"/>
  <c r="A148" i="2"/>
  <c r="J147" i="2"/>
  <c r="C147" i="2"/>
  <c r="A147" i="2"/>
  <c r="J146" i="2"/>
  <c r="C146" i="2"/>
  <c r="A146" i="2"/>
  <c r="J145" i="2"/>
  <c r="C145" i="2"/>
  <c r="A145" i="2"/>
  <c r="J144" i="2"/>
  <c r="C144" i="2"/>
  <c r="A144" i="2"/>
  <c r="J143" i="2"/>
  <c r="C143" i="2"/>
  <c r="A143" i="2"/>
  <c r="J142" i="2"/>
  <c r="C142" i="2"/>
  <c r="A142" i="2"/>
  <c r="J141" i="2"/>
  <c r="C141" i="2"/>
  <c r="A141" i="2"/>
  <c r="J140" i="2"/>
  <c r="C140" i="2"/>
  <c r="A140" i="2"/>
  <c r="J139" i="2"/>
  <c r="C139" i="2"/>
  <c r="A139" i="2"/>
  <c r="J138" i="2"/>
  <c r="C138" i="2"/>
  <c r="A138" i="2"/>
  <c r="J137" i="2"/>
  <c r="C137" i="2"/>
  <c r="A137" i="2"/>
  <c r="J136" i="2"/>
  <c r="C136" i="2"/>
  <c r="A136" i="2"/>
  <c r="J135" i="2"/>
  <c r="C135" i="2"/>
  <c r="A135" i="2"/>
  <c r="J134" i="2"/>
  <c r="C134" i="2"/>
  <c r="A134" i="2"/>
  <c r="J133" i="2"/>
  <c r="C133" i="2"/>
  <c r="A133" i="2"/>
  <c r="J132" i="2"/>
  <c r="C132" i="2"/>
  <c r="A132" i="2"/>
  <c r="J131" i="2"/>
  <c r="C131" i="2"/>
  <c r="A131" i="2"/>
  <c r="J130" i="2"/>
  <c r="C130" i="2"/>
  <c r="A130" i="2"/>
  <c r="J129" i="2"/>
  <c r="C129" i="2"/>
  <c r="A129" i="2"/>
  <c r="J128" i="2"/>
  <c r="C128" i="2"/>
  <c r="A128" i="2"/>
  <c r="J127" i="2"/>
  <c r="C127" i="2"/>
  <c r="A127" i="2"/>
  <c r="J126" i="2"/>
  <c r="C126" i="2"/>
  <c r="A126" i="2"/>
  <c r="J125" i="2"/>
  <c r="C125" i="2"/>
  <c r="A125" i="2"/>
  <c r="J124" i="2"/>
  <c r="C124" i="2"/>
  <c r="A124" i="2"/>
  <c r="J123" i="2"/>
  <c r="C123" i="2"/>
  <c r="A123" i="2"/>
  <c r="J122" i="2"/>
  <c r="C122" i="2"/>
  <c r="A122" i="2"/>
  <c r="J121" i="2"/>
  <c r="C121" i="2"/>
  <c r="A121" i="2"/>
  <c r="J120" i="2"/>
  <c r="C120" i="2"/>
  <c r="A120" i="2"/>
  <c r="J119" i="2"/>
  <c r="C119" i="2"/>
  <c r="A119" i="2"/>
  <c r="J118" i="2"/>
  <c r="C118" i="2"/>
  <c r="A118" i="2"/>
  <c r="J117" i="2"/>
  <c r="C117" i="2"/>
  <c r="A117" i="2"/>
  <c r="J116" i="2"/>
  <c r="C116" i="2"/>
  <c r="A116" i="2"/>
  <c r="J115" i="2"/>
  <c r="C115" i="2"/>
  <c r="A115" i="2"/>
  <c r="J114" i="2"/>
  <c r="C114" i="2"/>
  <c r="A114" i="2"/>
  <c r="J113" i="2"/>
  <c r="C113" i="2"/>
  <c r="A113" i="2"/>
  <c r="J112" i="2"/>
  <c r="C112" i="2"/>
  <c r="A112" i="2"/>
  <c r="J111" i="2"/>
  <c r="C111" i="2"/>
  <c r="A111" i="2"/>
  <c r="J110" i="2"/>
  <c r="C110" i="2"/>
  <c r="A110" i="2"/>
  <c r="J109" i="2"/>
  <c r="C109" i="2"/>
  <c r="A109" i="2"/>
  <c r="J108" i="2"/>
  <c r="C108" i="2"/>
  <c r="A108" i="2"/>
  <c r="J107" i="2"/>
  <c r="C107" i="2"/>
  <c r="A107" i="2"/>
  <c r="J106" i="2"/>
  <c r="C106" i="2"/>
  <c r="A106" i="2"/>
  <c r="J105" i="2"/>
  <c r="C105" i="2"/>
  <c r="A105" i="2"/>
  <c r="J104" i="2"/>
  <c r="C104" i="2"/>
  <c r="A104" i="2"/>
  <c r="J103" i="2"/>
  <c r="C103" i="2"/>
  <c r="A103" i="2"/>
  <c r="J102" i="2"/>
  <c r="C102" i="2"/>
  <c r="A102" i="2"/>
  <c r="J101" i="2"/>
  <c r="C101" i="2"/>
  <c r="A101" i="2"/>
  <c r="J100" i="2"/>
  <c r="C100" i="2"/>
  <c r="A100" i="2"/>
  <c r="J99" i="2"/>
  <c r="C99" i="2"/>
  <c r="A99" i="2"/>
  <c r="J98" i="2"/>
  <c r="C98" i="2"/>
  <c r="A98" i="2"/>
  <c r="J97" i="2"/>
  <c r="C97" i="2"/>
  <c r="A97" i="2"/>
  <c r="J96" i="2"/>
  <c r="C96" i="2"/>
  <c r="A96" i="2"/>
  <c r="J95" i="2"/>
  <c r="C95" i="2"/>
  <c r="A95" i="2"/>
  <c r="J94" i="2"/>
  <c r="C94" i="2"/>
  <c r="A94" i="2"/>
  <c r="J93" i="2"/>
  <c r="C93" i="2"/>
  <c r="A93" i="2"/>
  <c r="J92" i="2"/>
  <c r="C92" i="2"/>
  <c r="A92" i="2"/>
  <c r="J91" i="2"/>
  <c r="C91" i="2"/>
  <c r="A91" i="2"/>
  <c r="J90" i="2"/>
  <c r="C90" i="2"/>
  <c r="A90" i="2"/>
  <c r="J89" i="2"/>
  <c r="C89" i="2"/>
  <c r="A89" i="2"/>
  <c r="J88" i="2"/>
  <c r="C88" i="2"/>
  <c r="A88" i="2"/>
  <c r="J87" i="2"/>
  <c r="C87" i="2"/>
  <c r="A87" i="2"/>
  <c r="J86" i="2"/>
  <c r="C86" i="2"/>
  <c r="A86" i="2"/>
  <c r="J85" i="2"/>
  <c r="C85" i="2"/>
  <c r="A85" i="2"/>
  <c r="J84" i="2"/>
  <c r="C84" i="2"/>
  <c r="A84" i="2"/>
  <c r="J83" i="2"/>
  <c r="C83" i="2"/>
  <c r="A83" i="2"/>
  <c r="J82" i="2"/>
  <c r="C82" i="2"/>
  <c r="A82" i="2"/>
  <c r="J81" i="2"/>
  <c r="C81" i="2"/>
  <c r="A81" i="2"/>
  <c r="J80" i="2"/>
  <c r="C80" i="2"/>
  <c r="A80" i="2"/>
  <c r="J79" i="2"/>
  <c r="C79" i="2"/>
  <c r="A79" i="2"/>
  <c r="J78" i="2"/>
  <c r="C78" i="2"/>
  <c r="A78" i="2"/>
  <c r="J77" i="2"/>
  <c r="C77" i="2"/>
  <c r="A77" i="2"/>
  <c r="J76" i="2"/>
  <c r="C76" i="2"/>
  <c r="A76" i="2"/>
  <c r="J75" i="2"/>
  <c r="C75" i="2"/>
  <c r="A75" i="2"/>
  <c r="J74" i="2"/>
  <c r="C74" i="2"/>
  <c r="A74" i="2"/>
  <c r="J73" i="2"/>
  <c r="C73" i="2"/>
  <c r="A73" i="2"/>
  <c r="J72" i="2"/>
  <c r="C72" i="2"/>
  <c r="A72" i="2"/>
  <c r="J71" i="2"/>
  <c r="C71" i="2"/>
  <c r="A71" i="2"/>
  <c r="J70" i="2"/>
  <c r="C70" i="2"/>
  <c r="A70" i="2"/>
  <c r="J69" i="2"/>
  <c r="C69" i="2"/>
  <c r="A69" i="2"/>
  <c r="J68" i="2"/>
  <c r="C68" i="2"/>
  <c r="A68" i="2"/>
  <c r="J67" i="2"/>
  <c r="C67" i="2"/>
  <c r="A67" i="2"/>
  <c r="J66" i="2"/>
  <c r="C66" i="2"/>
  <c r="A66" i="2"/>
  <c r="J65" i="2"/>
  <c r="C65" i="2"/>
  <c r="A65" i="2"/>
  <c r="J64" i="2"/>
  <c r="C64" i="2"/>
  <c r="A64" i="2"/>
  <c r="J63" i="2"/>
  <c r="C63" i="2"/>
  <c r="A63" i="2"/>
  <c r="J62" i="2"/>
  <c r="C62" i="2"/>
  <c r="A62" i="2"/>
  <c r="J61" i="2"/>
  <c r="C61" i="2"/>
  <c r="A61" i="2"/>
  <c r="J60" i="2"/>
  <c r="C60" i="2"/>
  <c r="A60" i="2"/>
  <c r="J59" i="2"/>
  <c r="C59" i="2"/>
  <c r="A59" i="2"/>
  <c r="J58" i="2"/>
  <c r="C58" i="2"/>
  <c r="A58" i="2"/>
  <c r="J57" i="2"/>
  <c r="C57" i="2"/>
  <c r="A57" i="2"/>
  <c r="J56" i="2"/>
  <c r="C56" i="2"/>
  <c r="A56" i="2"/>
  <c r="J55" i="2"/>
  <c r="C55" i="2"/>
  <c r="A55" i="2"/>
  <c r="J54" i="2"/>
  <c r="C54" i="2"/>
  <c r="A54" i="2"/>
  <c r="J53" i="2"/>
  <c r="C53" i="2"/>
  <c r="A53" i="2"/>
  <c r="J52" i="2"/>
  <c r="C52" i="2"/>
  <c r="A52" i="2"/>
  <c r="J51" i="2"/>
  <c r="C51" i="2"/>
  <c r="A51" i="2"/>
  <c r="J50" i="2"/>
  <c r="C50" i="2"/>
  <c r="A50" i="2"/>
  <c r="J49" i="2"/>
  <c r="C49" i="2"/>
  <c r="A49" i="2"/>
  <c r="J48" i="2"/>
  <c r="C48" i="2"/>
  <c r="A48" i="2"/>
  <c r="J47" i="2"/>
  <c r="C47" i="2"/>
  <c r="A47" i="2"/>
  <c r="J46" i="2"/>
  <c r="C46" i="2"/>
  <c r="A46" i="2"/>
  <c r="J45" i="2"/>
  <c r="C45" i="2"/>
  <c r="A45" i="2"/>
  <c r="J44" i="2"/>
  <c r="C44" i="2"/>
  <c r="A44" i="2"/>
  <c r="J43" i="2"/>
  <c r="C43" i="2"/>
  <c r="A43" i="2"/>
  <c r="J42" i="2"/>
  <c r="C42" i="2"/>
  <c r="A42" i="2"/>
  <c r="J41" i="2"/>
  <c r="C41" i="2"/>
  <c r="A41" i="2"/>
  <c r="J40" i="2"/>
  <c r="C40" i="2"/>
  <c r="A40" i="2"/>
  <c r="J39" i="2"/>
  <c r="C39" i="2"/>
  <c r="A39" i="2"/>
  <c r="J38" i="2"/>
  <c r="C38" i="2"/>
  <c r="A38" i="2"/>
  <c r="J37" i="2"/>
  <c r="C37" i="2"/>
  <c r="A37" i="2"/>
  <c r="J36" i="2"/>
  <c r="C36" i="2"/>
  <c r="A36" i="2"/>
  <c r="J35" i="2"/>
  <c r="C35" i="2"/>
  <c r="A35" i="2"/>
  <c r="J34" i="2"/>
  <c r="C34" i="2"/>
  <c r="A34" i="2"/>
  <c r="J33" i="2"/>
  <c r="C33" i="2"/>
  <c r="A33" i="2"/>
  <c r="J32" i="2"/>
  <c r="C32" i="2"/>
  <c r="A32" i="2"/>
  <c r="J31" i="2"/>
  <c r="C31" i="2"/>
  <c r="A31" i="2"/>
  <c r="J30" i="2"/>
  <c r="C30" i="2"/>
  <c r="A30" i="2"/>
  <c r="J29" i="2"/>
  <c r="C29" i="2"/>
  <c r="A29" i="2"/>
  <c r="J28" i="2"/>
  <c r="C28" i="2"/>
  <c r="A28" i="2"/>
  <c r="J27" i="2"/>
  <c r="C27" i="2"/>
  <c r="A27" i="2"/>
  <c r="J26" i="2"/>
  <c r="C26" i="2"/>
  <c r="A26" i="2"/>
  <c r="J25" i="2"/>
  <c r="C25" i="2"/>
  <c r="A25" i="2"/>
  <c r="J24" i="2"/>
  <c r="C24" i="2"/>
  <c r="A24" i="2"/>
  <c r="J23" i="2"/>
  <c r="C23" i="2"/>
  <c r="A23" i="2"/>
  <c r="J22" i="2"/>
  <c r="C22" i="2"/>
  <c r="A22" i="2"/>
  <c r="J21" i="2"/>
  <c r="C21" i="2"/>
  <c r="A21" i="2"/>
  <c r="J20" i="2"/>
  <c r="C20" i="2"/>
  <c r="A20" i="2"/>
  <c r="J19" i="2"/>
  <c r="C19" i="2"/>
  <c r="A19" i="2"/>
  <c r="J18" i="2"/>
  <c r="C18" i="2"/>
  <c r="A18" i="2"/>
  <c r="J17" i="2"/>
  <c r="C17" i="2"/>
  <c r="A17" i="2"/>
  <c r="J16" i="2"/>
  <c r="C16" i="2"/>
  <c r="A16" i="2"/>
  <c r="J15" i="2"/>
  <c r="C15" i="2"/>
  <c r="A15" i="2"/>
  <c r="J14" i="2"/>
  <c r="C14" i="2"/>
  <c r="A14" i="2"/>
  <c r="J13" i="2"/>
  <c r="C13" i="2"/>
  <c r="A13" i="2"/>
  <c r="J12" i="2"/>
  <c r="C12" i="2"/>
  <c r="A12" i="2"/>
  <c r="J11" i="2"/>
  <c r="C11" i="2"/>
  <c r="A11" i="2"/>
  <c r="J10" i="2"/>
  <c r="C10" i="2"/>
  <c r="A10" i="2"/>
  <c r="J9" i="2"/>
  <c r="C9" i="2"/>
  <c r="A9" i="2"/>
  <c r="J8" i="2"/>
  <c r="C8" i="2"/>
  <c r="A8" i="2"/>
  <c r="J7" i="2"/>
  <c r="C7" i="2"/>
  <c r="A7" i="2"/>
  <c r="J6" i="2"/>
  <c r="C6" i="2"/>
  <c r="A6" i="2"/>
  <c r="J5" i="2"/>
  <c r="C5" i="2"/>
  <c r="A5" i="2"/>
  <c r="B22" i="1"/>
  <c r="B21" i="1"/>
  <c r="B4" i="1"/>
  <c r="A11" i="1" s="1"/>
  <c r="E11" i="1" s="1"/>
  <c r="D4" i="1" l="1"/>
  <c r="K1118" i="2" s="1"/>
  <c r="A12" i="1"/>
  <c r="F11" i="1"/>
  <c r="D11" i="1"/>
  <c r="C11" i="1"/>
  <c r="B11" i="1"/>
  <c r="K780" i="2" l="1"/>
  <c r="K434" i="2"/>
  <c r="K411" i="2"/>
  <c r="K370" i="2"/>
  <c r="K814" i="2"/>
  <c r="K972" i="2"/>
  <c r="K730" i="2"/>
  <c r="K374" i="2"/>
  <c r="K242" i="2"/>
  <c r="K251" i="2"/>
  <c r="K432" i="2"/>
  <c r="K436" i="2"/>
  <c r="K696" i="2"/>
  <c r="K575" i="2"/>
  <c r="K440" i="2"/>
  <c r="K511" i="2"/>
  <c r="K770" i="2"/>
  <c r="K414" i="2"/>
  <c r="K1253" i="2"/>
  <c r="K391" i="2"/>
  <c r="K695" i="2"/>
  <c r="K1021" i="2"/>
  <c r="K727" i="2"/>
  <c r="K750" i="2"/>
  <c r="K751" i="2"/>
  <c r="K818" i="2"/>
  <c r="K444" i="2"/>
  <c r="K985" i="2"/>
  <c r="K736" i="2"/>
  <c r="K443" i="2"/>
  <c r="K1003" i="2"/>
  <c r="K753" i="2"/>
  <c r="K454" i="2"/>
  <c r="K1763" i="2"/>
  <c r="K1841" i="2"/>
  <c r="K1782" i="2"/>
  <c r="K966" i="2"/>
  <c r="K1133" i="2"/>
  <c r="K645" i="2"/>
  <c r="K872" i="2"/>
  <c r="K676" i="2"/>
  <c r="K372" i="2"/>
  <c r="K164" i="2"/>
  <c r="K836" i="2"/>
  <c r="K805" i="2"/>
  <c r="K733" i="2"/>
  <c r="K784" i="2"/>
  <c r="K933" i="2"/>
  <c r="K550" i="2"/>
  <c r="K531" i="2"/>
  <c r="K442" i="2"/>
  <c r="K415" i="2"/>
  <c r="K466" i="2"/>
  <c r="K1731" i="2"/>
  <c r="K1730" i="2"/>
  <c r="K1777" i="2"/>
  <c r="K962" i="2"/>
  <c r="K1116" i="2"/>
  <c r="K641" i="2"/>
  <c r="K808" i="2"/>
  <c r="K672" i="2"/>
  <c r="K368" i="2"/>
  <c r="K151" i="2"/>
  <c r="K806" i="2"/>
  <c r="K788" i="2"/>
  <c r="K716" i="2"/>
  <c r="K754" i="2"/>
  <c r="K690" i="2"/>
  <c r="K542" i="2"/>
  <c r="K595" i="2"/>
  <c r="K451" i="2"/>
  <c r="K470" i="2"/>
  <c r="K475" i="2"/>
  <c r="K1069" i="2"/>
  <c r="K163" i="2"/>
  <c r="K1654" i="2"/>
  <c r="K600" i="2"/>
  <c r="K874" i="2"/>
  <c r="K236" i="2"/>
  <c r="K679" i="2"/>
  <c r="K591" i="2"/>
  <c r="K742" i="2"/>
  <c r="K571" i="2"/>
  <c r="K655" i="2"/>
  <c r="K1861" i="2"/>
  <c r="K1622" i="2"/>
  <c r="K1432" i="2"/>
  <c r="K1181" i="2"/>
  <c r="K1123" i="2"/>
  <c r="K489" i="2"/>
  <c r="K748" i="2"/>
  <c r="K588" i="2"/>
  <c r="K292" i="2"/>
  <c r="K798" i="2"/>
  <c r="K840" i="2"/>
  <c r="K1239" i="2"/>
  <c r="K741" i="2"/>
  <c r="K167" i="2"/>
  <c r="K662" i="2"/>
  <c r="K295" i="2"/>
  <c r="K1328" i="2"/>
  <c r="K734" i="2"/>
  <c r="K522" i="2"/>
  <c r="K282" i="2"/>
  <c r="K1333" i="2"/>
  <c r="K214" i="2"/>
  <c r="K516" i="2"/>
  <c r="K94" i="2"/>
  <c r="K1179" i="2"/>
  <c r="K323" i="2"/>
  <c r="K1329" i="2"/>
  <c r="K1699" i="2"/>
  <c r="K1646" i="2"/>
  <c r="K1670" i="2"/>
  <c r="K1459" i="2"/>
  <c r="K1099" i="2"/>
  <c r="K637" i="2"/>
  <c r="K761" i="2"/>
  <c r="K668" i="2"/>
  <c r="K364" i="2"/>
  <c r="K134" i="2"/>
  <c r="K789" i="2"/>
  <c r="K758" i="2"/>
  <c r="K219" i="2"/>
  <c r="K737" i="2"/>
  <c r="K682" i="2"/>
  <c r="K538" i="2"/>
  <c r="K659" i="2"/>
  <c r="K474" i="2"/>
  <c r="K479" i="2"/>
  <c r="K567" i="2"/>
  <c r="K1683" i="2"/>
  <c r="K1610" i="2"/>
  <c r="K1661" i="2"/>
  <c r="K1350" i="2"/>
  <c r="K633" i="2"/>
  <c r="K697" i="2"/>
  <c r="K664" i="2"/>
  <c r="K360" i="2"/>
  <c r="K112" i="2"/>
  <c r="K921" i="2"/>
  <c r="K658" i="2"/>
  <c r="K720" i="2"/>
  <c r="K674" i="2"/>
  <c r="K534" i="2"/>
  <c r="K483" i="2"/>
  <c r="K527" i="2"/>
  <c r="K631" i="2"/>
  <c r="K1665" i="2"/>
  <c r="K1299" i="2"/>
  <c r="K1228" i="2"/>
  <c r="K1157" i="2"/>
  <c r="K509" i="2"/>
  <c r="K782" i="2"/>
  <c r="K300" i="2"/>
  <c r="K845" i="2"/>
  <c r="K638" i="2"/>
  <c r="K124" i="2"/>
  <c r="K670" i="2"/>
  <c r="K494" i="2"/>
  <c r="K102" i="2"/>
  <c r="K547" i="2"/>
  <c r="K1349" i="2"/>
  <c r="K227" i="2"/>
  <c r="K833" i="2"/>
  <c r="K520" i="2"/>
  <c r="K107" i="2"/>
  <c r="K1209" i="2"/>
  <c r="K646" i="2"/>
  <c r="K156" i="2"/>
  <c r="K181" i="2"/>
  <c r="K907" i="2"/>
  <c r="K816" i="2"/>
  <c r="K866" i="2"/>
  <c r="K1199" i="2"/>
  <c r="K642" i="2"/>
  <c r="K278" i="2"/>
  <c r="K177" i="2"/>
  <c r="K188" i="2"/>
  <c r="K786" i="2"/>
  <c r="K512" i="2"/>
  <c r="K849" i="2"/>
  <c r="K38" i="2"/>
  <c r="K1105" i="2"/>
  <c r="K602" i="2"/>
  <c r="K346" i="2"/>
  <c r="K306" i="2"/>
  <c r="K173" i="2"/>
  <c r="K887" i="2"/>
  <c r="K341" i="2"/>
  <c r="K769" i="2"/>
  <c r="K832" i="2"/>
  <c r="K1012" i="2"/>
  <c r="K594" i="2"/>
  <c r="K310" i="2"/>
  <c r="K1770" i="2"/>
  <c r="K891" i="2"/>
  <c r="K1523" i="2"/>
  <c r="K1196" i="2"/>
  <c r="K1085" i="2"/>
  <c r="K382" i="2"/>
  <c r="K315" i="2"/>
  <c r="K1178" i="2"/>
  <c r="K800" i="2"/>
  <c r="K1648" i="2"/>
  <c r="K1508" i="2"/>
  <c r="K1399" i="2"/>
  <c r="K1211" i="2"/>
  <c r="K1140" i="2"/>
  <c r="K501" i="2"/>
  <c r="K765" i="2"/>
  <c r="K596" i="2"/>
  <c r="K296" i="2"/>
  <c r="K828" i="2"/>
  <c r="K857" i="2"/>
  <c r="K530" i="2"/>
  <c r="K111" i="2"/>
  <c r="K223" i="2"/>
  <c r="K666" i="2"/>
  <c r="K155" i="2"/>
  <c r="K635" i="2"/>
  <c r="K503" i="2"/>
  <c r="K1801" i="2"/>
  <c r="K1495" i="2"/>
  <c r="K1427" i="2"/>
  <c r="K1083" i="2"/>
  <c r="K1093" i="2"/>
  <c r="K485" i="2"/>
  <c r="K718" i="2"/>
  <c r="K584" i="2"/>
  <c r="K288" i="2"/>
  <c r="K781" i="2"/>
  <c r="K810" i="2"/>
  <c r="K1229" i="2"/>
  <c r="K1378" i="2"/>
  <c r="K59" i="2"/>
  <c r="K650" i="2"/>
  <c r="K318" i="2"/>
  <c r="K189" i="2"/>
  <c r="K911" i="2"/>
  <c r="K385" i="2"/>
  <c r="K35" i="2"/>
  <c r="K1145" i="2"/>
  <c r="K327" i="2"/>
  <c r="K611" i="2"/>
  <c r="K1306" i="2"/>
  <c r="K357" i="2"/>
  <c r="K22" i="2"/>
  <c r="K1135" i="2"/>
  <c r="K350" i="2"/>
  <c r="K675" i="2"/>
  <c r="K1684" i="2"/>
  <c r="K349" i="2"/>
  <c r="K5" i="2"/>
  <c r="K1041" i="2"/>
  <c r="K1169" i="2"/>
  <c r="K359" i="2"/>
  <c r="K287" i="2"/>
  <c r="K1325" i="2"/>
  <c r="K119" i="2"/>
  <c r="K508" i="2"/>
  <c r="K12" i="2"/>
  <c r="K1149" i="2"/>
  <c r="K355" i="2"/>
  <c r="K1738" i="2"/>
  <c r="K1130" i="2"/>
  <c r="K566" i="2"/>
  <c r="A7" i="1"/>
  <c r="K1773" i="2"/>
  <c r="K582" i="2"/>
  <c r="K1854" i="2"/>
  <c r="K387" i="2"/>
  <c r="K6" i="2"/>
  <c r="K1808" i="2"/>
  <c r="K351" i="2"/>
  <c r="K558" i="2"/>
  <c r="K948" i="2"/>
  <c r="K342" i="2"/>
  <c r="B23" i="1"/>
  <c r="K965" i="2"/>
  <c r="K1142" i="2"/>
  <c r="K319" i="2"/>
  <c r="K570" i="2"/>
  <c r="K1009" i="2"/>
  <c r="K419" i="2"/>
  <c r="K232" i="2"/>
  <c r="K1132" i="2"/>
  <c r="K410" i="2"/>
  <c r="K950" i="2"/>
  <c r="K870" i="2"/>
  <c r="K825" i="2"/>
  <c r="K1375" i="2"/>
  <c r="K963" i="2"/>
  <c r="K900" i="2"/>
  <c r="K378" i="2"/>
  <c r="K989" i="2"/>
  <c r="K768" i="2"/>
  <c r="K92" i="2"/>
  <c r="K1821" i="2"/>
  <c r="K1007" i="2"/>
  <c r="K785" i="2"/>
  <c r="K131" i="2"/>
  <c r="K1868" i="2"/>
  <c r="K190" i="2"/>
  <c r="K760" i="2"/>
  <c r="K74" i="2"/>
  <c r="K304" i="2"/>
  <c r="K376" i="2"/>
  <c r="K448" i="2"/>
  <c r="K524" i="2"/>
  <c r="K604" i="2"/>
  <c r="K684" i="2"/>
  <c r="K1256" i="2"/>
  <c r="K850" i="2"/>
  <c r="K846" i="2"/>
  <c r="K906" i="2"/>
  <c r="K170" i="2"/>
  <c r="K389" i="2"/>
  <c r="K529" i="2"/>
  <c r="K653" i="2"/>
  <c r="K817" i="2"/>
  <c r="K262" i="2"/>
  <c r="K1187" i="2"/>
  <c r="K984" i="2"/>
  <c r="K755" i="2"/>
  <c r="K915" i="2"/>
  <c r="K1245" i="2"/>
  <c r="K970" i="2"/>
  <c r="K1190" i="2"/>
  <c r="K1374" i="2"/>
  <c r="K1339" i="2"/>
  <c r="K1802" i="2"/>
  <c r="K13" i="2"/>
  <c r="K221" i="2"/>
  <c r="K1376" i="2"/>
  <c r="K1390" i="2"/>
  <c r="K1864" i="2"/>
  <c r="K1381" i="2"/>
  <c r="K1682" i="2"/>
  <c r="K1775" i="2"/>
  <c r="K146" i="2"/>
  <c r="K938" i="2"/>
  <c r="K917" i="2"/>
  <c r="K896" i="2"/>
  <c r="K862" i="2"/>
  <c r="K220" i="2"/>
  <c r="K777" i="2"/>
  <c r="K91" i="2"/>
  <c r="K308" i="2"/>
  <c r="K380" i="2"/>
  <c r="K452" i="2"/>
  <c r="K532" i="2"/>
  <c r="K608" i="2"/>
  <c r="K688" i="2"/>
  <c r="K1322" i="2"/>
  <c r="K14" i="2"/>
  <c r="K876" i="2"/>
  <c r="K953" i="2"/>
  <c r="K183" i="2"/>
  <c r="K401" i="2"/>
  <c r="K533" i="2"/>
  <c r="K673" i="2"/>
  <c r="K864" i="2"/>
  <c r="K745" i="2"/>
  <c r="K1221" i="2"/>
  <c r="K1095" i="2"/>
  <c r="K759" i="2"/>
  <c r="K919" i="2"/>
  <c r="K1280" i="2"/>
  <c r="K990" i="2"/>
  <c r="K1194" i="2"/>
  <c r="K1416" i="2"/>
  <c r="K1404" i="2"/>
  <c r="K1383" i="2"/>
  <c r="K29" i="2"/>
  <c r="K225" i="2"/>
  <c r="K1582" i="2"/>
  <c r="K1471" i="2"/>
  <c r="K1732" i="2"/>
  <c r="K1413" i="2"/>
  <c r="K1729" i="2"/>
  <c r="K1811" i="2"/>
  <c r="K176" i="2"/>
  <c r="K968" i="2"/>
  <c r="K934" i="2"/>
  <c r="K913" i="2"/>
  <c r="K892" i="2"/>
  <c r="K255" i="2"/>
  <c r="K794" i="2"/>
  <c r="K104" i="2"/>
  <c r="K312" i="2"/>
  <c r="K384" i="2"/>
  <c r="K456" i="2"/>
  <c r="K536" i="2"/>
  <c r="K616" i="2"/>
  <c r="K692" i="2"/>
  <c r="K914" i="2"/>
  <c r="K44" i="2"/>
  <c r="K893" i="2"/>
  <c r="K992" i="2"/>
  <c r="K239" i="2"/>
  <c r="K405" i="2"/>
  <c r="K545" i="2"/>
  <c r="K677" i="2"/>
  <c r="K1084" i="2"/>
  <c r="K792" i="2"/>
  <c r="K1107" i="2"/>
  <c r="K1129" i="2"/>
  <c r="K763" i="2"/>
  <c r="K931" i="2"/>
  <c r="K1304" i="2"/>
  <c r="K1014" i="2"/>
  <c r="K1198" i="2"/>
  <c r="K1455" i="2"/>
  <c r="K1476" i="2"/>
  <c r="K1511" i="2"/>
  <c r="K37" i="2"/>
  <c r="K237" i="2"/>
  <c r="K1820" i="2"/>
  <c r="K1678" i="2"/>
  <c r="K1749" i="2"/>
  <c r="K1425" i="2"/>
  <c r="K1776" i="2"/>
  <c r="K1835" i="2"/>
  <c r="K1259" i="2"/>
  <c r="K154" i="2"/>
  <c r="K198" i="2"/>
  <c r="K981" i="2"/>
  <c r="K964" i="2"/>
  <c r="K930" i="2"/>
  <c r="K926" i="2"/>
  <c r="K26" i="2"/>
  <c r="K824" i="2"/>
  <c r="K130" i="2"/>
  <c r="K316" i="2"/>
  <c r="K388" i="2"/>
  <c r="K460" i="2"/>
  <c r="K540" i="2"/>
  <c r="K620" i="2"/>
  <c r="K726" i="2"/>
  <c r="K944" i="2"/>
  <c r="K83" i="2"/>
  <c r="K910" i="2"/>
  <c r="K1064" i="2"/>
  <c r="K269" i="2"/>
  <c r="K409" i="2"/>
  <c r="K549" i="2"/>
  <c r="K710" i="2"/>
  <c r="K1183" i="2"/>
  <c r="K890" i="2"/>
  <c r="K1188" i="2"/>
  <c r="K1193" i="2"/>
  <c r="K767" i="2"/>
  <c r="K935" i="2"/>
  <c r="K1015" i="2"/>
  <c r="K1034" i="2"/>
  <c r="K1202" i="2"/>
  <c r="K179" i="2"/>
  <c r="K1496" i="2"/>
  <c r="K1528" i="2"/>
  <c r="K57" i="2"/>
  <c r="K241" i="2"/>
  <c r="K1338" i="2"/>
  <c r="K1853" i="2"/>
  <c r="K1796" i="2"/>
  <c r="K1461" i="2"/>
  <c r="K1840" i="2"/>
  <c r="K1839" i="2"/>
  <c r="K639" i="2"/>
  <c r="K286" i="2"/>
  <c r="K586" i="2"/>
  <c r="K686" i="2"/>
  <c r="K1263" i="2"/>
  <c r="K801" i="2"/>
  <c r="K1708" i="2"/>
  <c r="K797" i="2"/>
  <c r="K514" i="2"/>
  <c r="K258" i="2"/>
  <c r="K215" i="2"/>
  <c r="K999" i="2"/>
  <c r="K977" i="2"/>
  <c r="K960" i="2"/>
  <c r="K956" i="2"/>
  <c r="K39" i="2"/>
  <c r="K841" i="2"/>
  <c r="K143" i="2"/>
  <c r="K320" i="2"/>
  <c r="K392" i="2"/>
  <c r="K468" i="2"/>
  <c r="K548" i="2"/>
  <c r="K628" i="2"/>
  <c r="K756" i="2"/>
  <c r="K961" i="2"/>
  <c r="K122" i="2"/>
  <c r="K940" i="2"/>
  <c r="K1088" i="2"/>
  <c r="K273" i="2"/>
  <c r="K413" i="2"/>
  <c r="K553" i="2"/>
  <c r="K740" i="2"/>
  <c r="K796" i="2"/>
  <c r="K920" i="2"/>
  <c r="K1235" i="2"/>
  <c r="K1223" i="2"/>
  <c r="K771" i="2"/>
  <c r="K943" i="2"/>
  <c r="K1177" i="2"/>
  <c r="K1046" i="2"/>
  <c r="K1206" i="2"/>
  <c r="K226" i="2"/>
  <c r="K1624" i="2"/>
  <c r="K1694" i="2"/>
  <c r="K61" i="2"/>
  <c r="K245" i="2"/>
  <c r="K1355" i="2"/>
  <c r="K1849" i="2"/>
  <c r="K1830" i="2"/>
  <c r="K1485" i="2"/>
  <c r="K1555" i="2"/>
  <c r="K1843" i="2"/>
  <c r="K228" i="2"/>
  <c r="K1017" i="2"/>
  <c r="K1008" i="2"/>
  <c r="K1004" i="2"/>
  <c r="K973" i="2"/>
  <c r="K52" i="2"/>
  <c r="K858" i="2"/>
  <c r="K160" i="2"/>
  <c r="K324" i="2"/>
  <c r="K396" i="2"/>
  <c r="K472" i="2"/>
  <c r="K556" i="2"/>
  <c r="K632" i="2"/>
  <c r="K773" i="2"/>
  <c r="K1005" i="2"/>
  <c r="K135" i="2"/>
  <c r="K957" i="2"/>
  <c r="K1212" i="2"/>
  <c r="K277" i="2"/>
  <c r="K417" i="2"/>
  <c r="K565" i="2"/>
  <c r="K757" i="2"/>
  <c r="K813" i="2"/>
  <c r="K980" i="2"/>
  <c r="K1363" i="2"/>
  <c r="K1240" i="2"/>
  <c r="K783" i="2"/>
  <c r="K976" i="2"/>
  <c r="K1271" i="2"/>
  <c r="K1050" i="2"/>
  <c r="K1214" i="2"/>
  <c r="K260" i="2"/>
  <c r="K1438" i="2"/>
  <c r="K1718" i="2"/>
  <c r="K77" i="2"/>
  <c r="K1324" i="2"/>
  <c r="K1402" i="2"/>
  <c r="K1845" i="2"/>
  <c r="K1553" i="2"/>
  <c r="K1489" i="2"/>
  <c r="K1591" i="2"/>
  <c r="K1847" i="2"/>
  <c r="K694" i="2"/>
  <c r="K554" i="2"/>
  <c r="K844" i="2"/>
  <c r="K546" i="2"/>
  <c r="B24" i="1"/>
  <c r="K250" i="2"/>
  <c r="K1071" i="2"/>
  <c r="K1101" i="2"/>
  <c r="K1037" i="2"/>
  <c r="K1013" i="2"/>
  <c r="K78" i="2"/>
  <c r="K888" i="2"/>
  <c r="K182" i="2"/>
  <c r="K328" i="2"/>
  <c r="K400" i="2"/>
  <c r="K484" i="2"/>
  <c r="K560" i="2"/>
  <c r="K636" i="2"/>
  <c r="K790" i="2"/>
  <c r="K1068" i="2"/>
  <c r="K152" i="2"/>
  <c r="K1128" i="2"/>
  <c r="K79" i="2"/>
  <c r="K285" i="2"/>
  <c r="K421" i="2"/>
  <c r="K569" i="2"/>
  <c r="K774" i="2"/>
  <c r="K830" i="2"/>
  <c r="K1213" i="2"/>
  <c r="K1039" i="2"/>
  <c r="K1270" i="2"/>
  <c r="K811" i="2"/>
  <c r="K1023" i="2"/>
  <c r="K1011" i="2"/>
  <c r="K1054" i="2"/>
  <c r="K1222" i="2"/>
  <c r="K264" i="2"/>
  <c r="K1462" i="2"/>
  <c r="K1507" i="2"/>
  <c r="K81" i="2"/>
  <c r="K1499" i="2"/>
  <c r="K1436" i="2"/>
  <c r="K1752" i="2"/>
  <c r="K1698" i="2"/>
  <c r="K1493" i="2"/>
  <c r="K1607" i="2"/>
  <c r="K1859" i="2"/>
  <c r="K848" i="2"/>
  <c r="K447" i="2"/>
  <c r="K314" i="2"/>
  <c r="K498" i="2"/>
  <c r="K822" i="2"/>
  <c r="K578" i="2"/>
  <c r="K865" i="2"/>
  <c r="K46" i="2"/>
  <c r="K861" i="2"/>
  <c r="K562" i="2"/>
  <c r="K16" i="2"/>
  <c r="K263" i="2"/>
  <c r="K1081" i="2"/>
  <c r="K1131" i="2"/>
  <c r="K1047" i="2"/>
  <c r="K1136" i="2"/>
  <c r="K95" i="2"/>
  <c r="K905" i="2"/>
  <c r="K212" i="2"/>
  <c r="K332" i="2"/>
  <c r="K412" i="2"/>
  <c r="K488" i="2"/>
  <c r="K564" i="2"/>
  <c r="K640" i="2"/>
  <c r="K820" i="2"/>
  <c r="K1192" i="2"/>
  <c r="K178" i="2"/>
  <c r="K1302" i="2"/>
  <c r="K174" i="2"/>
  <c r="K313" i="2"/>
  <c r="K437" i="2"/>
  <c r="K573" i="2"/>
  <c r="K804" i="2"/>
  <c r="K860" i="2"/>
  <c r="K1243" i="2"/>
  <c r="K1073" i="2"/>
  <c r="K1061" i="2"/>
  <c r="K815" i="2"/>
  <c r="K1151" i="2"/>
  <c r="K1045" i="2"/>
  <c r="K1058" i="2"/>
  <c r="K1250" i="2"/>
  <c r="K1298" i="2"/>
  <c r="K1326" i="2"/>
  <c r="K1524" i="2"/>
  <c r="K93" i="2"/>
  <c r="K1649" i="2"/>
  <c r="K1500" i="2"/>
  <c r="K1769" i="2"/>
  <c r="K1741" i="2"/>
  <c r="K1497" i="2"/>
  <c r="K1643" i="2"/>
  <c r="K1871" i="2"/>
  <c r="K20" i="2"/>
  <c r="K402" i="2"/>
  <c r="K507" i="2"/>
  <c r="K487" i="2"/>
  <c r="K610" i="2"/>
  <c r="K379" i="2"/>
  <c r="K438" i="2"/>
  <c r="K725" i="2"/>
  <c r="K291" i="2"/>
  <c r="K478" i="2"/>
  <c r="K502" i="2"/>
  <c r="K614" i="2"/>
  <c r="K852" i="2"/>
  <c r="K598" i="2"/>
  <c r="K882" i="2"/>
  <c r="K72" i="2"/>
  <c r="K878" i="2"/>
  <c r="K574" i="2"/>
  <c r="K42" i="2"/>
  <c r="K712" i="2"/>
  <c r="K1165" i="2"/>
  <c r="K1264" i="2"/>
  <c r="K1067" i="2"/>
  <c r="K1260" i="2"/>
  <c r="K108" i="2"/>
  <c r="K922" i="2"/>
  <c r="K238" i="2"/>
  <c r="K340" i="2"/>
  <c r="K416" i="2"/>
  <c r="K492" i="2"/>
  <c r="K568" i="2"/>
  <c r="K644" i="2"/>
  <c r="K854" i="2"/>
  <c r="K1216" i="2"/>
  <c r="K191" i="2"/>
  <c r="K1498" i="2"/>
  <c r="K200" i="2"/>
  <c r="K317" i="2"/>
  <c r="K457" i="2"/>
  <c r="K581" i="2"/>
  <c r="K821" i="2"/>
  <c r="K894" i="2"/>
  <c r="K1063" i="2"/>
  <c r="K1231" i="2"/>
  <c r="K1091" i="2"/>
  <c r="K827" i="2"/>
  <c r="K1185" i="2"/>
  <c r="K1075" i="2"/>
  <c r="K1066" i="2"/>
  <c r="K1318" i="2"/>
  <c r="K1540" i="2"/>
  <c r="K1335" i="2"/>
  <c r="K1644" i="2"/>
  <c r="K97" i="2"/>
  <c r="K1658" i="2"/>
  <c r="K1701" i="2"/>
  <c r="K1786" i="2"/>
  <c r="K1822" i="2"/>
  <c r="K1509" i="2"/>
  <c r="K1667" i="2"/>
  <c r="K643" i="2"/>
  <c r="K455" i="2"/>
  <c r="K510" i="2"/>
  <c r="K626" i="2"/>
  <c r="K869" i="2"/>
  <c r="K618" i="2"/>
  <c r="K912" i="2"/>
  <c r="K128" i="2"/>
  <c r="K908" i="2"/>
  <c r="K590" i="2"/>
  <c r="K55" i="2"/>
  <c r="K729" i="2"/>
  <c r="K1195" i="2"/>
  <c r="K704" i="2"/>
  <c r="K1200" i="2"/>
  <c r="K30" i="2"/>
  <c r="K147" i="2"/>
  <c r="K952" i="2"/>
  <c r="K272" i="2"/>
  <c r="K348" i="2"/>
  <c r="K420" i="2"/>
  <c r="K496" i="2"/>
  <c r="K572" i="2"/>
  <c r="K648" i="2"/>
  <c r="K884" i="2"/>
  <c r="K1276" i="2"/>
  <c r="K204" i="2"/>
  <c r="K27" i="2"/>
  <c r="K252" i="2"/>
  <c r="K329" i="2"/>
  <c r="K461" i="2"/>
  <c r="K601" i="2"/>
  <c r="K868" i="2"/>
  <c r="K958" i="2"/>
  <c r="K1191" i="2"/>
  <c r="K1248" i="2"/>
  <c r="K1189" i="2"/>
  <c r="K831" i="2"/>
  <c r="K1232" i="2"/>
  <c r="K1109" i="2"/>
  <c r="K1090" i="2"/>
  <c r="K1444" i="2"/>
  <c r="K1294" i="2"/>
  <c r="K1544" i="2"/>
  <c r="K1653" i="2"/>
  <c r="K101" i="2"/>
  <c r="K1709" i="2"/>
  <c r="K1628" i="2"/>
  <c r="K1816" i="2"/>
  <c r="K1293" i="2"/>
  <c r="K1521" i="2"/>
  <c r="K1671" i="2"/>
  <c r="K431" i="2"/>
  <c r="K615" i="2"/>
  <c r="K518" i="2"/>
  <c r="K886" i="2"/>
  <c r="K654" i="2"/>
  <c r="K180" i="2"/>
  <c r="K925" i="2"/>
  <c r="K606" i="2"/>
  <c r="K150" i="2"/>
  <c r="K746" i="2"/>
  <c r="K1310" i="2"/>
  <c r="K721" i="2"/>
  <c r="K700" i="2"/>
  <c r="K43" i="2"/>
  <c r="K186" i="2"/>
  <c r="K991" i="2"/>
  <c r="K276" i="2"/>
  <c r="K352" i="2"/>
  <c r="K424" i="2"/>
  <c r="K500" i="2"/>
  <c r="K576" i="2"/>
  <c r="K652" i="2"/>
  <c r="K901" i="2"/>
  <c r="K705" i="2"/>
  <c r="K256" i="2"/>
  <c r="K118" i="2"/>
  <c r="K714" i="2"/>
  <c r="K333" i="2"/>
  <c r="K473" i="2"/>
  <c r="K605" i="2"/>
  <c r="K1247" i="2"/>
  <c r="K28" i="2"/>
  <c r="K1208" i="2"/>
  <c r="K1420" i="2"/>
  <c r="K1219" i="2"/>
  <c r="K843" i="2"/>
  <c r="K1275" i="2"/>
  <c r="K1267" i="2"/>
  <c r="K1094" i="2"/>
  <c r="K1292" i="2"/>
  <c r="K1370" i="2"/>
  <c r="K1693" i="2"/>
  <c r="K1685" i="2"/>
  <c r="K141" i="2"/>
  <c r="K1431" i="2"/>
  <c r="K1785" i="2"/>
  <c r="K1846" i="2"/>
  <c r="K1317" i="2"/>
  <c r="K1562" i="2"/>
  <c r="K1675" i="2"/>
  <c r="K399" i="2"/>
  <c r="K347" i="2"/>
  <c r="K406" i="2"/>
  <c r="K259" i="2"/>
  <c r="K446" i="2"/>
  <c r="K630" i="2"/>
  <c r="K929" i="2"/>
  <c r="K338" i="2"/>
  <c r="K383" i="2"/>
  <c r="K551" i="2"/>
  <c r="K244" i="2"/>
  <c r="K423" i="2"/>
  <c r="K526" i="2"/>
  <c r="K634" i="2"/>
  <c r="K916" i="2"/>
  <c r="K724" i="2"/>
  <c r="K946" i="2"/>
  <c r="K206" i="2"/>
  <c r="K942" i="2"/>
  <c r="K622" i="2"/>
  <c r="K202" i="2"/>
  <c r="K793" i="2"/>
  <c r="K772" i="2"/>
  <c r="K738" i="2"/>
  <c r="K717" i="2"/>
  <c r="K56" i="2"/>
  <c r="K216" i="2"/>
  <c r="K1000" i="2"/>
  <c r="K284" i="2"/>
  <c r="K356" i="2"/>
  <c r="K428" i="2"/>
  <c r="K504" i="2"/>
  <c r="K580" i="2"/>
  <c r="K660" i="2"/>
  <c r="K918" i="2"/>
  <c r="K722" i="2"/>
  <c r="K701" i="2"/>
  <c r="K265" i="2"/>
  <c r="K744" i="2"/>
  <c r="K337" i="2"/>
  <c r="K477" i="2"/>
  <c r="K629" i="2"/>
  <c r="K706" i="2"/>
  <c r="K67" i="2"/>
  <c r="K1076" i="2"/>
  <c r="K1035" i="2"/>
  <c r="K1236" i="2"/>
  <c r="K851" i="2"/>
  <c r="K1053" i="2"/>
  <c r="K1295" i="2"/>
  <c r="K1114" i="2"/>
  <c r="K1468" i="2"/>
  <c r="K1408" i="2"/>
  <c r="K1536" i="2"/>
  <c r="K1748" i="2"/>
  <c r="K165" i="2"/>
  <c r="K1448" i="2"/>
  <c r="K1475" i="2"/>
  <c r="K1650" i="2"/>
  <c r="K1321" i="2"/>
  <c r="K1754" i="2"/>
  <c r="K1679" i="2"/>
  <c r="K603" i="2"/>
  <c r="K1613" i="2"/>
  <c r="K1466" i="2"/>
  <c r="K1407" i="2"/>
  <c r="K1876" i="2"/>
  <c r="K1860" i="2"/>
  <c r="K1337" i="2"/>
  <c r="K1513" i="2"/>
  <c r="K1793" i="2"/>
  <c r="K1687" i="2"/>
  <c r="K1863" i="2"/>
  <c r="K1254" i="2"/>
  <c r="K1674" i="2"/>
  <c r="K1451" i="2"/>
  <c r="K1367" i="2"/>
  <c r="K1612" i="2"/>
  <c r="K1520" i="2"/>
  <c r="K105" i="2"/>
  <c r="K253" i="2"/>
  <c r="K1538" i="2"/>
  <c r="K1596" i="2"/>
  <c r="K1772" i="2"/>
  <c r="K1757" i="2"/>
  <c r="K1826" i="2"/>
  <c r="K1397" i="2"/>
  <c r="K1690" i="2"/>
  <c r="K1579" i="2"/>
  <c r="K1747" i="2"/>
  <c r="K486" i="2"/>
  <c r="K1122" i="2"/>
  <c r="K1266" i="2"/>
  <c r="K51" i="2"/>
  <c r="K1515" i="2"/>
  <c r="K1414" i="2"/>
  <c r="K1621" i="2"/>
  <c r="K1550" i="2"/>
  <c r="K113" i="2"/>
  <c r="K261" i="2"/>
  <c r="K1573" i="2"/>
  <c r="K1605" i="2"/>
  <c r="K1789" i="2"/>
  <c r="K1774" i="2"/>
  <c r="K1856" i="2"/>
  <c r="K1401" i="2"/>
  <c r="K1720" i="2"/>
  <c r="K1583" i="2"/>
  <c r="K1751" i="2"/>
  <c r="K463" i="2"/>
  <c r="K1025" i="2"/>
  <c r="K1124" i="2"/>
  <c r="K1227" i="2"/>
  <c r="K1284" i="2"/>
  <c r="K835" i="2"/>
  <c r="K1087" i="2"/>
  <c r="K1160" i="2"/>
  <c r="K982" i="2"/>
  <c r="K1126" i="2"/>
  <c r="K1283" i="2"/>
  <c r="K68" i="2"/>
  <c r="K1366" i="2"/>
  <c r="K1527" i="2"/>
  <c r="K1630" i="2"/>
  <c r="K1676" i="2"/>
  <c r="K137" i="2"/>
  <c r="K1290" i="2"/>
  <c r="K1645" i="2"/>
  <c r="K1614" i="2"/>
  <c r="K1806" i="2"/>
  <c r="K1804" i="2"/>
  <c r="K1873" i="2"/>
  <c r="K1405" i="2"/>
  <c r="K1737" i="2"/>
  <c r="K1587" i="2"/>
  <c r="K1755" i="2"/>
  <c r="E12" i="1"/>
  <c r="B12" i="1"/>
  <c r="A13" i="1"/>
  <c r="F12" i="1"/>
  <c r="D12" i="1"/>
  <c r="C12" i="1"/>
  <c r="K283" i="2"/>
  <c r="K274" i="2"/>
  <c r="K171" i="2"/>
  <c r="K127" i="2"/>
  <c r="K88" i="2"/>
  <c r="K24" i="2"/>
  <c r="K19" i="2"/>
  <c r="K166" i="2"/>
  <c r="K363" i="2"/>
  <c r="K354" i="2"/>
  <c r="K246" i="2"/>
  <c r="K240" i="2"/>
  <c r="K235" i="2"/>
  <c r="K54" i="2"/>
  <c r="K395" i="2"/>
  <c r="K386" i="2"/>
  <c r="K86" i="2"/>
  <c r="K76" i="2"/>
  <c r="K7" i="2"/>
  <c r="K172" i="2"/>
  <c r="K543" i="2"/>
  <c r="K366" i="2"/>
  <c r="K15" i="2"/>
  <c r="K210" i="2"/>
  <c r="K195" i="2"/>
  <c r="K63" i="2"/>
  <c r="K427" i="2"/>
  <c r="K418" i="2"/>
  <c r="K458" i="2"/>
  <c r="K435" i="2"/>
  <c r="K403" i="2"/>
  <c r="K394" i="2"/>
  <c r="K371" i="2"/>
  <c r="K362" i="2"/>
  <c r="K430" i="2"/>
  <c r="K375" i="2"/>
  <c r="K334" i="2"/>
  <c r="K84" i="2"/>
  <c r="K136" i="2"/>
  <c r="K126" i="2"/>
  <c r="K116" i="2"/>
  <c r="K87" i="2"/>
  <c r="K58" i="2"/>
  <c r="K18" i="2"/>
  <c r="K8" i="2"/>
  <c r="K459" i="2"/>
  <c r="K450" i="2"/>
  <c r="K322" i="2"/>
  <c r="K299" i="2"/>
  <c r="K290" i="2"/>
  <c r="K339" i="2"/>
  <c r="K330" i="2"/>
  <c r="K627" i="2"/>
  <c r="K407" i="2"/>
  <c r="K343" i="2"/>
  <c r="K311" i="2"/>
  <c r="K302" i="2"/>
  <c r="K142" i="2"/>
  <c r="K123" i="2"/>
  <c r="K103" i="2"/>
  <c r="K234" i="2"/>
  <c r="K224" i="2"/>
  <c r="K140" i="2"/>
  <c r="K48" i="2"/>
  <c r="E7" i="1"/>
  <c r="K267" i="2"/>
  <c r="K307" i="2"/>
  <c r="K298" i="2"/>
  <c r="K462" i="2"/>
  <c r="K194" i="2"/>
  <c r="K184" i="2"/>
  <c r="K159" i="2"/>
  <c r="K663" i="2"/>
  <c r="K535" i="2"/>
  <c r="K491" i="2"/>
  <c r="K482" i="2"/>
  <c r="K110" i="2"/>
  <c r="K71" i="2"/>
  <c r="K467" i="2"/>
  <c r="K275" i="2"/>
  <c r="K266" i="2"/>
  <c r="K222" i="2"/>
  <c r="K70" i="2"/>
  <c r="K691" i="2"/>
  <c r="K563" i="2"/>
  <c r="K50" i="2"/>
  <c r="K32" i="2"/>
  <c r="K708" i="2"/>
  <c r="K599" i="2"/>
  <c r="K331" i="2"/>
  <c r="K138" i="2"/>
  <c r="K99" i="2"/>
  <c r="K60" i="2"/>
  <c r="K398" i="2"/>
  <c r="K279" i="2"/>
  <c r="K270" i="2"/>
  <c r="K207" i="2"/>
  <c r="K192" i="2"/>
  <c r="K247" i="2"/>
  <c r="K218" i="2"/>
  <c r="K139" i="2"/>
  <c r="K100" i="2"/>
  <c r="K90" i="2"/>
  <c r="K47" i="2"/>
  <c r="K647" i="2"/>
  <c r="K671" i="2"/>
  <c r="K607" i="2"/>
  <c r="K208" i="2"/>
  <c r="K168" i="2"/>
  <c r="K158" i="2"/>
  <c r="K114" i="2"/>
  <c r="K583" i="2"/>
  <c r="K519" i="2"/>
  <c r="K490" i="2"/>
  <c r="K499" i="2"/>
  <c r="K471" i="2"/>
  <c r="K439" i="2"/>
  <c r="K426" i="2"/>
  <c r="K651" i="2"/>
  <c r="K587" i="2"/>
  <c r="K523" i="2"/>
  <c r="K231" i="2"/>
  <c r="K211" i="2"/>
  <c r="K64" i="2"/>
  <c r="K667" i="2"/>
  <c r="K559" i="2"/>
  <c r="K1855" i="2"/>
  <c r="K1791" i="2"/>
  <c r="K1727" i="2"/>
  <c r="K1663" i="2"/>
  <c r="K1599" i="2"/>
  <c r="K1874" i="2"/>
  <c r="K1844" i="2"/>
  <c r="K1673" i="2"/>
  <c r="K1505" i="2"/>
  <c r="K1441" i="2"/>
  <c r="K1377" i="2"/>
  <c r="K1313" i="2"/>
  <c r="K1788" i="2"/>
  <c r="K1600" i="2"/>
  <c r="K1753" i="2"/>
  <c r="K1740" i="2"/>
  <c r="K1850" i="2"/>
  <c r="K1734" i="2"/>
  <c r="K1669" i="2"/>
  <c r="K1574" i="2"/>
  <c r="K1692" i="2"/>
  <c r="K1556" i="2"/>
  <c r="K1534" i="2"/>
  <c r="K1491" i="2"/>
  <c r="K1829" i="2"/>
  <c r="K1371" i="2"/>
  <c r="K217" i="2"/>
  <c r="K153" i="2"/>
  <c r="K89" i="2"/>
  <c r="K25" i="2"/>
  <c r="K1422" i="2"/>
  <c r="K1460" i="2"/>
  <c r="K1576" i="2"/>
  <c r="K1580" i="2"/>
  <c r="K1510" i="2"/>
  <c r="K1593" i="2"/>
  <c r="K248" i="2"/>
  <c r="K1812" i="2"/>
  <c r="K162" i="2"/>
  <c r="K1360" i="2"/>
  <c r="K1657" i="2"/>
  <c r="K1234" i="2"/>
  <c r="K1170" i="2"/>
  <c r="K1106" i="2"/>
  <c r="K1042" i="2"/>
  <c r="K978" i="2"/>
  <c r="K1156" i="2"/>
  <c r="K1113" i="2"/>
  <c r="K1117" i="2"/>
  <c r="K1121" i="2"/>
  <c r="K927" i="2"/>
  <c r="K863" i="2"/>
  <c r="K799" i="2"/>
  <c r="K735" i="2"/>
  <c r="K1172" i="2"/>
  <c r="K1176" i="2"/>
  <c r="K1180" i="2"/>
  <c r="K1137" i="2"/>
  <c r="K1077" i="2"/>
  <c r="K1387" i="2"/>
  <c r="K1089" i="2"/>
  <c r="K728" i="2"/>
  <c r="K1119" i="2"/>
  <c r="K975" i="2"/>
  <c r="K1148" i="2"/>
  <c r="K689" i="2"/>
  <c r="K625" i="2"/>
  <c r="K561" i="2"/>
  <c r="K497" i="2"/>
  <c r="K433" i="2"/>
  <c r="K369" i="2"/>
  <c r="K305" i="2"/>
  <c r="K75" i="2"/>
  <c r="K40" i="2"/>
  <c r="K187" i="2"/>
  <c r="K702" i="2"/>
  <c r="K623" i="2"/>
  <c r="K1851" i="2"/>
  <c r="K1787" i="2"/>
  <c r="K1723" i="2"/>
  <c r="K1659" i="2"/>
  <c r="K1595" i="2"/>
  <c r="K1857" i="2"/>
  <c r="K1814" i="2"/>
  <c r="K1656" i="2"/>
  <c r="K1501" i="2"/>
  <c r="K1437" i="2"/>
  <c r="K1373" i="2"/>
  <c r="K1309" i="2"/>
  <c r="K1758" i="2"/>
  <c r="K1570" i="2"/>
  <c r="K1736" i="2"/>
  <c r="K1710" i="2"/>
  <c r="K1833" i="2"/>
  <c r="K1717" i="2"/>
  <c r="K1660" i="2"/>
  <c r="K1552" i="2"/>
  <c r="K1637" i="2"/>
  <c r="K1530" i="2"/>
  <c r="K1504" i="2"/>
  <c r="K1474" i="2"/>
  <c r="K1824" i="2"/>
  <c r="K1354" i="2"/>
  <c r="K213" i="2"/>
  <c r="K149" i="2"/>
  <c r="K85" i="2"/>
  <c r="K21" i="2"/>
  <c r="K1392" i="2"/>
  <c r="K1443" i="2"/>
  <c r="K1554" i="2"/>
  <c r="K1549" i="2"/>
  <c r="K1467" i="2"/>
  <c r="K1557" i="2"/>
  <c r="K1480" i="2"/>
  <c r="K1602" i="2"/>
  <c r="K132" i="2"/>
  <c r="K1346" i="2"/>
  <c r="K1652" i="2"/>
  <c r="K1230" i="2"/>
  <c r="K1166" i="2"/>
  <c r="K1102" i="2"/>
  <c r="K1038" i="2"/>
  <c r="K974" i="2"/>
  <c r="K1139" i="2"/>
  <c r="K1096" i="2"/>
  <c r="K1100" i="2"/>
  <c r="K1104" i="2"/>
  <c r="K923" i="2"/>
  <c r="K859" i="2"/>
  <c r="K795" i="2"/>
  <c r="K731" i="2"/>
  <c r="K1155" i="2"/>
  <c r="K1159" i="2"/>
  <c r="K1163" i="2"/>
  <c r="K1120" i="2"/>
  <c r="K1060" i="2"/>
  <c r="K1255" i="2"/>
  <c r="K1055" i="2"/>
  <c r="K698" i="2"/>
  <c r="K971" i="2"/>
  <c r="K945" i="2"/>
  <c r="K1029" i="2"/>
  <c r="K685" i="2"/>
  <c r="K621" i="2"/>
  <c r="K557" i="2"/>
  <c r="K493" i="2"/>
  <c r="K429" i="2"/>
  <c r="K365" i="2"/>
  <c r="K301" i="2"/>
  <c r="K62" i="2"/>
  <c r="K10" i="2"/>
  <c r="K148" i="2"/>
  <c r="K812" i="2"/>
  <c r="K31" i="2"/>
  <c r="K996" i="2"/>
  <c r="K837" i="2"/>
  <c r="K656" i="2"/>
  <c r="K592" i="2"/>
  <c r="K528" i="2"/>
  <c r="K464" i="2"/>
  <c r="K335" i="2"/>
  <c r="K506" i="2"/>
  <c r="K1831" i="2"/>
  <c r="K1767" i="2"/>
  <c r="K1703" i="2"/>
  <c r="K1639" i="2"/>
  <c r="K1575" i="2"/>
  <c r="K1746" i="2"/>
  <c r="K1716" i="2"/>
  <c r="K1545" i="2"/>
  <c r="K1481" i="2"/>
  <c r="K1417" i="2"/>
  <c r="K1353" i="2"/>
  <c r="K1289" i="2"/>
  <c r="K1809" i="2"/>
  <c r="K1813" i="2"/>
  <c r="K1625" i="2"/>
  <c r="K1778" i="2"/>
  <c r="K1722" i="2"/>
  <c r="K1870" i="2"/>
  <c r="K1488" i="2"/>
  <c r="K1458" i="2"/>
  <c r="K1565" i="2"/>
  <c r="K1419" i="2"/>
  <c r="K1406" i="2"/>
  <c r="K1604" i="2"/>
  <c r="K1590" i="2"/>
  <c r="K257" i="2"/>
  <c r="K193" i="2"/>
  <c r="K129" i="2"/>
  <c r="K65" i="2"/>
  <c r="K1704" i="2"/>
  <c r="K1768" i="2"/>
  <c r="K1332" i="2"/>
  <c r="K1447" i="2"/>
  <c r="K1726" i="2"/>
  <c r="K1291" i="2"/>
  <c r="K1352" i="2"/>
  <c r="K1316" i="2"/>
  <c r="K1351" i="2"/>
  <c r="K34" i="2"/>
  <c r="K1450" i="2"/>
  <c r="K1296" i="2"/>
  <c r="K1210" i="2"/>
  <c r="K1146" i="2"/>
  <c r="K1082" i="2"/>
  <c r="K1018" i="2"/>
  <c r="K1391" i="2"/>
  <c r="K1028" i="2"/>
  <c r="K1532" i="2"/>
  <c r="K1616" i="2"/>
  <c r="K993" i="2"/>
  <c r="K903" i="2"/>
  <c r="K839" i="2"/>
  <c r="K775" i="2"/>
  <c r="K711" i="2"/>
  <c r="K1044" i="2"/>
  <c r="K1048" i="2"/>
  <c r="K1052" i="2"/>
  <c r="K1472" i="2"/>
  <c r="K1251" i="2"/>
  <c r="K1144" i="2"/>
  <c r="K937" i="2"/>
  <c r="K175" i="2"/>
  <c r="K877" i="2"/>
  <c r="K367" i="2"/>
  <c r="K619" i="2"/>
  <c r="K1823" i="2"/>
  <c r="K1759" i="2"/>
  <c r="K1695" i="2"/>
  <c r="K1631" i="2"/>
  <c r="K1567" i="2"/>
  <c r="K1712" i="2"/>
  <c r="K1848" i="2"/>
  <c r="K1537" i="2"/>
  <c r="K1473" i="2"/>
  <c r="K1409" i="2"/>
  <c r="K1345" i="2"/>
  <c r="K1281" i="2"/>
  <c r="K1762" i="2"/>
  <c r="K1766" i="2"/>
  <c r="K1578" i="2"/>
  <c r="K1744" i="2"/>
  <c r="K1688" i="2"/>
  <c r="K1836" i="2"/>
  <c r="K1454" i="2"/>
  <c r="K1411" i="2"/>
  <c r="K1526" i="2"/>
  <c r="K1372" i="2"/>
  <c r="K1359" i="2"/>
  <c r="K1577" i="2"/>
  <c r="K1546" i="2"/>
  <c r="K249" i="2"/>
  <c r="K683" i="2"/>
  <c r="K687" i="2"/>
  <c r="K1827" i="2"/>
  <c r="K1743" i="2"/>
  <c r="K1655" i="2"/>
  <c r="K1571" i="2"/>
  <c r="K1618" i="2"/>
  <c r="K1626" i="2"/>
  <c r="K1477" i="2"/>
  <c r="K1393" i="2"/>
  <c r="K1305" i="2"/>
  <c r="K1792" i="2"/>
  <c r="K1834" i="2"/>
  <c r="K1872" i="2"/>
  <c r="K1705" i="2"/>
  <c r="K1742" i="2"/>
  <c r="K1539" i="2"/>
  <c r="K1543" i="2"/>
  <c r="K1677" i="2"/>
  <c r="K1724" i="2"/>
  <c r="K1568" i="2"/>
  <c r="K233" i="2"/>
  <c r="K157" i="2"/>
  <c r="K73" i="2"/>
  <c r="K1662" i="2"/>
  <c r="K1594" i="2"/>
  <c r="K1598" i="2"/>
  <c r="K1519" i="2"/>
  <c r="K1278" i="2"/>
  <c r="K1286" i="2"/>
  <c r="K1356" i="2"/>
  <c r="K115" i="2"/>
  <c r="K1514" i="2"/>
  <c r="K1262" i="2"/>
  <c r="K1186" i="2"/>
  <c r="K1110" i="2"/>
  <c r="K1026" i="2"/>
  <c r="K1340" i="2"/>
  <c r="K1224" i="2"/>
  <c r="K1164" i="2"/>
  <c r="K1057" i="2"/>
  <c r="K899" i="2"/>
  <c r="K823" i="2"/>
  <c r="K747" i="2"/>
  <c r="K1125" i="2"/>
  <c r="K1065" i="2"/>
  <c r="K1274" i="2"/>
  <c r="K1171" i="2"/>
  <c r="K1059" i="2"/>
  <c r="K967" i="2"/>
  <c r="K106" i="2"/>
  <c r="K732" i="2"/>
  <c r="K1287" i="2"/>
  <c r="K693" i="2"/>
  <c r="K613" i="2"/>
  <c r="K541" i="2"/>
  <c r="K469" i="2"/>
  <c r="K397" i="2"/>
  <c r="K325" i="2"/>
  <c r="K144" i="2"/>
  <c r="K66" i="2"/>
  <c r="K96" i="2"/>
  <c r="K495" i="2"/>
  <c r="K515" i="2"/>
  <c r="K1819" i="2"/>
  <c r="K1739" i="2"/>
  <c r="K1651" i="2"/>
  <c r="K1563" i="2"/>
  <c r="K1601" i="2"/>
  <c r="K1609" i="2"/>
  <c r="K1469" i="2"/>
  <c r="K1389" i="2"/>
  <c r="K1301" i="2"/>
  <c r="K1745" i="2"/>
  <c r="K1817" i="2"/>
  <c r="K1842" i="2"/>
  <c r="K1880" i="2"/>
  <c r="K1756" i="2"/>
  <c r="K1522" i="2"/>
  <c r="K1765" i="2"/>
  <c r="K1668" i="2"/>
  <c r="K1636" i="2"/>
  <c r="K1516" i="2"/>
  <c r="K229" i="2"/>
  <c r="K145" i="2"/>
  <c r="K69" i="2"/>
  <c r="K1581" i="2"/>
  <c r="K1572" i="2"/>
  <c r="K1585" i="2"/>
  <c r="K1502" i="2"/>
  <c r="K1666" i="2"/>
  <c r="K1588" i="2"/>
  <c r="K1320" i="2"/>
  <c r="K98" i="2"/>
  <c r="K1319" i="2"/>
  <c r="K1258" i="2"/>
  <c r="K1182" i="2"/>
  <c r="K1098" i="2"/>
  <c r="K1022" i="2"/>
  <c r="K1300" i="2"/>
  <c r="K1207" i="2"/>
  <c r="K1147" i="2"/>
  <c r="K1040" i="2"/>
  <c r="K895" i="2"/>
  <c r="K819" i="2"/>
  <c r="K743" i="2"/>
  <c r="K1108" i="2"/>
  <c r="K1031" i="2"/>
  <c r="K1265" i="2"/>
  <c r="K1141" i="2"/>
  <c r="K1225" i="2"/>
  <c r="K954" i="2"/>
  <c r="K80" i="2"/>
  <c r="K1217" i="2"/>
  <c r="K1282" i="2"/>
  <c r="K681" i="2"/>
  <c r="K609" i="2"/>
  <c r="K537" i="2"/>
  <c r="K465" i="2"/>
  <c r="K393" i="2"/>
  <c r="K321" i="2"/>
  <c r="K539" i="2"/>
  <c r="K579" i="2"/>
  <c r="K1815" i="2"/>
  <c r="K1735" i="2"/>
  <c r="K1647" i="2"/>
  <c r="K1559" i="2"/>
  <c r="K1584" i="2"/>
  <c r="K1592" i="2"/>
  <c r="K1465" i="2"/>
  <c r="K1385" i="2"/>
  <c r="K1297" i="2"/>
  <c r="K1728" i="2"/>
  <c r="K1800" i="2"/>
  <c r="K1825" i="2"/>
  <c r="K1862" i="2"/>
  <c r="K1721" i="2"/>
  <c r="K1492" i="2"/>
  <c r="K1760" i="2"/>
  <c r="K271" i="2"/>
  <c r="K555" i="2"/>
  <c r="K1807" i="2"/>
  <c r="K1719" i="2"/>
  <c r="K1635" i="2"/>
  <c r="K1551" i="2"/>
  <c r="K1797" i="2"/>
  <c r="K1541" i="2"/>
  <c r="K1457" i="2"/>
  <c r="K1369" i="2"/>
  <c r="K1285" i="2"/>
  <c r="K1681" i="2"/>
  <c r="K1706" i="2"/>
  <c r="K1761" i="2"/>
  <c r="K1828" i="2"/>
  <c r="K1561" i="2"/>
  <c r="K1428" i="2"/>
  <c r="K1696" i="2"/>
  <c r="K1487" i="2"/>
  <c r="K1586" i="2"/>
  <c r="K1452" i="2"/>
  <c r="K209" i="2"/>
  <c r="K133" i="2"/>
  <c r="K53" i="2"/>
  <c r="K1503" i="2"/>
  <c r="K1490" i="2"/>
  <c r="K1494" i="2"/>
  <c r="K1638" i="2"/>
  <c r="K1395" i="2"/>
  <c r="K1343" i="2"/>
  <c r="K1446" i="2"/>
  <c r="K1484" i="2"/>
  <c r="K1415" i="2"/>
  <c r="K1246" i="2"/>
  <c r="K1162" i="2"/>
  <c r="K1086" i="2"/>
  <c r="K1006" i="2"/>
  <c r="K1237" i="2"/>
  <c r="K1143" i="2"/>
  <c r="K1036" i="2"/>
  <c r="K959" i="2"/>
  <c r="K883" i="2"/>
  <c r="K807" i="2"/>
  <c r="K723" i="2"/>
  <c r="K1027" i="2"/>
  <c r="K1410" i="2"/>
  <c r="K1201" i="2"/>
  <c r="K1043" i="2"/>
  <c r="K1161" i="2"/>
  <c r="K873" i="2"/>
  <c r="K11" i="2"/>
  <c r="K1020" i="2"/>
  <c r="K949" i="2"/>
  <c r="K669" i="2"/>
  <c r="K597" i="2"/>
  <c r="K525" i="2"/>
  <c r="K453" i="2"/>
  <c r="K381" i="2"/>
  <c r="K309" i="2"/>
  <c r="K23" i="2"/>
  <c r="K1024" i="2"/>
  <c r="K1152" i="2"/>
  <c r="K230" i="2"/>
  <c r="K752" i="2"/>
  <c r="K987" i="2"/>
  <c r="K680" i="2"/>
  <c r="K612" i="2"/>
  <c r="K544" i="2"/>
  <c r="K476" i="2"/>
  <c r="K408" i="2"/>
  <c r="K344" i="2"/>
  <c r="K280" i="2"/>
  <c r="K1072" i="2"/>
  <c r="K713" i="2"/>
  <c r="K203" i="2"/>
  <c r="K909" i="2"/>
  <c r="K995" i="2"/>
  <c r="K1111" i="2"/>
  <c r="K1175" i="2"/>
  <c r="K776" i="2"/>
  <c r="C7" i="1"/>
  <c r="K678" i="2"/>
  <c r="K1051" i="2"/>
  <c r="K254" i="2"/>
  <c r="K1115" i="2"/>
  <c r="K294" i="2"/>
  <c r="K1883" i="2"/>
  <c r="K1803" i="2"/>
  <c r="K1715" i="2"/>
  <c r="K1627" i="2"/>
  <c r="K1547" i="2"/>
  <c r="K1780" i="2"/>
  <c r="K1533" i="2"/>
  <c r="K1453" i="2"/>
  <c r="K1365" i="2"/>
  <c r="K1277" i="2"/>
  <c r="K1664" i="2"/>
  <c r="K1689" i="2"/>
  <c r="K1714" i="2"/>
  <c r="K1798" i="2"/>
  <c r="K1548" i="2"/>
  <c r="K1394" i="2"/>
  <c r="K1641" i="2"/>
  <c r="K1470" i="2"/>
  <c r="K1564" i="2"/>
  <c r="K1435" i="2"/>
  <c r="K205" i="2"/>
  <c r="K125" i="2"/>
  <c r="K49" i="2"/>
  <c r="K1486" i="2"/>
  <c r="K1426" i="2"/>
  <c r="K1464" i="2"/>
  <c r="K1629" i="2"/>
  <c r="K1348" i="2"/>
  <c r="K1303" i="2"/>
  <c r="K1403" i="2"/>
  <c r="K1412" i="2"/>
  <c r="K1368" i="2"/>
  <c r="K1242" i="2"/>
  <c r="K1158" i="2"/>
  <c r="K1078" i="2"/>
  <c r="K1002" i="2"/>
  <c r="K1220" i="2"/>
  <c r="K1079" i="2"/>
  <c r="K1019" i="2"/>
  <c r="K955" i="2"/>
  <c r="K879" i="2"/>
  <c r="K803" i="2"/>
  <c r="K719" i="2"/>
  <c r="K997" i="2"/>
  <c r="K1288" i="2"/>
  <c r="K1184" i="2"/>
  <c r="K1434" i="2"/>
  <c r="K1127" i="2"/>
  <c r="K856" i="2"/>
  <c r="K766" i="2"/>
  <c r="K928" i="2"/>
  <c r="K932" i="2"/>
  <c r="K665" i="2"/>
  <c r="K593" i="2"/>
  <c r="K521" i="2"/>
  <c r="K449" i="2"/>
  <c r="K377" i="2"/>
  <c r="K297" i="2"/>
  <c r="K303" i="2"/>
  <c r="K1879" i="2"/>
  <c r="K1799" i="2"/>
  <c r="K1711" i="2"/>
  <c r="K1623" i="2"/>
  <c r="K1882" i="2"/>
  <c r="K1750" i="2"/>
  <c r="K1529" i="2"/>
  <c r="K1449" i="2"/>
  <c r="K1361" i="2"/>
  <c r="K1273" i="2"/>
  <c r="K1634" i="2"/>
  <c r="K1672" i="2"/>
  <c r="K1697" i="2"/>
  <c r="K1781" i="2"/>
  <c r="K1535" i="2"/>
  <c r="K1364" i="2"/>
  <c r="K1632" i="2"/>
  <c r="K1440" i="2"/>
  <c r="K1542" i="2"/>
  <c r="K1418" i="2"/>
  <c r="K201" i="2"/>
  <c r="K121" i="2"/>
  <c r="K45" i="2"/>
  <c r="K1456" i="2"/>
  <c r="K1396" i="2"/>
  <c r="K1430" i="2"/>
  <c r="K1620" i="2"/>
  <c r="K1308" i="2"/>
  <c r="K1442" i="2"/>
  <c r="K1384" i="2"/>
  <c r="K1398" i="2"/>
  <c r="K1336" i="2"/>
  <c r="K1238" i="2"/>
  <c r="K1154" i="2"/>
  <c r="K1074" i="2"/>
  <c r="K998" i="2"/>
  <c r="K1203" i="2"/>
  <c r="K1049" i="2"/>
  <c r="K1558" i="2"/>
  <c r="K951" i="2"/>
  <c r="K875" i="2"/>
  <c r="K791" i="2"/>
  <c r="K715" i="2"/>
  <c r="K1589" i="2"/>
  <c r="K1261" i="2"/>
  <c r="K1167" i="2"/>
  <c r="K1331" i="2"/>
  <c r="K1097" i="2"/>
  <c r="K826" i="2"/>
  <c r="K749" i="2"/>
  <c r="K898" i="2"/>
  <c r="K902" i="2"/>
  <c r="K661" i="2"/>
  <c r="K589" i="2"/>
  <c r="K517" i="2"/>
  <c r="K445" i="2"/>
  <c r="K373" i="2"/>
  <c r="K293" i="2"/>
  <c r="K936" i="2"/>
  <c r="K979" i="2"/>
  <c r="K983" i="2"/>
  <c r="K326" i="2"/>
  <c r="K1875" i="2"/>
  <c r="K1795" i="2"/>
  <c r="K1707" i="2"/>
  <c r="K1619" i="2"/>
  <c r="K1878" i="2"/>
  <c r="K1733" i="2"/>
  <c r="K1525" i="2"/>
  <c r="K1445" i="2"/>
  <c r="K1357" i="2"/>
  <c r="K1269" i="2"/>
  <c r="K1617" i="2"/>
  <c r="K1642" i="2"/>
  <c r="K1680" i="2"/>
  <c r="K1764" i="2"/>
  <c r="K1518" i="2"/>
  <c r="K1347" i="2"/>
  <c r="K1569" i="2"/>
  <c r="K1423" i="2"/>
  <c r="K1512" i="2"/>
  <c r="K1388" i="2"/>
  <c r="K197" i="2"/>
  <c r="K117" i="2"/>
  <c r="K41" i="2"/>
  <c r="K1439" i="2"/>
  <c r="K1379" i="2"/>
  <c r="K1400" i="2"/>
  <c r="K1606" i="2"/>
  <c r="K1702" i="2"/>
  <c r="K1380" i="2"/>
  <c r="K1311" i="2"/>
  <c r="K1342" i="2"/>
  <c r="K1327" i="2"/>
  <c r="K1226" i="2"/>
  <c r="K1150" i="2"/>
  <c r="K1070" i="2"/>
  <c r="K994" i="2"/>
  <c r="K1173" i="2"/>
  <c r="K1032" i="2"/>
  <c r="K1344" i="2"/>
  <c r="K947" i="2"/>
  <c r="K871" i="2"/>
  <c r="K787" i="2"/>
  <c r="K707" i="2"/>
  <c r="K1323" i="2"/>
  <c r="K1244" i="2"/>
  <c r="K1103" i="2"/>
  <c r="K1268" i="2"/>
  <c r="K1080" i="2"/>
  <c r="K809" i="2"/>
  <c r="K1153" i="2"/>
  <c r="K881" i="2"/>
  <c r="K885" i="2"/>
  <c r="K657" i="2"/>
  <c r="K585" i="2"/>
  <c r="K513" i="2"/>
  <c r="K441" i="2"/>
  <c r="K361" i="2"/>
  <c r="K289" i="2"/>
  <c r="K889" i="2"/>
  <c r="K390" i="2"/>
  <c r="K1867" i="2"/>
  <c r="K1779" i="2"/>
  <c r="K1691" i="2"/>
  <c r="K1611" i="2"/>
  <c r="K1810" i="2"/>
  <c r="K1818" i="2"/>
  <c r="K1517" i="2"/>
  <c r="K1429" i="2"/>
  <c r="K1341" i="2"/>
  <c r="K1852" i="2"/>
  <c r="K1877" i="2"/>
  <c r="K1881" i="2"/>
  <c r="K1633" i="2"/>
  <c r="K1866" i="2"/>
  <c r="K1424" i="2"/>
  <c r="K1790" i="2"/>
  <c r="K1483" i="2"/>
  <c r="K1794" i="2"/>
  <c r="K1478" i="2"/>
  <c r="K1307" i="2"/>
  <c r="K185" i="2"/>
  <c r="K109" i="2"/>
  <c r="K33" i="2"/>
  <c r="K1358" i="2"/>
  <c r="K1315" i="2"/>
  <c r="K1858" i="2"/>
  <c r="K1566" i="2"/>
  <c r="K1506" i="2"/>
  <c r="K1334" i="2"/>
  <c r="K1272" i="2"/>
  <c r="K1479" i="2"/>
  <c r="K1279" i="2"/>
  <c r="K1218" i="2"/>
  <c r="K1138" i="2"/>
  <c r="K1062" i="2"/>
  <c r="K986" i="2"/>
  <c r="K1092" i="2"/>
  <c r="K1314" i="2"/>
  <c r="K1249" i="2"/>
  <c r="K939" i="2"/>
  <c r="K855" i="2"/>
  <c r="K779" i="2"/>
  <c r="K699" i="2"/>
  <c r="K1257" i="2"/>
  <c r="K1197" i="2"/>
  <c r="K1056" i="2"/>
  <c r="K1204" i="2"/>
  <c r="K1033" i="2"/>
  <c r="K762" i="2"/>
  <c r="K941" i="2"/>
  <c r="K834" i="2"/>
  <c r="K838" i="2"/>
  <c r="K649" i="2"/>
  <c r="K577" i="2"/>
  <c r="K505" i="2"/>
  <c r="K425" i="2"/>
  <c r="K353" i="2"/>
  <c r="K281" i="2"/>
  <c r="K778" i="2"/>
  <c r="K120" i="2"/>
  <c r="K904" i="2"/>
  <c r="K853" i="2"/>
  <c r="K802" i="2"/>
  <c r="K764" i="2"/>
  <c r="K82" i="2"/>
  <c r="K199" i="2"/>
  <c r="K969" i="2"/>
  <c r="K268" i="2"/>
  <c r="K336" i="2"/>
  <c r="K404" i="2"/>
  <c r="K480" i="2"/>
  <c r="K552" i="2"/>
  <c r="K624" i="2"/>
  <c r="K709" i="2"/>
  <c r="K897" i="2"/>
  <c r="K880" i="2"/>
  <c r="K829" i="2"/>
  <c r="K842" i="2"/>
  <c r="K36" i="2"/>
  <c r="K345" i="2"/>
  <c r="K481" i="2"/>
  <c r="K617" i="2"/>
  <c r="K988" i="2"/>
  <c r="K924" i="2"/>
  <c r="K1233" i="2"/>
  <c r="K1205" i="2"/>
  <c r="K1001" i="2"/>
  <c r="K703" i="2"/>
  <c r="K847" i="2"/>
  <c r="K1168" i="2"/>
  <c r="K1241" i="2"/>
  <c r="K1010" i="2"/>
  <c r="K1134" i="2"/>
  <c r="K1382" i="2"/>
  <c r="K196" i="2"/>
  <c r="K1531" i="2"/>
  <c r="K1597" i="2"/>
  <c r="K1713" i="2"/>
  <c r="K9" i="2"/>
  <c r="K161" i="2"/>
  <c r="K1482" i="2"/>
  <c r="K1686" i="2"/>
  <c r="K1725" i="2"/>
  <c r="K1832" i="2"/>
  <c r="K1838" i="2"/>
  <c r="K1805" i="2"/>
  <c r="K1421" i="2"/>
  <c r="K1784" i="2"/>
  <c r="K1603" i="2"/>
  <c r="K1771" i="2"/>
  <c r="K422" i="2"/>
  <c r="K1016" i="2"/>
  <c r="K1252" i="2"/>
  <c r="K1112" i="2"/>
  <c r="K739" i="2"/>
  <c r="K867" i="2"/>
  <c r="K1215" i="2"/>
  <c r="K1386" i="2"/>
  <c r="K1030" i="2"/>
  <c r="K1174" i="2"/>
  <c r="K1463" i="2"/>
  <c r="K243" i="2"/>
  <c r="K1312" i="2"/>
  <c r="K1837" i="2"/>
  <c r="K1362" i="2"/>
  <c r="K17" i="2"/>
  <c r="K169" i="2"/>
  <c r="K1640" i="2"/>
  <c r="K1560" i="2"/>
  <c r="K1330" i="2"/>
  <c r="K1700" i="2"/>
  <c r="K1608" i="2"/>
  <c r="K1869" i="2"/>
  <c r="K1433" i="2"/>
  <c r="K1865" i="2"/>
  <c r="K1615" i="2"/>
  <c r="K1783" i="2"/>
  <c r="K358" i="2"/>
  <c r="A36" i="1" l="1" a="1"/>
  <c r="A36" i="1" s="1"/>
  <c r="B36" i="1" a="1"/>
  <c r="B36" i="1" s="1"/>
  <c r="E37" i="1" a="1"/>
  <c r="E37" i="1" s="1"/>
  <c r="C39" i="1" a="1"/>
  <c r="C39" i="1" s="1"/>
  <c r="A41" i="1" a="1"/>
  <c r="A41" i="1" s="1"/>
  <c r="D42" i="1" a="1"/>
  <c r="D42" i="1" s="1"/>
  <c r="B44" i="1" a="1"/>
  <c r="B44" i="1" s="1"/>
  <c r="E45" i="1" a="1"/>
  <c r="E45" i="1" s="1"/>
  <c r="C47" i="1" a="1"/>
  <c r="C47" i="1" s="1"/>
  <c r="A49" i="1" a="1"/>
  <c r="A49" i="1" s="1"/>
  <c r="D50" i="1" a="1"/>
  <c r="D50" i="1" s="1"/>
  <c r="B52" i="1" a="1"/>
  <c r="B52" i="1" s="1"/>
  <c r="E53" i="1" a="1"/>
  <c r="E53" i="1" s="1"/>
  <c r="C55" i="1" a="1"/>
  <c r="C55" i="1" s="1"/>
  <c r="A57" i="1" a="1"/>
  <c r="A57" i="1" s="1"/>
  <c r="D58" i="1" a="1"/>
  <c r="D58" i="1" s="1"/>
  <c r="C36" i="1" a="1"/>
  <c r="C36" i="1" s="1"/>
  <c r="A38" i="1" a="1"/>
  <c r="A38" i="1" s="1"/>
  <c r="D39" i="1" a="1"/>
  <c r="D39" i="1" s="1"/>
  <c r="B41" i="1" a="1"/>
  <c r="B41" i="1" s="1"/>
  <c r="E42" i="1" a="1"/>
  <c r="E42" i="1" s="1"/>
  <c r="C44" i="1" a="1"/>
  <c r="C44" i="1" s="1"/>
  <c r="A46" i="1" a="1"/>
  <c r="A46" i="1" s="1"/>
  <c r="D47" i="1" a="1"/>
  <c r="D47" i="1" s="1"/>
  <c r="B49" i="1" a="1"/>
  <c r="B49" i="1" s="1"/>
  <c r="E50" i="1" a="1"/>
  <c r="E50" i="1" s="1"/>
  <c r="C52" i="1" a="1"/>
  <c r="C52" i="1" s="1"/>
  <c r="A54" i="1" a="1"/>
  <c r="A54" i="1" s="1"/>
  <c r="D55" i="1" a="1"/>
  <c r="D55" i="1" s="1"/>
  <c r="B57" i="1" a="1"/>
  <c r="B57" i="1" s="1"/>
  <c r="E58" i="1" a="1"/>
  <c r="E58" i="1" s="1"/>
  <c r="C54" i="1" a="1"/>
  <c r="C54" i="1" s="1"/>
  <c r="D57" i="1" a="1"/>
  <c r="D57" i="1" s="1"/>
  <c r="A37" i="1" a="1"/>
  <c r="A37" i="1" s="1"/>
  <c r="E41" i="1" a="1"/>
  <c r="E41" i="1" s="1"/>
  <c r="D46" i="1" a="1"/>
  <c r="D46" i="1" s="1"/>
  <c r="C51" i="1" a="1"/>
  <c r="C51" i="1" s="1"/>
  <c r="B56" i="1" a="1"/>
  <c r="B56" i="1" s="1"/>
  <c r="E38" i="1" a="1"/>
  <c r="E38" i="1" s="1"/>
  <c r="D36" i="1" a="1"/>
  <c r="D36" i="1" s="1"/>
  <c r="B38" i="1" a="1"/>
  <c r="B38" i="1" s="1"/>
  <c r="E39" i="1" a="1"/>
  <c r="E39" i="1" s="1"/>
  <c r="C41" i="1" a="1"/>
  <c r="C41" i="1" s="1"/>
  <c r="A43" i="1" a="1"/>
  <c r="A43" i="1" s="1"/>
  <c r="D44" i="1" a="1"/>
  <c r="D44" i="1" s="1"/>
  <c r="B46" i="1" a="1"/>
  <c r="B46" i="1" s="1"/>
  <c r="E47" i="1" a="1"/>
  <c r="E47" i="1" s="1"/>
  <c r="C49" i="1" a="1"/>
  <c r="C49" i="1" s="1"/>
  <c r="A51" i="1" a="1"/>
  <c r="A51" i="1" s="1"/>
  <c r="D52" i="1" a="1"/>
  <c r="D52" i="1" s="1"/>
  <c r="B54" i="1" a="1"/>
  <c r="B54" i="1" s="1"/>
  <c r="E55" i="1" a="1"/>
  <c r="E55" i="1" s="1"/>
  <c r="C57" i="1" a="1"/>
  <c r="C57" i="1" s="1"/>
  <c r="A59" i="1" a="1"/>
  <c r="A59" i="1" s="1"/>
  <c r="E36" i="1" a="1"/>
  <c r="E36" i="1" s="1"/>
  <c r="C38" i="1" a="1"/>
  <c r="C38" i="1" s="1"/>
  <c r="A40" i="1" a="1"/>
  <c r="A40" i="1" s="1"/>
  <c r="D41" i="1" a="1"/>
  <c r="D41" i="1" s="1"/>
  <c r="B43" i="1" a="1"/>
  <c r="B43" i="1" s="1"/>
  <c r="E44" i="1" a="1"/>
  <c r="E44" i="1" s="1"/>
  <c r="C46" i="1" a="1"/>
  <c r="C46" i="1" s="1"/>
  <c r="A48" i="1" a="1"/>
  <c r="A48" i="1" s="1"/>
  <c r="D49" i="1" a="1"/>
  <c r="D49" i="1" s="1"/>
  <c r="B51" i="1" a="1"/>
  <c r="B51" i="1" s="1"/>
  <c r="E52" i="1" a="1"/>
  <c r="E52" i="1" s="1"/>
  <c r="A56" i="1" a="1"/>
  <c r="A56" i="1" s="1"/>
  <c r="B59" i="1" a="1"/>
  <c r="B59" i="1" s="1"/>
  <c r="D38" i="1" a="1"/>
  <c r="D38" i="1" s="1"/>
  <c r="B40" i="1" a="1"/>
  <c r="B40" i="1" s="1"/>
  <c r="C43" i="1" a="1"/>
  <c r="C43" i="1" s="1"/>
  <c r="A45" i="1" a="1"/>
  <c r="A45" i="1" s="1"/>
  <c r="B48" i="1" a="1"/>
  <c r="B48" i="1" s="1"/>
  <c r="E49" i="1" a="1"/>
  <c r="E49" i="1" s="1"/>
  <c r="A53" i="1" a="1"/>
  <c r="A53" i="1" s="1"/>
  <c r="D54" i="1" a="1"/>
  <c r="D54" i="1" s="1"/>
  <c r="E57" i="1" a="1"/>
  <c r="E57" i="1" s="1"/>
  <c r="C59" i="1" a="1"/>
  <c r="C59" i="1" s="1"/>
  <c r="B37" i="1" a="1"/>
  <c r="B37" i="1" s="1"/>
  <c r="C40" i="1" a="1"/>
  <c r="C40" i="1" s="1"/>
  <c r="A42" i="1" a="1"/>
  <c r="A42" i="1" s="1"/>
  <c r="A55" i="1" a="1"/>
  <c r="A55" i="1" s="1"/>
  <c r="C37" i="1" a="1"/>
  <c r="C37" i="1" s="1"/>
  <c r="C45" i="1" a="1"/>
  <c r="C45" i="1" s="1"/>
  <c r="D37" i="1" a="1"/>
  <c r="D37" i="1" s="1"/>
  <c r="C42" i="1" a="1"/>
  <c r="C42" i="1" s="1"/>
  <c r="A47" i="1" a="1"/>
  <c r="A47" i="1" s="1"/>
  <c r="D51" i="1" a="1"/>
  <c r="D51" i="1" s="1"/>
  <c r="B55" i="1" a="1"/>
  <c r="B55" i="1" s="1"/>
  <c r="E59" i="1" a="1"/>
  <c r="E59" i="1" s="1"/>
  <c r="D43" i="1" a="1"/>
  <c r="D43" i="1" s="1"/>
  <c r="B47" i="1" a="1"/>
  <c r="B47" i="1" s="1"/>
  <c r="E51" i="1" a="1"/>
  <c r="E51" i="1" s="1"/>
  <c r="C56" i="1" a="1"/>
  <c r="C56" i="1" s="1"/>
  <c r="A39" i="1" a="1"/>
  <c r="A39" i="1" s="1"/>
  <c r="E43" i="1" a="1"/>
  <c r="E43" i="1" s="1"/>
  <c r="C48" i="1" a="1"/>
  <c r="C48" i="1" s="1"/>
  <c r="A52" i="1" a="1"/>
  <c r="A52" i="1" s="1"/>
  <c r="D56" i="1" a="1"/>
  <c r="D56" i="1" s="1"/>
  <c r="B39" i="1" a="1"/>
  <c r="B39" i="1" s="1"/>
  <c r="A44" i="1" a="1"/>
  <c r="A44" i="1" s="1"/>
  <c r="D48" i="1" a="1"/>
  <c r="D48" i="1" s="1"/>
  <c r="B53" i="1" a="1"/>
  <c r="B53" i="1" s="1"/>
  <c r="E56" i="1" a="1"/>
  <c r="E56" i="1" s="1"/>
  <c r="D40" i="1" a="1"/>
  <c r="D40" i="1" s="1"/>
  <c r="B45" i="1" a="1"/>
  <c r="B45" i="1" s="1"/>
  <c r="E48" i="1" a="1"/>
  <c r="E48" i="1" s="1"/>
  <c r="C53" i="1" a="1"/>
  <c r="C53" i="1" s="1"/>
  <c r="A58" i="1" a="1"/>
  <c r="A58" i="1" s="1"/>
  <c r="E40" i="1" a="1"/>
  <c r="E40" i="1" s="1"/>
  <c r="A50" i="1" a="1"/>
  <c r="A50" i="1" s="1"/>
  <c r="D53" i="1" a="1"/>
  <c r="D53" i="1" s="1"/>
  <c r="B58" i="1" a="1"/>
  <c r="B58" i="1" s="1"/>
  <c r="D45" i="1" a="1"/>
  <c r="D45" i="1" s="1"/>
  <c r="B50" i="1" a="1"/>
  <c r="B50" i="1" s="1"/>
  <c r="E54" i="1" a="1"/>
  <c r="E54" i="1" s="1"/>
  <c r="C58" i="1" a="1"/>
  <c r="C58" i="1" s="1"/>
  <c r="B42" i="1" a="1"/>
  <c r="B42" i="1" s="1"/>
  <c r="C50" i="1" a="1"/>
  <c r="C50" i="1" s="1"/>
  <c r="D59" i="1" a="1"/>
  <c r="D59" i="1" s="1"/>
  <c r="E46" i="1" a="1"/>
  <c r="E46" i="1" s="1"/>
  <c r="B30" i="1" a="1"/>
  <c r="B30" i="1" s="1"/>
  <c r="B32" i="1" a="1"/>
  <c r="B32" i="1" s="1"/>
  <c r="B34" i="1" a="1"/>
  <c r="B34" i="1" s="1"/>
  <c r="C34" i="1" a="1"/>
  <c r="C34" i="1" s="1"/>
  <c r="D32" i="1" a="1"/>
  <c r="D32" i="1" s="1"/>
  <c r="E30" i="1" a="1"/>
  <c r="E30" i="1" s="1"/>
  <c r="B31" i="1" a="1"/>
  <c r="B31" i="1" s="1"/>
  <c r="B35" i="1" a="1"/>
  <c r="B35" i="1" s="1"/>
  <c r="C33" i="1" a="1"/>
  <c r="C33" i="1" s="1"/>
  <c r="D31" i="1" a="1"/>
  <c r="D31" i="1" s="1"/>
  <c r="E31" i="1" a="1"/>
  <c r="E31" i="1" s="1"/>
  <c r="C30" i="1" a="1"/>
  <c r="C30" i="1" s="1"/>
  <c r="C32" i="1" a="1"/>
  <c r="C32" i="1" s="1"/>
  <c r="D30" i="1" a="1"/>
  <c r="D30" i="1" s="1"/>
  <c r="D34" i="1" a="1"/>
  <c r="D34" i="1" s="1"/>
  <c r="E32" i="1" a="1"/>
  <c r="E32" i="1" s="1"/>
  <c r="E34" i="1" a="1"/>
  <c r="E34" i="1" s="1"/>
  <c r="B33" i="1" a="1"/>
  <c r="B33" i="1" s="1"/>
  <c r="C31" i="1" a="1"/>
  <c r="C31" i="1" s="1"/>
  <c r="C35" i="1" a="1"/>
  <c r="C35" i="1" s="1"/>
  <c r="D33" i="1" a="1"/>
  <c r="D33" i="1" s="1"/>
  <c r="E33" i="1" a="1"/>
  <c r="E33" i="1" s="1"/>
  <c r="E35" i="1" a="1"/>
  <c r="E35" i="1" s="1"/>
  <c r="D35" i="1" a="1"/>
  <c r="D35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E29" i="1" a="1"/>
  <c r="E29" i="1" s="1"/>
  <c r="A14" i="1"/>
  <c r="F13" i="1"/>
  <c r="C13" i="1"/>
  <c r="B13" i="1"/>
  <c r="E13" i="1"/>
  <c r="D13" i="1"/>
  <c r="D29" i="1" a="1"/>
  <c r="D29" i="1" s="1"/>
  <c r="A29" i="1" a="1"/>
  <c r="A29" i="1" s="1"/>
  <c r="C29" i="1" a="1"/>
  <c r="C29" i="1" s="1"/>
  <c r="B29" i="1" a="1"/>
  <c r="B29" i="1" s="1"/>
  <c r="F29" i="1" l="1"/>
  <c r="F14" i="1"/>
  <c r="E14" i="1"/>
  <c r="D14" i="1"/>
  <c r="B14" i="1"/>
  <c r="C14" i="1"/>
  <c r="A15" i="1"/>
  <c r="C15" i="1" l="1"/>
  <c r="A16" i="1"/>
  <c r="F15" i="1"/>
  <c r="E15" i="1"/>
  <c r="B15" i="1"/>
  <c r="D15" i="1"/>
  <c r="F16" i="1" l="1"/>
  <c r="E16" i="1"/>
  <c r="D16" i="1"/>
  <c r="C16" i="1"/>
  <c r="A17" i="1"/>
  <c r="B16" i="1"/>
  <c r="D17" i="1" l="1"/>
  <c r="C17" i="1"/>
  <c r="B17" i="1"/>
  <c r="F17" i="1"/>
  <c r="E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<sst xmlns="http://schemas.openxmlformats.org/spreadsheetml/2006/main" count="959" uniqueCount="188">
  <si>
    <t>План недели и предварительное количество точек</t>
  </si>
  <si>
    <t>Неделя определяется по понедельнику. Итог учитывает все строки календаря, кроме отменённых. Если у объекта не заполнен POINTS_COUNT, итог будет неполным.</t>
  </si>
  <si>
    <t>Выездов / объектов</t>
  </si>
  <si>
    <t>Предварительно точек</t>
  </si>
  <si>
    <t>Без количества точек</t>
  </si>
  <si>
    <t>Дата</t>
  </si>
  <si>
    <t>День</t>
  </si>
  <si>
    <t>Объектов</t>
  </si>
  <si>
    <t>Точек</t>
  </si>
  <si>
    <t>Запланировано</t>
  </si>
  <si>
    <t>Выполнено</t>
  </si>
  <si>
    <t>Контроль заполнения</t>
  </si>
  <si>
    <t>Объекты без количества точек</t>
  </si>
  <si>
    <t>Заполните жёлтый столбец «Количество точек» на листе «Объекты»</t>
  </si>
  <si>
    <t>Объекты без ALBUM_URL</t>
  </si>
  <si>
    <t>Проверьте публичную ссылку на альбом</t>
  </si>
  <si>
    <t>Строки календаря без сотрудника</t>
  </si>
  <si>
    <t>Выберите сотрудника в календаре</t>
  </si>
  <si>
    <t>Строки календаря без статуса</t>
  </si>
  <si>
    <t>Выберите статус в календаре</t>
  </si>
  <si>
    <t>Объекты отчётного периода</t>
  </si>
  <si>
    <t>Объект</t>
  </si>
  <si>
    <t>Сотрудник</t>
  </si>
  <si>
    <t>Статус</t>
  </si>
  <si>
    <t>Количество точек</t>
  </si>
  <si>
    <t>Итог</t>
  </si>
  <si>
    <t>Календарь выездов</t>
  </si>
  <si>
    <t>Одна строка — один объект в один день. Чтобы добавить несколько объектов в один выезд, добавьте несколько строк с одинаковой датой и сотрудником. POINTS_COUNT и WEEK_START рассчитываются автоматически.</t>
  </si>
  <si>
    <t>Ленинградский вокзал</t>
  </si>
  <si>
    <t>Струков Д.М.</t>
  </si>
  <si>
    <t>Фотопанорамная съёмка</t>
  </si>
  <si>
    <t>Выполнен</t>
  </si>
  <si>
    <t>ст. Карамышевская</t>
  </si>
  <si>
    <t>ст. Остров мечты</t>
  </si>
  <si>
    <t>Сафонов М.С.</t>
  </si>
  <si>
    <t>ст. Бульвар Генерала Карбышева</t>
  </si>
  <si>
    <t>ст. ЗИЛ</t>
  </si>
  <si>
    <t>ст. Звенигородская</t>
  </si>
  <si>
    <t>Пл.10 РАЛ</t>
  </si>
  <si>
    <t>Съёмка всех площадок РАЛ и МБЛ</t>
  </si>
  <si>
    <t>Пл.12 РАЛ</t>
  </si>
  <si>
    <t>Пл.13 РАЛ</t>
  </si>
  <si>
    <t>Пл.14 РАЛ</t>
  </si>
  <si>
    <t>Пл.№1а</t>
  </si>
  <si>
    <t>Пл.№2а</t>
  </si>
  <si>
    <t>Пл.№2б</t>
  </si>
  <si>
    <t>ст. Живописная</t>
  </si>
  <si>
    <t>ст. Строгино</t>
  </si>
  <si>
    <t>ст. Липовая Роща</t>
  </si>
  <si>
    <t>Ситуационный центр</t>
  </si>
  <si>
    <t>Регулярная съёмка по понедельникам, средам и пятницам</t>
  </si>
  <si>
    <t>Новорижская</t>
  </si>
  <si>
    <t>Лазерное сканирование</t>
  </si>
  <si>
    <t>Лазерное сканирование объекта</t>
  </si>
  <si>
    <t>СберСити</t>
  </si>
  <si>
    <t>ст. Новорижская</t>
  </si>
  <si>
    <t>Отменён</t>
  </si>
  <si>
    <t>Запланирован</t>
  </si>
  <si>
    <t>Справочник объектов</t>
  </si>
  <si>
    <t>Жёлтый столбец «Количество точек» заполняется вручную: укажите, сколько точек снимается на каждом объекте. Ссылки и координаты остаются техническими данными дашборда.</t>
  </si>
  <si>
    <t>Обязательное новое поле — POINTS_COUNT: количество снимаемых точек на объекте. Жёлтые поля заполняются вручную; ссылки и координаты остаются техническими данными дашборда.</t>
  </si>
  <si>
    <t>OBJECT_ID</t>
  </si>
  <si>
    <t>OBJECT_NAME</t>
  </si>
  <si>
    <t>OBJECT_GROUP</t>
  </si>
  <si>
    <t>OBJECT_TYPE</t>
  </si>
  <si>
    <t>ADDRESS</t>
  </si>
  <si>
    <t>LATITUDE</t>
  </si>
  <si>
    <t>LONGITUDE</t>
  </si>
  <si>
    <t>YANDEX_MAP_URL</t>
  </si>
  <si>
    <t>ALBUM_URL</t>
  </si>
  <si>
    <t>PHOTO_PATH</t>
  </si>
  <si>
    <t>IS_ACTIVE</t>
  </si>
  <si>
    <t>COMMENT</t>
  </si>
  <si>
    <t>OBJ_001</t>
  </si>
  <si>
    <t>Рублёво-Архангельская линия метрополитена. Этап 1</t>
  </si>
  <si>
    <t>Линия метрополитена</t>
  </si>
  <si>
    <t>https://yandex.ru/maps/213/moscow/?ll=37.516952%2C55.763186&amp;mode=whatshere&amp;whatshere%5Bpoint%5D=37.516369%2C55.763325&amp;whatshere%5Bzoom%5D=19.26&amp;z=19.26</t>
  </si>
  <si>
    <t>https://pa.sgnl.pro/public/album/b21ka</t>
  </si>
  <si>
    <t>C:\Users\tsemb\Desktop\test_photo\OBJ_001.png</t>
  </si>
  <si>
    <t>Да</t>
  </si>
  <si>
    <t>OBJ_002</t>
  </si>
  <si>
    <t>https://yandex.ru/maps/213/moscow/?ll=37.500135%2C55.771035&amp;mode=whatshere&amp;whatshere%5Bpoint%5D=37.500111%2C55.770735&amp;whatshere%5Bzoom%5D=19.26&amp;z=19.26</t>
  </si>
  <si>
    <t>https://pa.sgnl.pro/public/album/r8qor</t>
  </si>
  <si>
    <t>C:\Users\tsemb\Desktop\test_photo\OBJ_002.png</t>
  </si>
  <si>
    <t>OBJ_003</t>
  </si>
  <si>
    <t>https://yandex.ru/maps/213/moscow/?ll=37.482005%2C55.782882&amp;mode=whatshere&amp;whatshere%5Bpoint%5D=37.481804%2C55.782840&amp;whatshere%5Bzoom%5D=20.31&amp;z=20.31</t>
  </si>
  <si>
    <t>https://pa.sgnl.pro/public/album/rmyqr</t>
  </si>
  <si>
    <t>C:\Users\tsemb\Desktop\test_photo\OBJ_003.png</t>
  </si>
  <si>
    <t>OBJ_004</t>
  </si>
  <si>
    <t>https://yandex.ru/maps/213/moscow/?ll=37.480209%2C55.782987&amp;mode=whatshere&amp;whatshere%5Bpoint%5D=37.480585%2C55.783037&amp;whatshere%5Bzoom%5D=19.11&amp;z=19.11</t>
  </si>
  <si>
    <t>https://pa.sgnl.pro/public/album/bxpdr</t>
  </si>
  <si>
    <t>C:\Users\tsemb\Desktop\test_photo\OBJ_004.png</t>
  </si>
  <si>
    <t>OBJ_005</t>
  </si>
  <si>
    <t>https://yandex.ru/maps/213/moscow/?ll=37.464615%2C55.785575&amp;mode=whatshere&amp;whatshere%5Bpoint%5D=37.464199%2C55.785665&amp;whatshere%5Bzoom%5D=19.74&amp;z=19.74</t>
  </si>
  <si>
    <t>https://pa.sgnl.pro/public/album/b3gvr</t>
  </si>
  <si>
    <t>C:\Users\tsemb\Desktop\test_photo\OBJ_005.png</t>
  </si>
  <si>
    <t>OBJ_006</t>
  </si>
  <si>
    <t>https://yandex.ru/maps/213/moscow/?display-text=%D1%81%D1%82%D0%B0%D0%BD%D1%86%D0%B8%D1%8F%20%D0%B6%D0%B8%D0%B2%D0%BE%D0%BF%D0%B8%D1%81%D0%BD%D0%B0%D1%8F&amp;filter=alternate_vertical%3AWhatWhere&amp;ll=37.451541%2C55.789554&amp;mode=search&amp;sctx=ZAAAAAgCEAAaKAoSCY4j1uJTxEJAES49murJ5EtAEhIJWHIVi98Uuj8RVUyln3B2oz8iBgABAgMEBSgKOABAvZIHSAFqAnJ1nQHNzMw9oAEAqAEAvQFDuQMQggIj0YHRgtCw0L3RhtC40Y8g0LbQuNCy0L7Qv9C40YHQvdCw0Y%2BKAgCSAgMyMTOaAgxkZXNrdG9wLW1hcHM%3D&amp;sll=37.451541%2C55.789554&amp;sspn=0.003184%2C0.001188&amp;text=%D1%81%D1%82%D0%B0%D0%BD%D1%86%D0%B8%D1%8F%20%D0%B6%D0%B8%D0%B2%D0%BE%D0%BF%D0%B8%D1%81%D0%BD%D0%B0%D1%8F&amp;whatshere%5Bpoint%5D=37.451494%2C55.789194&amp;whatshere%5Bzoom%5D=19&amp;z=19</t>
  </si>
  <si>
    <t>https://pa.sgnl.pro/public/album/bqggg</t>
  </si>
  <si>
    <t>C:\Users\tsemb\Desktop\test_photo\OBJ_006.png</t>
  </si>
  <si>
    <t>OBJ_007</t>
  </si>
  <si>
    <t>https://yandex.ru/maps/213/moscow/?ll=37.511946%2C55.765042&amp;mode=whatshere&amp;whatshere%5Bpoint%5D=37.511278%2C55.765043&amp;whatshere%5Bzoom%5D=18.97&amp;z=18.97</t>
  </si>
  <si>
    <t>https://pa.sgnl.pro/public/album/a418a</t>
  </si>
  <si>
    <t>C:\Users\tsemb\Desktop\test_photo\OBJ_007.png</t>
  </si>
  <si>
    <t>OBJ_008</t>
  </si>
  <si>
    <t>https://yandex.ru/maps/213/moscow/?ll=37.488031%2C55.775786&amp;mode=whatshere&amp;whatshere%5Bpoint%5D=37.488061%2C55.775786&amp;whatshere%5Bzoom%5D=20.55&amp;z=20.55</t>
  </si>
  <si>
    <t>https://pa.sgnl.pro/public/album/rzeyr</t>
  </si>
  <si>
    <t>C:\Users\tsemb\Desktop\test_photo\OBJ_008.png</t>
  </si>
  <si>
    <t>OBJ_009</t>
  </si>
  <si>
    <t>https://yandex.ru/maps/213/moscow/?display-text=%D1%81%D1%82%D0%B0%D0%BD%D1%86%D0%B8%D1%8F%20%D0%B6%D0%B8%D0%B2%D0%BE%D0%BF%D0%B8%D1%81%D0%BD%D0%B0%D1%8F&amp;filter=alternate_vertical%3AWhatWhere&amp;ll=37.376657%2C55.794381&amp;mode=search&amp;sctx=ZAAAAAgCEAAaKAoSCY4j1uJTxEJAES49murJ5EtAEhIJWHIVi98Uuj8RVUyln3B2oz8iBgABAgMEBSgKOABAvJIHSAFqAnJ1nQHNzMw9oAEAqAEAvQFDuQMQggIj0YHRgtCw0L3RhtC40Y8g0LbQuNCy0L7Qv9C40YHQvdCw0Y%2BKAgCSAgMyMTOaAgxkZXNrdG9wLW1hcHM%3D&amp;sll=37.376657%2C55.794381&amp;sspn=0.012735%2C0.004751&amp;text=%D1%81%D1%82%D0%B0%D0%BD%D1%86%D0%B8%D1%8F%20%D0%B6%D0%B8%D0%B2%D0%BE%D0%BF%D0%B8%D1%81%D0%BD%D0%B0%D1%8F&amp;whatshere%5Bpoint%5D=37.377671%2C55.795765&amp;whatshere%5Bzoom%5D=17&amp;z=17</t>
  </si>
  <si>
    <t>https://pa.sgnl.pro/public/album/bdmm6</t>
  </si>
  <si>
    <t>C:\Users\tsemb\Desktop\test_photo\OBJ_009.png</t>
  </si>
  <si>
    <t>OBJ_010</t>
  </si>
  <si>
    <t>https://yandex.ru/maps/213/moscow/?display-text=%D1%81%D1%82%D0%B0%D0%BD%D1%86%D0%B8%D1%8F%20%D0%B6%D0%B8%D0%B2%D0%BE%D0%BF%D0%B8%D1%81%D0%BD%D0%B0%D1%8F&amp;filter=alternate_vertical%3AWhatWhere&amp;ll=37.403279%2C55.803599&amp;mode=search&amp;sctx=ZAAAAAgCEAAaKAoSCY4j1uJTxEJAES49murJ5EtAEhIJWHIVi98Uuj8RVUyln3B2oz8iBgABAgMEBSgKOABAvJIHSAFqAnJ1nQHNzMw9oAEAqAEAvQFDuQMQggIj0YHRgtCw0L3RhtC40Y8g0LbQuNCy0L7Qv9C40YHQvdCw0Y%2BKAgCSAgMyMTOaAgxkZXNrdG9wLW1hcHM%3D&amp;sll=37.403279%2C55.803599&amp;sspn=0.003184%2C0.001187&amp;text=%D1%81%D1%82%D0%B0%D0%BD%D1%86%D0%B8%D1%8F%20%D0%B6%D0%B8%D0%B2%D0%BE%D0%BF%D0%B8%D1%81%D0%BD%D0%B0%D1%8F&amp;whatshere%5Bpoint%5D=37.403089%2C55.803678&amp;whatshere%5Bzoom%5D=19&amp;z=19</t>
  </si>
  <si>
    <t>https://pa.sgnl.pro/public/album/b2eew</t>
  </si>
  <si>
    <t>C:\Users\tsemb\Desktop\test_photo\OBJ_010.png</t>
  </si>
  <si>
    <t>OBJ_011</t>
  </si>
  <si>
    <t>Бирюлёвская линия метрополитена</t>
  </si>
  <si>
    <t>https://yandex.ru/maps/213/moscow/?ll=37.646763%2C55.698830&amp;mode=whatshere&amp;whatshere%5Bpoint%5D=37.646635%2C55.698813&amp;whatshere%5Bzoom%5D=20.3&amp;z=20.3</t>
  </si>
  <si>
    <t>https://pa.sgnl.pro/public/album/r866l</t>
  </si>
  <si>
    <t>C:\Users\tsemb\Desktop\test_photo\OBJ_011.png</t>
  </si>
  <si>
    <t>OBJ_012</t>
  </si>
  <si>
    <t>https://yandex.ru/maps/213/moscow/?ll=37.666834%2C55.692642&amp;mode=whatshere&amp;whatshere%5Bpoint%5D=37.666723%2C55.692665&amp;whatshere%5Bzoom%5D=20.7&amp;z=20.7</t>
  </si>
  <si>
    <t>https://pa.sgnl.pro/public/album/rm11v</t>
  </si>
  <si>
    <t>C:\Users\tsemb\Desktop\test_photo\OBJ_012.png</t>
  </si>
  <si>
    <t>OBJ_013</t>
  </si>
  <si>
    <t>Другие объекты</t>
  </si>
  <si>
    <t>Другой объект</t>
  </si>
  <si>
    <t>https://yandex.ru/maps/213/moscow/?ll=37.656142%2C55.776087&amp;mode=whatshere&amp;whatshere%5Bpoint%5D=37.655952%2C55.776084&amp;whatshere%5Bzoom%5D=21&amp;z=21</t>
  </si>
  <si>
    <t>https://pa.sgnl.pro/public/album/a5o6b</t>
  </si>
  <si>
    <t>C:\Users\tsemb\Desktop\test_photo\OBJ_013.png</t>
  </si>
  <si>
    <t>OBJ_014</t>
  </si>
  <si>
    <t>https://yandex.ru/maps/213/moscow/?ll=37.648934%2C55.697567&amp;mode=whatshere&amp;whatshere%5Bpoint%5D=37.648490%2C55.697678&amp;whatshere%5Bzoom%5D=18.55&amp;z=18.55</t>
  </si>
  <si>
    <t>https://pa.sgnl.pro/public/album/rm5qa</t>
  </si>
  <si>
    <t>C:\Users\tsemb\Desktop\test_photo\OBJ_014.png</t>
  </si>
  <si>
    <t>Нет</t>
  </si>
  <si>
    <t>OBJ_015</t>
  </si>
  <si>
    <t>https://yandex.ru/maps/213/moscow/?ll=37.651418%2C55.696142&amp;mode=whatshere&amp;whatshere%5Bpoint%5D=37.651751%2C55.696140&amp;whatshere%5Bzoom%5D=18.35&amp;z=18.35</t>
  </si>
  <si>
    <t>https://pa.sgnl.pro/public/album/rn2gr</t>
  </si>
  <si>
    <t>C:\Users\tsemb\Desktop\test_photo\OBJ_015.png</t>
  </si>
  <si>
    <t>OBJ_016</t>
  </si>
  <si>
    <t>https://yandex.ru/maps/213/moscow/?ll=37.662717%2C55.696625&amp;mode=whatshere&amp;whatshere%5Bpoint%5D=37.662736%2C55.696630&amp;whatshere%5Bzoom%5D=20.55&amp;z=20.55</t>
  </si>
  <si>
    <t>https://pa.sgnl.pro/public/album/rpm5r</t>
  </si>
  <si>
    <t>C:\Users\tsemb\Desktop\test_photo\OBJ_016.png</t>
  </si>
  <si>
    <t>OBJ_017</t>
  </si>
  <si>
    <t>https://yandex.ru/maps/213/moscow/?l=stv%2Csta&amp;ll=37.591481%2C55.770942&amp;mode=whatshere&amp;whatshere%5Bpoint%5D=37.591084%2C55.770785&amp;whatshere%5Bzoom%5D=20&amp;z=20</t>
  </si>
  <si>
    <t>https://pa.sgnl.pro/public/album/rlww8</t>
  </si>
  <si>
    <t>C:\Users\tsemb\Desktop\test_photo\OBJ_017.png</t>
  </si>
  <si>
    <t>OBJ_018</t>
  </si>
  <si>
    <t>Рублёво-Архангельская линия метрополитена. Этап 2</t>
  </si>
  <si>
    <t>между Ильинским шоссе и 23-м км Новорижского шоссе</t>
  </si>
  <si>
    <t>https://yandex.ru/maps/?ll=37.288000%2C55.800500&amp;z=16&amp;pt=37.288000%2C55.800500,pm2rdm</t>
  </si>
  <si>
    <t>https://pa.sgnl.pro/public/album/rpvvx</t>
  </si>
  <si>
    <t>OBJ_019</t>
  </si>
  <si>
    <t>ст. СберСити</t>
  </si>
  <si>
    <t>Москва, микрорайон Рублёво-Архангельское</t>
  </si>
  <si>
    <t>https://yandex.ru/maps/213/moscow/?ll=37.333132%2C55.794514&amp;mode=whatshere&amp;pt=37.336449%2C55.790530%2Cpm2rdm&amp;whatshere%5Bpoint%5D=37.330129%2C55.794767&amp;whatshere%5Bzoom%5D=17.2&amp;z=17.2</t>
  </si>
  <si>
    <t>https://pa.sgnl.pro/public/album/r9993</t>
  </si>
  <si>
    <t>Справочники</t>
  </si>
  <si>
    <t>Списки используются в выпадающих полях календаря и карточек объектов. Добавляйте новые значения в соответствующий столбец.</t>
  </si>
  <si>
    <t>Статусы</t>
  </si>
  <si>
    <t>Сотрудники</t>
  </si>
  <si>
    <t>Активность</t>
  </si>
  <si>
    <t>Виды работ</t>
  </si>
  <si>
    <t>Значок на карте</t>
  </si>
  <si>
    <t>Типы объектов</t>
  </si>
  <si>
    <t>Группы объектов</t>
  </si>
  <si>
    <t>Панорамная камера</t>
  </si>
  <si>
    <t>Лазерный сканер</t>
  </si>
  <si>
    <t>Перенесён</t>
  </si>
  <si>
    <t>Требует подтверждения</t>
  </si>
  <si>
    <t>Отчётный период: среда включительно — следующая среда исключительно. В среду до штаба сохраняется завершённый период; после штаба укажите его дату в ячейке F4, и план сразу переключится на новый период. В остальные дни период меняется автоматически.</t>
  </si>
  <si>
    <t>Период с</t>
  </si>
  <si>
    <t>до (не включая)</t>
  </si>
  <si>
    <t>Дата последнего штаба</t>
  </si>
  <si>
    <t>После каждого штаба меняйте только жёлтую ячейку F4 на дату проведённого штаба.</t>
  </si>
  <si>
    <t>Одна подготовленная строка на каждую дату с 01.01.2026 по 31.12.2030. Если в день несколько выездов, вставьте новую строку внутри таблицы сразу после нужной даты и повторите VISIT_DATE. VISIT_ID, день недели, количество точек и отчётный период рассчитываются автоматически; новая строка попадёт в статистику.</t>
  </si>
  <si>
    <t>VISIT_ID</t>
  </si>
  <si>
    <t>VISIT_DATE</t>
  </si>
  <si>
    <t>День недели</t>
  </si>
  <si>
    <t>OBJECTS</t>
  </si>
  <si>
    <t>EMPLOYEE</t>
  </si>
  <si>
    <t>WORK_TYPE</t>
  </si>
  <si>
    <t>STATUS</t>
  </si>
  <si>
    <t>Начало отчётного периода</t>
  </si>
  <si>
    <t>№ в текущем периоде</t>
  </si>
  <si>
    <t>POINTS_COUNT</t>
  </si>
  <si>
    <t>Завершено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</si>
</sst>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\.mm\.yyyy"/>
  </numFmts>
  <fonts count="11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color rgb="FF1F2937"/>
      <name val="Carlito"/>
    </font>
    <font>
      <b/>
      <sz val="11"/>
      <color rgb="FF1F2937"/>
      <name val="Carlito"/>
    </font>
    <font>
      <sz val="11"/>
      <color rgb="FF64748B"/>
      <name val="Carlito"/>
    </font>
    <font>
      <b/>
      <sz val="11"/>
      <color rgb="FF1E3A5F"/>
      <name val="Carlito"/>
    </font>
    <font>
      <b/>
      <sz val="11"/>
      <color rgb="FF92400E"/>
      <name val="Carlito"/>
    </font>
    <font>
      <sz val="11"/>
      <name val="Carlito"/>
    </font>
    <font>
      <sz val="11"/>
      <color rgb="FFFFFFFF"/>
      <name val="Carlito"/>
    </font>
    <font>
      <sz val="11"/>
      <color rgb="FFC000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2F8"/>
      </patternFill>
    </fill>
    <fill>
      <patternFill patternType="solid">
        <fgColor rgb="FF0E7490"/>
      </patternFill>
    </fill>
    <fill>
      <patternFill patternType="solid">
        <fgColor rgb="FFFFF4CC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24466D"/>
      </patternFill>
    </fill>
    <fill>
      <patternFill patternType="solid">
        <fgColor rgb="FF177F98"/>
      </patternFill>
    </fill>
    <fill>
      <patternFill patternType="solid">
        <fgColor rgb="FFFFF4CC"/>
      </patternFill>
    </fill>
    <fill>
      <patternFill patternType="solid">
        <fgColor rgb="FFEAF2F8"/>
      </patternFill>
    </fill>
    <fill>
      <patternFill patternType="solid">
        <fgColor rgb="FF92D050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/>
      <right/>
      <top/>
      <bottom style="thin">
        <color rgb="FFB8C7D9"/>
      </bottom>
      <diagonal/>
    </border>
    <border>
      <left style="thin">
        <color rgb="FFB8C7D9"/>
      </left>
      <right/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/>
      <diagonal/>
    </border>
    <border>
      <left/>
      <right style="thin">
        <color rgb="FFB7C9DC"/>
      </right>
      <top/>
      <bottom style="thin">
        <color rgb="FFB7C9DC"/>
      </bottom>
      <diagonal/>
    </border>
    <border>
      <left style="thin">
        <color rgb="FFB7C9DC"/>
      </left>
      <right style="thin">
        <color rgb="FFB7C9DC"/>
      </right>
      <top/>
      <bottom style="thin">
        <color rgb="FFB7C9DC"/>
      </bottom>
      <diagonal/>
    </border>
    <border>
      <left style="thin">
        <color rgb="FFB7C9DC"/>
      </left>
      <right/>
      <top/>
      <bottom style="thin">
        <color rgb="FFB7C9DC"/>
      </bottom>
      <diagonal/>
    </border>
    <border>
      <left/>
      <right style="thin">
        <color rgb="FFB7C9DC"/>
      </right>
      <top style="thin">
        <color rgb="FFB7C9DC"/>
      </top>
      <bottom style="thin">
        <color rgb="FFB7C9DC"/>
      </bottom>
      <diagonal/>
    </border>
    <border>
      <left style="thin">
        <color rgb="FFB7C9DC"/>
      </left>
      <right style="thin">
        <color rgb="FFB7C9DC"/>
      </right>
      <top style="thin">
        <color rgb="FFB7C9DC"/>
      </top>
      <bottom style="thin">
        <color rgb="FFB7C9DC"/>
      </bottom>
      <diagonal/>
    </border>
    <border>
      <left style="thin">
        <color rgb="FFB7C9DC"/>
      </left>
      <right/>
      <top style="thin">
        <color rgb="FFB7C9DC"/>
      </top>
      <bottom style="thin">
        <color rgb="FFB7C9DC"/>
      </bottom>
      <diagonal/>
    </border>
    <border>
      <left/>
      <right style="thin">
        <color rgb="FFB7C9DC"/>
      </right>
      <top style="thin">
        <color rgb="FFB7C9DC"/>
      </top>
      <bottom/>
      <diagonal/>
    </border>
    <border>
      <left style="thin">
        <color rgb="FFB7C9DC"/>
      </left>
      <right style="thin">
        <color rgb="FFB7C9DC"/>
      </right>
      <top style="thin">
        <color rgb="FFB7C9DC"/>
      </top>
      <bottom/>
      <diagonal/>
    </border>
    <border>
      <left style="thin">
        <color rgb="FFB7C9DC"/>
      </left>
      <right/>
      <top style="thin">
        <color rgb="FFB7C9DC"/>
      </top>
      <bottom/>
      <diagonal/>
    </border>
  </borders>
  <cellStyleXfs count="2">
    <xf numFmtId="0" fontId="0" fillId="0" borderId="0"/>
    <xf numFmtId="0" fontId="8" fillId="0" borderId="0"/>
  </cellStyleXfs>
  <cellXfs count="66">
    <xf numFmtId="0" fontId="0" fillId="0" borderId="0" xfId="0"/>
    <xf numFmtId="0" fontId="1" fillId="4" borderId="1" xfId="1" applyFont="1" applyFill="1" applyBorder="1" applyAlignment="1">
      <alignment horizontal="center" vertical="center" wrapText="1"/>
    </xf>
    <xf numFmtId="0" fontId="0" fillId="5" borderId="0" xfId="1" applyFont="1" applyFill="1"/>
    <xf numFmtId="0" fontId="3" fillId="5" borderId="0" xfId="1" applyFont="1" applyFill="1"/>
    <xf numFmtId="0" fontId="3" fillId="5" borderId="2" xfId="1" applyFont="1" applyFill="1" applyBorder="1"/>
    <xf numFmtId="0" fontId="0" fillId="6" borderId="0" xfId="1" applyFont="1" applyFill="1"/>
    <xf numFmtId="164" fontId="0" fillId="0" borderId="0" xfId="1" applyNumberFormat="1" applyFont="1"/>
    <xf numFmtId="164" fontId="0" fillId="5" borderId="0" xfId="1" applyNumberFormat="1" applyFont="1" applyFill="1"/>
    <xf numFmtId="0" fontId="0" fillId="0" borderId="0" xfId="1" applyFont="1" applyAlignment="1">
      <alignment wrapText="1"/>
    </xf>
    <xf numFmtId="0" fontId="0" fillId="5" borderId="0" xfId="1" applyFont="1" applyFill="1" applyAlignment="1">
      <alignment wrapText="1"/>
    </xf>
    <xf numFmtId="0" fontId="5" fillId="0" borderId="0" xfId="1" applyFont="1"/>
    <xf numFmtId="0" fontId="5" fillId="5" borderId="0" xfId="1" applyFont="1" applyFill="1"/>
    <xf numFmtId="0" fontId="1" fillId="2" borderId="0" xfId="1" applyFont="1" applyFill="1" applyAlignment="1">
      <alignment horizontal="center" wrapText="1"/>
    </xf>
    <xf numFmtId="0" fontId="3" fillId="7" borderId="2" xfId="1" applyFont="1" applyFill="1" applyBorder="1" applyAlignment="1">
      <alignment vertical="center"/>
    </xf>
    <xf numFmtId="0" fontId="3" fillId="7" borderId="4" xfId="1" applyFont="1" applyFill="1" applyBorder="1" applyAlignment="1">
      <alignment vertical="center"/>
    </xf>
    <xf numFmtId="3" fontId="3" fillId="7" borderId="2" xfId="1" applyNumberFormat="1" applyFont="1" applyFill="1" applyBorder="1" applyAlignment="1">
      <alignment horizontal="right" vertical="center"/>
    </xf>
    <xf numFmtId="3" fontId="3" fillId="7" borderId="4" xfId="1" applyNumberFormat="1" applyFont="1" applyFill="1" applyBorder="1" applyAlignment="1">
      <alignment horizontal="right" vertical="center"/>
    </xf>
    <xf numFmtId="0" fontId="3" fillId="6" borderId="2" xfId="1" applyFont="1" applyFill="1" applyBorder="1" applyAlignment="1">
      <alignment vertical="center"/>
    </xf>
    <xf numFmtId="0" fontId="3" fillId="6" borderId="4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3" fontId="7" fillId="5" borderId="2" xfId="1" applyNumberFormat="1" applyFont="1" applyFill="1" applyBorder="1" applyAlignment="1">
      <alignment horizontal="right" vertical="center"/>
    </xf>
    <xf numFmtId="3" fontId="7" fillId="5" borderId="4" xfId="1" applyNumberFormat="1" applyFont="1" applyFill="1" applyBorder="1" applyAlignment="1">
      <alignment horizontal="right" vertical="center"/>
    </xf>
    <xf numFmtId="3" fontId="7" fillId="5" borderId="6" xfId="1" applyNumberFormat="1" applyFont="1" applyFill="1" applyBorder="1" applyAlignment="1">
      <alignment horizontal="right" vertical="center"/>
    </xf>
    <xf numFmtId="165" fontId="3" fillId="7" borderId="2" xfId="1" applyNumberFormat="1" applyFont="1" applyFill="1" applyBorder="1" applyAlignment="1">
      <alignment vertical="center"/>
    </xf>
    <xf numFmtId="165" fontId="3" fillId="7" borderId="4" xfId="1" applyNumberFormat="1" applyFont="1" applyFill="1" applyBorder="1" applyAlignment="1">
      <alignment vertical="center"/>
    </xf>
    <xf numFmtId="0" fontId="4" fillId="5" borderId="3" xfId="0" applyNumberFormat="1" applyFont="1" applyFill="1" applyBorder="1" applyAlignment="1">
      <alignment vertical="center" wrapText="1"/>
    </xf>
    <xf numFmtId="165" fontId="4" fillId="5" borderId="4" xfId="0" applyNumberFormat="1" applyFont="1" applyFill="1" applyBorder="1" applyAlignment="1">
      <alignment vertical="center" wrapText="1"/>
    </xf>
    <xf numFmtId="165" fontId="4" fillId="5" borderId="5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1" fillId="8" borderId="0" xfId="0" applyNumberFormat="1" applyFont="1" applyFill="1" applyBorder="1"/>
    <xf numFmtId="0" fontId="9" fillId="0" borderId="0" xfId="0" applyNumberFormat="1" applyFont="1" applyFill="1" applyBorder="1"/>
    <xf numFmtId="0" fontId="1" fillId="9" borderId="7" xfId="0" applyNumberFormat="1" applyFont="1" applyFill="1" applyBorder="1" applyAlignment="1">
      <alignment horizontal="center"/>
    </xf>
    <xf numFmtId="0" fontId="1" fillId="9" borderId="8" xfId="0" applyNumberFormat="1" applyFont="1" applyFill="1" applyBorder="1" applyAlignment="1">
      <alignment horizontal="center"/>
    </xf>
    <xf numFmtId="0" fontId="1" fillId="9" borderId="9" xfId="0" applyNumberFormat="1" applyFont="1" applyFill="1" applyBorder="1" applyAlignment="1">
      <alignment horizontal="center"/>
    </xf>
    <xf numFmtId="0" fontId="0" fillId="0" borderId="11" xfId="0" applyNumberFormat="1" applyFont="1" applyFill="1" applyBorder="1"/>
    <xf numFmtId="0" fontId="0" fillId="0" borderId="14" xfId="0" applyNumberFormat="1" applyFont="1" applyFill="1" applyBorder="1"/>
    <xf numFmtId="3" fontId="0" fillId="0" borderId="15" xfId="0" applyNumberFormat="1" applyFont="1" applyFill="1" applyBorder="1"/>
    <xf numFmtId="3" fontId="4" fillId="5" borderId="0" xfId="0" applyNumberFormat="1" applyFont="1" applyFill="1" applyBorder="1" applyAlignment="1">
      <alignment horizontal="right"/>
    </xf>
    <xf numFmtId="3" fontId="0" fillId="3" borderId="0" xfId="0" applyNumberFormat="1" applyFont="1" applyFill="1" applyBorder="1"/>
    <xf numFmtId="165" fontId="0" fillId="0" borderId="0" xfId="0" applyNumberFormat="1" applyFont="1" applyFill="1" applyBorder="1"/>
    <xf numFmtId="165" fontId="3" fillId="0" borderId="0" xfId="0" applyNumberFormat="1" applyFont="1" applyFill="1" applyBorder="1"/>
    <xf numFmtId="165" fontId="3" fillId="5" borderId="0" xfId="0" applyNumberFormat="1" applyFont="1" applyFill="1" applyBorder="1"/>
    <xf numFmtId="165" fontId="10" fillId="0" borderId="0" xfId="0" applyNumberFormat="1" applyFont="1" applyFill="1" applyBorder="1"/>
    <xf numFmtId="165" fontId="0" fillId="0" borderId="10" xfId="0" applyNumberFormat="1" applyFont="1" applyFill="1" applyBorder="1"/>
    <xf numFmtId="165" fontId="0" fillId="0" borderId="13" xfId="0" applyNumberFormat="1" applyFont="1" applyFill="1" applyBorder="1"/>
    <xf numFmtId="3" fontId="0" fillId="3" borderId="0" xfId="0" applyNumberFormat="1" applyFont="1" applyFill="1" applyBorder="1"/>
    <xf numFmtId="3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5" borderId="0" xfId="0" applyNumberFormat="1" applyFont="1" applyFill="1" applyBorder="1" applyAlignment="1">
      <alignment horizontal="center"/>
    </xf>
    <xf numFmtId="0" fontId="10" fillId="0" borderId="0" xfId="0" applyNumberFormat="1" applyFont="1" applyFill="1" applyBorder="1" applyAlignment="1">
      <alignment horizontal="center"/>
    </xf>
    <xf numFmtId="165" fontId="7" fillId="10" borderId="0" xfId="0" applyNumberFormat="1" applyFont="1" applyFill="1" applyBorder="1" applyAlignment="1">
      <alignment wrapText="1"/>
    </xf>
    <xf numFmtId="3" fontId="0" fillId="0" borderId="12" xfId="0" applyNumberFormat="1" applyFont="1" applyFill="1" applyBorder="1"/>
    <xf numFmtId="3" fontId="9" fillId="0" borderId="0" xfId="0" applyNumberFormat="1" applyFont="1" applyFill="1" applyBorder="1"/>
    <xf numFmtId="3" fontId="4" fillId="12" borderId="0" xfId="0" applyNumberFormat="1" applyFont="1" applyFill="1" applyBorder="1"/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  <xf numFmtId="3" fontId="6" fillId="3" borderId="3" xfId="1" applyNumberFormat="1" applyFont="1" applyFill="1" applyBorder="1" applyAlignment="1">
      <alignment horizontal="center" vertical="center"/>
    </xf>
    <xf numFmtId="3" fontId="6" fillId="3" borderId="4" xfId="1" applyNumberFormat="1" applyFont="1" applyFill="1" applyBorder="1" applyAlignment="1">
      <alignment horizontal="center" vertical="center"/>
    </xf>
    <xf numFmtId="3" fontId="6" fillId="3" borderId="5" xfId="1" applyNumberFormat="1" applyFont="1" applyFill="1" applyBorder="1" applyAlignment="1">
      <alignment horizontal="center" vertical="center"/>
    </xf>
    <xf numFmtId="0" fontId="2" fillId="11" borderId="0" xfId="0" applyNumberFormat="1" applyFont="1" applyFill="1" applyBorder="1" applyAlignment="1">
      <alignment vertical="center" wrapText="1"/>
    </xf>
    <xf numFmtId="14" fontId="2" fillId="11" borderId="0" xfId="0" applyNumberFormat="1" applyFont="1" applyFill="1" applyBorder="1" applyAlignment="1">
      <alignment vertical="center" wrapText="1"/>
    </xf>
    <xf numFmtId="165" fontId="2" fillId="11" borderId="0" xfId="0" applyNumberFormat="1" applyFont="1" applyFill="1" applyBorder="1" applyAlignment="1">
      <alignment vertical="center" wrapText="1"/>
    </xf>
    <xf numFmtId="0" fontId="0" fillId="0" borderId="0" xfId="0"/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8">
    <dxf>
      <fill>
        <patternFill>
          <bgColor rgb="FFFFF4CC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0F6CBD"/>
      </font>
      <fill>
        <patternFill patternType="solid">
          <bgColor rgb="FFDCEAF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0F6CBD"/>
      </font>
      <fill>
        <patternFill>
          <bgColor rgb="FFDCEAF7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VisitsTable" displayName="VisitsTable" ref="A4:K1883" totalsRowShown="0">
  <autoFilter ref="A4:K1883" xr:uid="{00000000-0009-0000-0100-000002000000}"/>
  <tableColumns count="11">
    <tableColumn id="1" xr3:uid="{00000000-0010-0000-0000-000001000000}" name="VISIT_ID"/>
    <tableColumn id="2" xr3:uid="{00000000-0010-0000-0000-000002000000}" name="VISIT_DATE"/>
    <tableColumn id="3" xr3:uid="{00000000-0010-0000-0000-000003000000}" name="День недели"/>
    <tableColumn id="4" xr3:uid="{00000000-0010-0000-0000-000004000000}" name="OBJECTS"/>
    <tableColumn id="5" xr3:uid="{00000000-0010-0000-0000-000005000000}" name="EMPLOYEE"/>
    <tableColumn id="6" xr3:uid="{00000000-0010-0000-0000-000006000000}" name="WORK_TYPE"/>
    <tableColumn id="7" xr3:uid="{00000000-0010-0000-0000-000007000000}" name="STATUS"/>
    <tableColumn id="8" xr3:uid="{00000000-0010-0000-0000-000008000000}" name="COMMENT"/>
    <tableColumn id="9" xr3:uid="{00000000-0010-0000-0000-000009000000}" name="Количество точек"/>
    <tableColumn id="10" xr3:uid="{00000000-0010-0000-0000-00000A000000}" name="Начало отчётного периода"/>
    <tableColumn id="11" xr3:uid="{00000000-0010-0000-0000-00000B000000}" name="№ в текущем период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bjectsTable" displayName="ObjectsTable" ref="A4:M24" totalsRowShown="0">
  <autoFilter ref="A4:M24" xr:uid="{00000000-0009-0000-0100-000001000000}"/>
  <tableColumns count="13">
    <tableColumn id="1" xr3:uid="{00000000-0010-0000-0100-000001000000}" name="OBJECT_ID"/>
    <tableColumn id="2" xr3:uid="{00000000-0010-0000-0100-000002000000}" name="OBJECT_NAME"/>
    <tableColumn id="3" xr3:uid="{00000000-0010-0000-0100-000003000000}" name="POINTS_COUNT"/>
    <tableColumn id="4" xr3:uid="{00000000-0010-0000-0100-000004000000}" name="OBJECT_GROUP"/>
    <tableColumn id="5" xr3:uid="{00000000-0010-0000-0100-000005000000}" name="OBJECT_TYPE"/>
    <tableColumn id="6" xr3:uid="{00000000-0010-0000-0100-000006000000}" name="ADDRESS"/>
    <tableColumn id="7" xr3:uid="{00000000-0010-0000-0100-000007000000}" name="LATITUDE"/>
    <tableColumn id="8" xr3:uid="{00000000-0010-0000-0100-000008000000}" name="LONGITUDE"/>
    <tableColumn id="9" xr3:uid="{00000000-0010-0000-0100-000009000000}" name="YANDEX_MAP_URL"/>
    <tableColumn id="10" xr3:uid="{00000000-0010-0000-0100-00000A000000}" name="ALBUM_URL"/>
    <tableColumn id="11" xr3:uid="{00000000-0010-0000-0100-00000B000000}" name="PHOTO_PATH"/>
    <tableColumn id="12" xr3:uid="{00000000-0010-0000-0100-00000C000000}" name="IS_ACTIVE"/>
    <tableColumn id="13" xr3:uid="{00000000-0010-0000-0100-00000D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workbookViewId="0">
      <selection activeCell="H35" sqref="H35"/>
    </sheetView>
  </sheetViews>
  <sheetFormatPr defaultRowHeight="14"/>
  <cols>
    <col min="1" max="1" width="31" customWidth="1"/>
    <col min="2" max="2" width="34" customWidth="1"/>
    <col min="3" max="3" width="24" customWidth="1"/>
    <col min="4" max="4" width="18" customWidth="1"/>
    <col min="5" max="5" width="22" customWidth="1"/>
    <col min="6" max="6" width="17.08203125" customWidth="1"/>
  </cols>
  <sheetData>
    <row r="1" spans="1:6" ht="28" customHeight="1">
      <c r="A1" s="56" t="s">
        <v>0</v>
      </c>
      <c r="B1" s="56" t="s">
        <v>0</v>
      </c>
      <c r="C1" s="56" t="s">
        <v>0</v>
      </c>
      <c r="D1" s="56" t="s">
        <v>0</v>
      </c>
      <c r="E1" s="56" t="s">
        <v>0</v>
      </c>
      <c r="F1" s="56" t="s">
        <v>0</v>
      </c>
    </row>
    <row r="2" spans="1:6" ht="30" customHeight="1">
      <c r="A2" s="57" t="s">
        <v>171</v>
      </c>
      <c r="B2" s="57" t="s">
        <v>1</v>
      </c>
      <c r="C2" s="57" t="s">
        <v>1</v>
      </c>
      <c r="D2" s="57" t="s">
        <v>1</v>
      </c>
      <c r="E2" s="57" t="s">
        <v>1</v>
      </c>
      <c r="F2" s="57" t="s">
        <v>1</v>
      </c>
    </row>
    <row r="4" spans="1:6">
      <c r="A4" s="25" t="s">
        <v>172</v>
      </c>
      <c r="B4" s="26">
        <f ca="1">TODAY()-MOD(WEEKDAY(TODAY(),2)-3,7)-IF(AND(WEEKDAY(TODAY(),2)=3,$F$4&lt;&gt;TODAY()),7,0)</f>
        <v>46225</v>
      </c>
      <c r="C4" s="26" t="s">
        <v>173</v>
      </c>
      <c r="D4" s="27">
        <f ca="1">B4+7</f>
        <v>46232</v>
      </c>
      <c r="E4" s="28" t="s">
        <v>174</v>
      </c>
      <c r="F4" s="50">
        <v>46225</v>
      </c>
    </row>
    <row r="5" spans="1:6" ht="14.5">
      <c r="A5" s="61" t="s">
        <v>175</v>
      </c>
      <c r="B5" s="62"/>
      <c r="C5" s="61"/>
      <c r="D5" s="63"/>
      <c r="E5" s="61"/>
      <c r="F5" s="61"/>
    </row>
    <row r="6" spans="1:6">
      <c r="A6" s="12" t="s">
        <v>2</v>
      </c>
      <c r="B6" s="12"/>
      <c r="C6" s="12" t="s">
        <v>3</v>
      </c>
      <c r="D6" s="12"/>
      <c r="E6" s="12" t="s">
        <v>4</v>
      </c>
      <c r="F6" s="12"/>
    </row>
    <row r="7" spans="1:6" ht="38" customHeight="1">
      <c r="A7" s="58">
        <f ca="1">COUNTIFS(Выезды!$B$5:$B$1883,"&gt;="&amp;$B$4,Выезды!$B$5:$B$1883,"&lt;"&amp;$D$4,Выезды!$D$5:$D$1883,"&lt;&gt;",Выезды!$G$5:$G$1883,"&lt;&gt;Отменён")</f>
        <v>7</v>
      </c>
      <c r="B7" s="59"/>
      <c r="C7" s="59">
        <f ca="1">SUMIFS(Выезды!$I$5:$I$1883,Выезды!$B$5:$B$1883,"&gt;="&amp;$B$4,Выезды!$B$5:$B$1883,"&lt;"&amp;$D$4,Выезды!$D$5:$D$1883,"&lt;&gt;",Выезды!$G$5:$G$1883,"&lt;&gt;Отменён")</f>
        <v>1895</v>
      </c>
      <c r="D7" s="59"/>
      <c r="E7" s="59">
        <f ca="1">COUNTIFS(Выезды!$B$5:$B$1883,"&gt;="&amp;$B$4,Выезды!$B$5:$B$1883,"&lt;"&amp;$D$4,Выезды!$D$5:$D$1883,"&lt;&gt;",Выезды!$I$5:$I$1883,"",Выезды!$G$5:$G$1883,"&lt;&gt;Отменён")</f>
        <v>0</v>
      </c>
      <c r="F7" s="60"/>
    </row>
    <row r="10" spans="1:6" ht="30" customHeight="1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10</v>
      </c>
    </row>
    <row r="11" spans="1:6">
      <c r="A11" s="23">
        <f ca="1">$B$4</f>
        <v>46225</v>
      </c>
      <c r="B11" s="13" t="str">
        <f t="shared" ref="B11:B17" ca="1" si="0">CHOOSE(WEEKDAY(A11,2),"Пн","Вт","Ср","Чт","Пт","Сб","Вс")</f>
        <v>Ср</v>
      </c>
      <c r="C11" s="15">
        <f ca="1">COUNTIFS(Выезды!$B$5:$B$1883,A11,Выезды!$D$5:$D$1883,"&lt;&gt;",Выезды!$G$5:$G$1883,"&lt;&gt;Отменён")</f>
        <v>2</v>
      </c>
      <c r="D11" s="15">
        <f ca="1">SUMIFS(Выезды!$I$5:$I$1883,Выезды!$B$5:$B$1883,A11,Выезды!$D$5:$D$1883,"&lt;&gt;",Выезды!$G$5:$G$1883,"&lt;&gt;Отменён")</f>
        <v>351</v>
      </c>
      <c r="E11" s="15">
        <f ca="1">COUNTIFS(Выезды!$B$5:$B$1883,A11,Выезды!$D$5:$D$1883,"&lt;&gt;",Выезды!$G$5:$G$1883,"Запланирован")</f>
        <v>0</v>
      </c>
      <c r="F11" s="15">
        <f ca="1">COUNTIFS(Выезды!$B$5:$B$1883,A11,Выезды!$D$5:$D$1883,"&lt;&gt;",Выезды!$G$5:$G$1883,"Выполнен")</f>
        <v>2</v>
      </c>
    </row>
    <row r="12" spans="1:6">
      <c r="A12" s="24">
        <f t="shared" ref="A12:A17" ca="1" si="1">A11+1</f>
        <v>46226</v>
      </c>
      <c r="B12" s="14" t="str">
        <f t="shared" ca="1" si="0"/>
        <v>Чт</v>
      </c>
      <c r="C12" s="16">
        <f ca="1">COUNTIFS(Выезды!$B$5:$B$1883,A12,Выезды!$D$5:$D$1883,"&lt;&gt;",Выезды!$G$5:$G$1883,"&lt;&gt;Отменён")</f>
        <v>1</v>
      </c>
      <c r="D12" s="16">
        <f ca="1">SUMIFS(Выезды!$I$5:$I$1883,Выезды!$B$5:$B$1883,A12,Выезды!$D$5:$D$1883,"&lt;&gt;",Выезды!$G$5:$G$1883,"&lt;&gt;Отменён")</f>
        <v>526</v>
      </c>
      <c r="E12" s="16">
        <f ca="1">COUNTIFS(Выезды!$B$5:$B$1883,A12,Выезды!$D$5:$D$1883,"&lt;&gt;",Выезды!$G$5:$G$1883,"Запланирован")</f>
        <v>0</v>
      </c>
      <c r="F12" s="16">
        <f ca="1">COUNTIFS(Выезды!$B$5:$B$1883,A12,Выезды!$D$5:$D$1883,"&lt;&gt;",Выезды!$G$5:$G$1883,"Выполнен")</f>
        <v>1</v>
      </c>
    </row>
    <row r="13" spans="1:6">
      <c r="A13" s="24">
        <f t="shared" ca="1" si="1"/>
        <v>46227</v>
      </c>
      <c r="B13" s="14" t="str">
        <f t="shared" ca="1" si="0"/>
        <v>Пт</v>
      </c>
      <c r="C13" s="16">
        <f ca="1">COUNTIFS(Выезды!$B$5:$B$1883,A13,Выезды!$D$5:$D$1883,"&lt;&gt;",Выезды!$G$5:$G$1883,"&lt;&gt;Отменён")</f>
        <v>1</v>
      </c>
      <c r="D13" s="16">
        <f ca="1">SUMIFS(Выезды!$I$5:$I$1883,Выезды!$B$5:$B$1883,A13,Выезды!$D$5:$D$1883,"&lt;&gt;",Выезды!$G$5:$G$1883,"&lt;&gt;Отменён")</f>
        <v>151</v>
      </c>
      <c r="E13" s="16">
        <f ca="1">COUNTIFS(Выезды!$B$5:$B$1883,A13,Выезды!$D$5:$D$1883,"&lt;&gt;",Выезды!$G$5:$G$1883,"Запланирован")</f>
        <v>0</v>
      </c>
      <c r="F13" s="16">
        <f ca="1">COUNTIFS(Выезды!$B$5:$B$1883,A13,Выезды!$D$5:$D$1883,"&lt;&gt;",Выезды!$G$5:$G$1883,"Выполнен")</f>
        <v>1</v>
      </c>
    </row>
    <row r="14" spans="1:6">
      <c r="A14" s="24">
        <f t="shared" ca="1" si="1"/>
        <v>46228</v>
      </c>
      <c r="B14" s="14" t="str">
        <f t="shared" ca="1" si="0"/>
        <v>Сб</v>
      </c>
      <c r="C14" s="16">
        <f ca="1">COUNTIFS(Выезды!$B$5:$B$1883,A14,Выезды!$D$5:$D$1883,"&lt;&gt;",Выезды!$G$5:$G$1883,"&lt;&gt;Отменён")</f>
        <v>0</v>
      </c>
      <c r="D14" s="16">
        <f ca="1">SUMIFS(Выезды!$I$5:$I$1883,Выезды!$B$5:$B$1883,A14,Выезды!$D$5:$D$1883,"&lt;&gt;",Выезды!$G$5:$G$1883,"&lt;&gt;Отменён")</f>
        <v>0</v>
      </c>
      <c r="E14" s="16">
        <f ca="1">COUNTIFS(Выезды!$B$5:$B$1883,A14,Выезды!$D$5:$D$1883,"&lt;&gt;",Выезды!$G$5:$G$1883,"Запланирован")</f>
        <v>0</v>
      </c>
      <c r="F14" s="16">
        <f ca="1">COUNTIFS(Выезды!$B$5:$B$1883,A14,Выезды!$D$5:$D$1883,"&lt;&gt;",Выезды!$G$5:$G$1883,"Выполнен")</f>
        <v>0</v>
      </c>
    </row>
    <row r="15" spans="1:6">
      <c r="A15" s="24">
        <f t="shared" ca="1" si="1"/>
        <v>46229</v>
      </c>
      <c r="B15" s="14" t="str">
        <f t="shared" ca="1" si="0"/>
        <v>Вс</v>
      </c>
      <c r="C15" s="16">
        <f ca="1">COUNTIFS(Выезды!$B$5:$B$1883,A15,Выезды!$D$5:$D$1883,"&lt;&gt;",Выезды!$G$5:$G$1883,"&lt;&gt;Отменён")</f>
        <v>0</v>
      </c>
      <c r="D15" s="16">
        <f ca="1">SUMIFS(Выезды!$I$5:$I$1883,Выезды!$B$5:$B$1883,A15,Выезды!$D$5:$D$1883,"&lt;&gt;",Выезды!$G$5:$G$1883,"&lt;&gt;Отменён")</f>
        <v>0</v>
      </c>
      <c r="E15" s="16">
        <f ca="1">COUNTIFS(Выезды!$B$5:$B$1883,A15,Выезды!$D$5:$D$1883,"&lt;&gt;",Выезды!$G$5:$G$1883,"Запланирован")</f>
        <v>0</v>
      </c>
      <c r="F15" s="16">
        <f ca="1">COUNTIFS(Выезды!$B$5:$B$1883,A15,Выезды!$D$5:$D$1883,"&lt;&gt;",Выезды!$G$5:$G$1883,"Выполнен")</f>
        <v>0</v>
      </c>
    </row>
    <row r="16" spans="1:6">
      <c r="A16" s="24">
        <f t="shared" ca="1" si="1"/>
        <v>46230</v>
      </c>
      <c r="B16" s="14" t="str">
        <f t="shared" ca="1" si="0"/>
        <v>Пн</v>
      </c>
      <c r="C16" s="16">
        <f ca="1">COUNTIFS(Выезды!$B$5:$B$1883,A16,Выезды!$D$5:$D$1883,"&lt;&gt;",Выезды!$G$5:$G$1883,"&lt;&gt;Отменён")</f>
        <v>2</v>
      </c>
      <c r="D16" s="16">
        <f ca="1">SUMIFS(Выезды!$I$5:$I$1883,Выезды!$B$5:$B$1883,A16,Выезды!$D$5:$D$1883,"&lt;&gt;",Выезды!$G$5:$G$1883,"&lt;&gt;Отменён")</f>
        <v>501</v>
      </c>
      <c r="E16" s="16">
        <f ca="1">COUNTIFS(Выезды!$B$5:$B$1883,A16,Выезды!$D$5:$D$1883,"&lt;&gt;",Выезды!$G$5:$G$1883,"Запланирован")</f>
        <v>2</v>
      </c>
      <c r="F16" s="16">
        <f ca="1">COUNTIFS(Выезды!$B$5:$B$1883,A16,Выезды!$D$5:$D$1883,"&lt;&gt;",Выезды!$G$5:$G$1883,"Выполнен")</f>
        <v>0</v>
      </c>
    </row>
    <row r="17" spans="1:6">
      <c r="A17" s="24">
        <f t="shared" ca="1" si="1"/>
        <v>46231</v>
      </c>
      <c r="B17" s="14" t="str">
        <f t="shared" ca="1" si="0"/>
        <v>Вт</v>
      </c>
      <c r="C17" s="16">
        <f ca="1">COUNTIFS(Выезды!$B$5:$B$1883,A17,Выезды!$D$5:$D$1883,"&lt;&gt;",Выезды!$G$5:$G$1883,"&lt;&gt;Отменён")</f>
        <v>1</v>
      </c>
      <c r="D17" s="16">
        <f ca="1">SUMIFS(Выезды!$I$5:$I$1883,Выезды!$B$5:$B$1883,A17,Выезды!$D$5:$D$1883,"&lt;&gt;",Выезды!$G$5:$G$1883,"&lt;&gt;Отменён")</f>
        <v>366</v>
      </c>
      <c r="E17" s="16">
        <f ca="1">COUNTIFS(Выезды!$B$5:$B$1883,A17,Выезды!$D$5:$D$1883,"&lt;&gt;",Выезды!$G$5:$G$1883,"Запланирован")</f>
        <v>1</v>
      </c>
      <c r="F17" s="16">
        <f ca="1">COUNTIFS(Выезды!$B$5:$B$1883,A17,Выезды!$D$5:$D$1883,"&lt;&gt;",Выезды!$G$5:$G$1883,"Выполнен")</f>
        <v>0</v>
      </c>
    </row>
    <row r="20" spans="1:6">
      <c r="A20" s="55" t="s">
        <v>11</v>
      </c>
      <c r="B20" s="55"/>
      <c r="C20" s="55"/>
      <c r="D20" s="55"/>
    </row>
    <row r="21" spans="1:6">
      <c r="A21" s="17" t="s">
        <v>12</v>
      </c>
      <c r="B21" s="20">
        <f>COUNTIF(Объекты!$B$5:$B$200,"&lt;&gt;")-COUNT(Объекты!$C$5:$C$200)</f>
        <v>0</v>
      </c>
      <c r="C21" s="17" t="s">
        <v>13</v>
      </c>
    </row>
    <row r="22" spans="1:6">
      <c r="A22" s="18" t="s">
        <v>14</v>
      </c>
      <c r="B22" s="21">
        <f>COUNTIFS(Объекты!$B$5:$B$200,"&lt;&gt;",Объекты!$J$5:$J$200,"")</f>
        <v>0</v>
      </c>
      <c r="C22" s="18" t="s">
        <v>15</v>
      </c>
    </row>
    <row r="23" spans="1:6">
      <c r="A23" s="18" t="s">
        <v>16</v>
      </c>
      <c r="B23" s="21">
        <f ca="1">COUNTIFS(Выезды!$B$5:$B$1883,"&gt;="&amp;$B$4,Выезды!$B$5:$B$1883,"&lt;"&amp;$D$4,Выезды!$D$5:$D$1883,"&lt;&gt;",Выезды!$E$5:$E$1883,"",Выезды!$G$5:$G$1883,"&lt;&gt;Отменён")</f>
        <v>0</v>
      </c>
      <c r="C23" s="18" t="s">
        <v>17</v>
      </c>
    </row>
    <row r="24" spans="1:6">
      <c r="A24" s="19" t="s">
        <v>18</v>
      </c>
      <c r="B24" s="22">
        <f ca="1">COUNTIFS(Выезды!$B$5:$B$1883,"&gt;="&amp;$B$4,Выезды!$B$5:$B$1883,"&lt;"&amp;$D$4,Выезды!$D$5:$D$1883,"&lt;&gt;",Выезды!$G$5:$G$1883,"")</f>
        <v>0</v>
      </c>
      <c r="C24" s="19" t="s">
        <v>19</v>
      </c>
    </row>
    <row r="27" spans="1:6">
      <c r="A27" s="29" t="s">
        <v>20</v>
      </c>
      <c r="B27" s="29"/>
      <c r="C27" s="29"/>
      <c r="D27" s="29"/>
      <c r="E27" s="29"/>
      <c r="F27" s="29"/>
    </row>
    <row r="28" spans="1:6">
      <c r="A28" s="31" t="s">
        <v>5</v>
      </c>
      <c r="B28" s="32" t="s">
        <v>21</v>
      </c>
      <c r="C28" s="32" t="s">
        <v>22</v>
      </c>
      <c r="D28" s="32" t="s">
        <v>23</v>
      </c>
      <c r="E28" s="33" t="s">
        <v>24</v>
      </c>
      <c r="F28" s="33" t="s">
        <v>25</v>
      </c>
    </row>
    <row r="29" spans="1:6">
      <c r="A29" s="43" cm="1">
        <f t="array" aca="1" ref="A29" ca="1">IFERROR(INDEX(Выезды!$B$5:$B$1883,MATCH(ROW()-28,Выезды!$K$5:$K$1883,0)),"")</f>
        <v>46225</v>
      </c>
      <c r="B29" s="34" t="str" cm="1">
        <f t="array" aca="1" ref="B29" ca="1">IFERROR(INDEX(Выезды!$D$5:$D$1883,MATCH(ROW()-28,Выезды!$K$5:$K$1883,0)),"")</f>
        <v>ст. Бульвар Генерала Карбышева</v>
      </c>
      <c r="C29" s="34" t="str" cm="1">
        <f t="array" aca="1" ref="C29" ca="1">IFERROR(INDEX(Выезды!$E$5:$E$1883,MATCH(ROW()-28,Выезды!$K$5:$K$1883,0)),"")</f>
        <v>Струков Д.М.</v>
      </c>
      <c r="D29" s="34" t="str" cm="1">
        <f t="array" aca="1" ref="D29" ca="1">IFERROR(INDEX(Выезды!$G$5:$G$1883,MATCH(ROW()-28,Выезды!$K$5:$K$1883,0)),"")</f>
        <v>Выполнен</v>
      </c>
      <c r="E29" s="51" cm="1">
        <f t="array" aca="1" ref="E29" ca="1">IFERROR(INDEX(Выезды!$I$5:$I$1883,MATCH(ROW()-28,Выезды!$K$5:$K$1883,0)),"")</f>
        <v>200</v>
      </c>
      <c r="F29" s="53">
        <f ca="1">SUM(E29:E59)</f>
        <v>1895</v>
      </c>
    </row>
    <row r="30" spans="1:6">
      <c r="A30" s="43" cm="1">
        <f t="array" aca="1" ref="A30" ca="1">IFERROR(INDEX(Выезды!$B$5:$B$1883,MATCH(ROW()-28,Выезды!$K$5:$K$1883,0)),"")</f>
        <v>46225</v>
      </c>
      <c r="B30" s="34" t="str" cm="1">
        <f t="array" aca="1" ref="B30" ca="1">IFERROR(INDEX(Выезды!$D$5:$D$1883,MATCH(ROW()-28,Выезды!$K$5:$K$1883,0)),"")</f>
        <v>Ситуационный центр</v>
      </c>
      <c r="C30" s="34" t="str" cm="1">
        <f t="array" aca="1" ref="C30" ca="1">IFERROR(INDEX(Выезды!$E$5:$E$1883,MATCH(ROW()-28,Выезды!$K$5:$K$1883,0)),"")</f>
        <v>Сафонов М.С.</v>
      </c>
      <c r="D30" s="34" t="str" cm="1">
        <f t="array" aca="1" ref="D30" ca="1">IFERROR(INDEX(Выезды!$G$5:$G$1883,MATCH(ROW()-28,Выезды!$K$5:$K$1883,0)),"")</f>
        <v>Выполнен</v>
      </c>
      <c r="E30" s="51" cm="1">
        <f t="array" aca="1" ref="E30" ca="1">IFERROR(INDEX(Выезды!$I$5:$I$1883,MATCH(ROW()-28,Выезды!$K$5:$K$1883,0)),"")</f>
        <v>151</v>
      </c>
      <c r="F30" s="52"/>
    </row>
    <row r="31" spans="1:6">
      <c r="A31" s="43" cm="1">
        <f t="array" aca="1" ref="A31" ca="1">IFERROR(INDEX(Выезды!$B$5:$B$1883,MATCH(ROW()-28,Выезды!$K$5:$K$1883,0)),"")</f>
        <v>46226</v>
      </c>
      <c r="B31" s="34" t="str" cm="1">
        <f t="array" aca="1" ref="B31" ca="1">IFERROR(INDEX(Выезды!$D$5:$D$1883,MATCH(ROW()-28,Выезды!$K$5:$K$1883,0)),"")</f>
        <v>ст. Новорижская</v>
      </c>
      <c r="C31" s="34" t="str" cm="1">
        <f t="array" aca="1" ref="C31" ca="1">IFERROR(INDEX(Выезды!$E$5:$E$1883,MATCH(ROW()-28,Выезды!$K$5:$K$1883,0)),"")</f>
        <v>Сафонов М.С.</v>
      </c>
      <c r="D31" s="34" t="str" cm="1">
        <f t="array" aca="1" ref="D31" ca="1">IFERROR(INDEX(Выезды!$G$5:$G$1883,MATCH(ROW()-28,Выезды!$K$5:$K$1883,0)),"")</f>
        <v>Выполнен</v>
      </c>
      <c r="E31" s="51" cm="1">
        <f t="array" aca="1" ref="E31" ca="1">IFERROR(INDEX(Выезды!$I$5:$I$1883,MATCH(ROW()-28,Выезды!$K$5:$K$1883,0)),"")</f>
        <v>526</v>
      </c>
      <c r="F31" s="52"/>
    </row>
    <row r="32" spans="1:6">
      <c r="A32" s="43" cm="1">
        <f t="array" aca="1" ref="A32" ca="1">IFERROR(INDEX(Выезды!$B$5:$B$1883,MATCH(ROW()-28,Выезды!$K$5:$K$1883,0)),"")</f>
        <v>46227</v>
      </c>
      <c r="B32" s="34" t="str" cm="1">
        <f t="array" aca="1" ref="B32" ca="1">IFERROR(INDEX(Выезды!$D$5:$D$1883,MATCH(ROW()-28,Выезды!$K$5:$K$1883,0)),"")</f>
        <v>Ситуационный центр</v>
      </c>
      <c r="C32" s="34" t="str" cm="1">
        <f t="array" aca="1" ref="C32" ca="1">IFERROR(INDEX(Выезды!$E$5:$E$1883,MATCH(ROW()-28,Выезды!$K$5:$K$1883,0)),"")</f>
        <v>Сафонов М.С.</v>
      </c>
      <c r="D32" s="34" t="str" cm="1">
        <f t="array" aca="1" ref="D32" ca="1">IFERROR(INDEX(Выезды!$G$5:$G$1883,MATCH(ROW()-28,Выезды!$K$5:$K$1883,0)),"")</f>
        <v>Выполнен</v>
      </c>
      <c r="E32" s="51" cm="1">
        <f t="array" aca="1" ref="E32" ca="1">IFERROR(INDEX(Выезды!$I$5:$I$1883,MATCH(ROW()-28,Выезды!$K$5:$K$1883,0)),"")</f>
        <v>151</v>
      </c>
      <c r="F32" s="52"/>
    </row>
    <row r="33" spans="1:6">
      <c r="A33" s="43" cm="1">
        <f t="array" aca="1" ref="A33" ca="1">IFERROR(INDEX(Выезды!$B$5:$B$1883,MATCH(ROW()-28,Выезды!$K$5:$K$1883,0)),"")</f>
        <v>46230</v>
      </c>
      <c r="B33" s="34" t="str" cm="1">
        <f t="array" aca="1" ref="B33" ca="1">IFERROR(INDEX(Выезды!$D$5:$D$1883,MATCH(ROW()-28,Выезды!$K$5:$K$1883,0)),"")</f>
        <v>Ситуационный центр</v>
      </c>
      <c r="C33" s="34" t="str" cm="1">
        <f t="array" aca="1" ref="C33" ca="1">IFERROR(INDEX(Выезды!$E$5:$E$1883,MATCH(ROW()-28,Выезды!$K$5:$K$1883,0)),"")</f>
        <v>Сафонов М.С.</v>
      </c>
      <c r="D33" s="34" t="str" cm="1">
        <f t="array" aca="1" ref="D33" ca="1">IFERROR(INDEX(Выезды!$G$5:$G$1883,MATCH(ROW()-28,Выезды!$K$5:$K$1883,0)),"")</f>
        <v>Запланирован</v>
      </c>
      <c r="E33" s="51" cm="1">
        <f t="array" aca="1" ref="E33" ca="1">IFERROR(INDEX(Выезды!$I$5:$I$1883,MATCH(ROW()-28,Выезды!$K$5:$K$1883,0)),"")</f>
        <v>151</v>
      </c>
      <c r="F33" s="52"/>
    </row>
    <row r="34" spans="1:6">
      <c r="A34" s="43" cm="1">
        <f t="array" aca="1" ref="A34" ca="1">IFERROR(INDEX(Выезды!$B$5:$B$1883,MATCH(ROW()-28,Выезды!$K$5:$K$1883,0)),"")</f>
        <v>46230</v>
      </c>
      <c r="B34" s="34" t="str" cm="1">
        <f t="array" aca="1" ref="B34" ca="1">IFERROR(INDEX(Выезды!$D$5:$D$1883,MATCH(ROW()-28,Выезды!$K$5:$K$1883,0)),"")</f>
        <v>ст. Липовая Роща</v>
      </c>
      <c r="C34" s="34" t="str" cm="1">
        <f t="array" aca="1" ref="C34" ca="1">IFERROR(INDEX(Выезды!$E$5:$E$1883,MATCH(ROW()-28,Выезды!$K$5:$K$1883,0)),"")</f>
        <v>Сафонов М.С.</v>
      </c>
      <c r="D34" s="34" t="str" cm="1">
        <f t="array" aca="1" ref="D34" ca="1">IFERROR(INDEX(Выезды!$G$5:$G$1883,MATCH(ROW()-28,Выезды!$K$5:$K$1883,0)),"")</f>
        <v>Запланирован</v>
      </c>
      <c r="E34" s="51" cm="1">
        <f t="array" aca="1" ref="E34" ca="1">IFERROR(INDEX(Выезды!$I$5:$I$1883,MATCH(ROW()-28,Выезды!$K$5:$K$1883,0)),"")</f>
        <v>350</v>
      </c>
      <c r="F34" s="52"/>
    </row>
    <row r="35" spans="1:6">
      <c r="A35" s="43" cm="1">
        <f t="array" aca="1" ref="A35" ca="1">IFERROR(INDEX(Выезды!$B$5:$B$1883,MATCH(ROW()-28,Выезды!$K$5:$K$1883,0)),"")</f>
        <v>46231</v>
      </c>
      <c r="B35" s="34" t="str" cm="1">
        <f t="array" aca="1" ref="B35" ca="1">IFERROR(INDEX(Выезды!$D$5:$D$1883,MATCH(ROW()-28,Выезды!$K$5:$K$1883,0)),"")</f>
        <v>ст. Звенигородская</v>
      </c>
      <c r="C35" s="34" t="str" cm="1">
        <f t="array" aca="1" ref="C35" ca="1">IFERROR(INDEX(Выезды!$E$5:$E$1883,MATCH(ROW()-28,Выезды!$K$5:$K$1883,0)),"")</f>
        <v>Сафонов М.С.</v>
      </c>
      <c r="D35" s="34" t="str" cm="1">
        <f t="array" aca="1" ref="D35" ca="1">IFERROR(INDEX(Выезды!$G$5:$G$1883,MATCH(ROW()-28,Выезды!$K$5:$K$1883,0)),"")</f>
        <v>Запланирован</v>
      </c>
      <c r="E35" s="51" cm="1">
        <f t="array" aca="1" ref="E35" ca="1">IFERROR(INDEX(Выезды!$I$5:$I$1883,MATCH(ROW()-28,Выезды!$K$5:$K$1883,0)),"")</f>
        <v>366</v>
      </c>
      <c r="F35" s="52"/>
    </row>
    <row r="36" spans="1:6">
      <c r="A36" s="43" t="str" cm="1">
        <f t="array" aca="1" ref="A36" ca="1">IFERROR(INDEX(Выезды!$B$5:$B$1883,MATCH(ROW()-28,Выезды!$K$5:$K$1883,0)),"")</f>
        <v/>
      </c>
      <c r="B36" s="34" t="str" cm="1">
        <f t="array" aca="1" ref="B36" ca="1">IFERROR(INDEX(Выезды!$D$5:$D$1883,MATCH(ROW()-28,Выезды!$K$5:$K$1883,0)),"")</f>
        <v/>
      </c>
      <c r="C36" s="34" t="str" cm="1">
        <f t="array" aca="1" ref="C36" ca="1">IFERROR(INDEX(Выезды!$E$5:$E$1883,MATCH(ROW()-28,Выезды!$K$5:$K$1883,0)),"")</f>
        <v/>
      </c>
      <c r="D36" s="34" t="str" cm="1">
        <f t="array" aca="1" ref="D36" ca="1">IFERROR(INDEX(Выезды!$G$5:$G$1883,MATCH(ROW()-28,Выезды!$K$5:$K$1883,0)),"")</f>
        <v/>
      </c>
      <c r="E36" s="51" t="str" cm="1">
        <f t="array" aca="1" ref="E36" ca="1">IFERROR(INDEX(Выезды!$I$5:$I$1883,MATCH(ROW()-28,Выезды!$K$5:$K$1883,0)),"")</f>
        <v/>
      </c>
      <c r="F36" s="52"/>
    </row>
    <row r="37" spans="1:6">
      <c r="A37" s="43" t="str" cm="1">
        <f t="array" aca="1" ref="A37" ca="1">IFERROR(INDEX(Выезды!$B$5:$B$1883,MATCH(ROW()-28,Выезды!$K$5:$K$1883,0)),"")</f>
        <v/>
      </c>
      <c r="B37" s="34" t="str" cm="1">
        <f t="array" aca="1" ref="B37" ca="1">IFERROR(INDEX(Выезды!$D$5:$D$1883,MATCH(ROW()-28,Выезды!$K$5:$K$1883,0)),"")</f>
        <v/>
      </c>
      <c r="C37" s="34" t="str" cm="1">
        <f t="array" aca="1" ref="C37" ca="1">IFERROR(INDEX(Выезды!$E$5:$E$1883,MATCH(ROW()-28,Выезды!$K$5:$K$1883,0)),"")</f>
        <v/>
      </c>
      <c r="D37" s="34" t="str" cm="1">
        <f t="array" aca="1" ref="D37" ca="1">IFERROR(INDEX(Выезды!$G$5:$G$1883,MATCH(ROW()-28,Выезды!$K$5:$K$1883,0)),"")</f>
        <v/>
      </c>
      <c r="E37" s="51" t="str" cm="1">
        <f t="array" aca="1" ref="E37" ca="1">IFERROR(INDEX(Выезды!$I$5:$I$1883,MATCH(ROW()-28,Выезды!$K$5:$K$1883,0)),"")</f>
        <v/>
      </c>
      <c r="F37" s="52"/>
    </row>
    <row r="38" spans="1:6">
      <c r="A38" s="43" t="str" cm="1">
        <f t="array" aca="1" ref="A38" ca="1">IFERROR(INDEX(Выезды!$B$5:$B$1883,MATCH(ROW()-28,Выезды!$K$5:$K$1883,0)),"")</f>
        <v/>
      </c>
      <c r="B38" s="34" t="str" cm="1">
        <f t="array" aca="1" ref="B38" ca="1">IFERROR(INDEX(Выезды!$D$5:$D$1883,MATCH(ROW()-28,Выезды!$K$5:$K$1883,0)),"")</f>
        <v/>
      </c>
      <c r="C38" s="34" t="str" cm="1">
        <f t="array" aca="1" ref="C38" ca="1">IFERROR(INDEX(Выезды!$E$5:$E$1883,MATCH(ROW()-28,Выезды!$K$5:$K$1883,0)),"")</f>
        <v/>
      </c>
      <c r="D38" s="34" t="str" cm="1">
        <f t="array" aca="1" ref="D38" ca="1">IFERROR(INDEX(Выезды!$G$5:$G$1883,MATCH(ROW()-28,Выезды!$K$5:$K$1883,0)),"")</f>
        <v/>
      </c>
      <c r="E38" s="51" t="str" cm="1">
        <f t="array" aca="1" ref="E38" ca="1">IFERROR(INDEX(Выезды!$I$5:$I$1883,MATCH(ROW()-28,Выезды!$K$5:$K$1883,0)),"")</f>
        <v/>
      </c>
      <c r="F38" s="52"/>
    </row>
    <row r="39" spans="1:6">
      <c r="A39" s="43" t="str" cm="1">
        <f t="array" aca="1" ref="A39" ca="1">IFERROR(INDEX(Выезды!$B$5:$B$1883,MATCH(ROW()-28,Выезды!$K$5:$K$1883,0)),"")</f>
        <v/>
      </c>
      <c r="B39" s="34" t="str" cm="1">
        <f t="array" aca="1" ref="B39" ca="1">IFERROR(INDEX(Выезды!$D$5:$D$1883,MATCH(ROW()-28,Выезды!$K$5:$K$1883,0)),"")</f>
        <v/>
      </c>
      <c r="C39" s="34" t="str" cm="1">
        <f t="array" aca="1" ref="C39" ca="1">IFERROR(INDEX(Выезды!$E$5:$E$1883,MATCH(ROW()-28,Выезды!$K$5:$K$1883,0)),"")</f>
        <v/>
      </c>
      <c r="D39" s="34" t="str" cm="1">
        <f t="array" aca="1" ref="D39" ca="1">IFERROR(INDEX(Выезды!$G$5:$G$1883,MATCH(ROW()-28,Выезды!$K$5:$K$1883,0)),"")</f>
        <v/>
      </c>
      <c r="E39" s="51" t="str" cm="1">
        <f t="array" aca="1" ref="E39" ca="1">IFERROR(INDEX(Выезды!$I$5:$I$1883,MATCH(ROW()-28,Выезды!$K$5:$K$1883,0)),"")</f>
        <v/>
      </c>
      <c r="F39" s="52"/>
    </row>
    <row r="40" spans="1:6">
      <c r="A40" s="43" t="str" cm="1">
        <f t="array" aca="1" ref="A40" ca="1">IFERROR(INDEX(Выезды!$B$5:$B$1883,MATCH(ROW()-28,Выезды!$K$5:$K$1883,0)),"")</f>
        <v/>
      </c>
      <c r="B40" s="34" t="str" cm="1">
        <f t="array" aca="1" ref="B40" ca="1">IFERROR(INDEX(Выезды!$D$5:$D$1883,MATCH(ROW()-28,Выезды!$K$5:$K$1883,0)),"")</f>
        <v/>
      </c>
      <c r="C40" s="34" t="str" cm="1">
        <f t="array" aca="1" ref="C40" ca="1">IFERROR(INDEX(Выезды!$E$5:$E$1883,MATCH(ROW()-28,Выезды!$K$5:$K$1883,0)),"")</f>
        <v/>
      </c>
      <c r="D40" s="34" t="str" cm="1">
        <f t="array" aca="1" ref="D40" ca="1">IFERROR(INDEX(Выезды!$G$5:$G$1883,MATCH(ROW()-28,Выезды!$K$5:$K$1883,0)),"")</f>
        <v/>
      </c>
      <c r="E40" s="51" t="str" cm="1">
        <f t="array" aca="1" ref="E40" ca="1">IFERROR(INDEX(Выезды!$I$5:$I$1883,MATCH(ROW()-28,Выезды!$K$5:$K$1883,0)),"")</f>
        <v/>
      </c>
      <c r="F40" s="52"/>
    </row>
    <row r="41" spans="1:6">
      <c r="A41" s="43" t="str" cm="1">
        <f t="array" aca="1" ref="A41" ca="1">IFERROR(INDEX(Выезды!$B$5:$B$1883,MATCH(ROW()-28,Выезды!$K$5:$K$1883,0)),"")</f>
        <v/>
      </c>
      <c r="B41" s="34" t="str" cm="1">
        <f t="array" aca="1" ref="B41" ca="1">IFERROR(INDEX(Выезды!$D$5:$D$1883,MATCH(ROW()-28,Выезды!$K$5:$K$1883,0)),"")</f>
        <v/>
      </c>
      <c r="C41" s="34" t="str" cm="1">
        <f t="array" aca="1" ref="C41" ca="1">IFERROR(INDEX(Выезды!$E$5:$E$1883,MATCH(ROW()-28,Выезды!$K$5:$K$1883,0)),"")</f>
        <v/>
      </c>
      <c r="D41" s="34" t="str" cm="1">
        <f t="array" aca="1" ref="D41" ca="1">IFERROR(INDEX(Выезды!$G$5:$G$1883,MATCH(ROW()-28,Выезды!$K$5:$K$1883,0)),"")</f>
        <v/>
      </c>
      <c r="E41" s="51" t="str" cm="1">
        <f t="array" aca="1" ref="E41" ca="1">IFERROR(INDEX(Выезды!$I$5:$I$1883,MATCH(ROW()-28,Выезды!$K$5:$K$1883,0)),"")</f>
        <v/>
      </c>
      <c r="F41" s="52"/>
    </row>
    <row r="42" spans="1:6">
      <c r="A42" s="43" t="str" cm="1">
        <f t="array" aca="1" ref="A42" ca="1">IFERROR(INDEX(Выезды!$B$5:$B$1883,MATCH(ROW()-28,Выезды!$K$5:$K$1883,0)),"")</f>
        <v/>
      </c>
      <c r="B42" s="34" t="str" cm="1">
        <f t="array" aca="1" ref="B42" ca="1">IFERROR(INDEX(Выезды!$D$5:$D$1883,MATCH(ROW()-28,Выезды!$K$5:$K$1883,0)),"")</f>
        <v/>
      </c>
      <c r="C42" s="34" t="str" cm="1">
        <f t="array" aca="1" ref="C42" ca="1">IFERROR(INDEX(Выезды!$E$5:$E$1883,MATCH(ROW()-28,Выезды!$K$5:$K$1883,0)),"")</f>
        <v/>
      </c>
      <c r="D42" s="34" t="str" cm="1">
        <f t="array" aca="1" ref="D42" ca="1">IFERROR(INDEX(Выезды!$G$5:$G$1883,MATCH(ROW()-28,Выезды!$K$5:$K$1883,0)),"")</f>
        <v/>
      </c>
      <c r="E42" s="51" t="str" cm="1">
        <f t="array" aca="1" ref="E42" ca="1">IFERROR(INDEX(Выезды!$I$5:$I$1883,MATCH(ROW()-28,Выезды!$K$5:$K$1883,0)),"")</f>
        <v/>
      </c>
      <c r="F42" s="52"/>
    </row>
    <row r="43" spans="1:6">
      <c r="A43" s="43" t="str" cm="1">
        <f t="array" aca="1" ref="A43" ca="1">IFERROR(INDEX(Выезды!$B$5:$B$1883,MATCH(ROW()-28,Выезды!$K$5:$K$1883,0)),"")</f>
        <v/>
      </c>
      <c r="B43" s="34" t="str" cm="1">
        <f t="array" aca="1" ref="B43" ca="1">IFERROR(INDEX(Выезды!$D$5:$D$1883,MATCH(ROW()-28,Выезды!$K$5:$K$1883,0)),"")</f>
        <v/>
      </c>
      <c r="C43" s="34" t="str" cm="1">
        <f t="array" aca="1" ref="C43" ca="1">IFERROR(INDEX(Выезды!$E$5:$E$1883,MATCH(ROW()-28,Выезды!$K$5:$K$1883,0)),"")</f>
        <v/>
      </c>
      <c r="D43" s="34" t="str" cm="1">
        <f t="array" aca="1" ref="D43" ca="1">IFERROR(INDEX(Выезды!$G$5:$G$1883,MATCH(ROW()-28,Выезды!$K$5:$K$1883,0)),"")</f>
        <v/>
      </c>
      <c r="E43" s="51" t="str" cm="1">
        <f t="array" aca="1" ref="E43" ca="1">IFERROR(INDEX(Выезды!$I$5:$I$1883,MATCH(ROW()-28,Выезды!$K$5:$K$1883,0)),"")</f>
        <v/>
      </c>
      <c r="F43" s="52"/>
    </row>
    <row r="44" spans="1:6">
      <c r="A44" s="43" t="str" cm="1">
        <f t="array" aca="1" ref="A44" ca="1">IFERROR(INDEX(Выезды!$B$5:$B$1883,MATCH(ROW()-28,Выезды!$K$5:$K$1883,0)),"")</f>
        <v/>
      </c>
      <c r="B44" s="34" t="str" cm="1">
        <f t="array" aca="1" ref="B44" ca="1">IFERROR(INDEX(Выезды!$D$5:$D$1883,MATCH(ROW()-28,Выезды!$K$5:$K$1883,0)),"")</f>
        <v/>
      </c>
      <c r="C44" s="34" t="str" cm="1">
        <f t="array" aca="1" ref="C44" ca="1">IFERROR(INDEX(Выезды!$E$5:$E$1883,MATCH(ROW()-28,Выезды!$K$5:$K$1883,0)),"")</f>
        <v/>
      </c>
      <c r="D44" s="34" t="str" cm="1">
        <f t="array" aca="1" ref="D44" ca="1">IFERROR(INDEX(Выезды!$G$5:$G$1883,MATCH(ROW()-28,Выезды!$K$5:$K$1883,0)),"")</f>
        <v/>
      </c>
      <c r="E44" s="51" t="str" cm="1">
        <f t="array" aca="1" ref="E44" ca="1">IFERROR(INDEX(Выезды!$I$5:$I$1883,MATCH(ROW()-28,Выезды!$K$5:$K$1883,0)),"")</f>
        <v/>
      </c>
      <c r="F44" s="52"/>
    </row>
    <row r="45" spans="1:6">
      <c r="A45" s="43" t="str" cm="1">
        <f t="array" aca="1" ref="A45" ca="1">IFERROR(INDEX(Выезды!$B$5:$B$1883,MATCH(ROW()-28,Выезды!$K$5:$K$1883,0)),"")</f>
        <v/>
      </c>
      <c r="B45" s="34" t="str" cm="1">
        <f t="array" aca="1" ref="B45" ca="1">IFERROR(INDEX(Выезды!$D$5:$D$1883,MATCH(ROW()-28,Выезды!$K$5:$K$1883,0)),"")</f>
        <v/>
      </c>
      <c r="C45" s="34" t="str" cm="1">
        <f t="array" aca="1" ref="C45" ca="1">IFERROR(INDEX(Выезды!$E$5:$E$1883,MATCH(ROW()-28,Выезды!$K$5:$K$1883,0)),"")</f>
        <v/>
      </c>
      <c r="D45" s="34" t="str" cm="1">
        <f t="array" aca="1" ref="D45" ca="1">IFERROR(INDEX(Выезды!$G$5:$G$1883,MATCH(ROW()-28,Выезды!$K$5:$K$1883,0)),"")</f>
        <v/>
      </c>
      <c r="E45" s="51" t="str" cm="1">
        <f t="array" aca="1" ref="E45" ca="1">IFERROR(INDEX(Выезды!$I$5:$I$1883,MATCH(ROW()-28,Выезды!$K$5:$K$1883,0)),"")</f>
        <v/>
      </c>
      <c r="F45" s="52"/>
    </row>
    <row r="46" spans="1:6">
      <c r="A46" s="43" t="str" cm="1">
        <f t="array" aca="1" ref="A46" ca="1">IFERROR(INDEX(Выезды!$B$5:$B$1883,MATCH(ROW()-28,Выезды!$K$5:$K$1883,0)),"")</f>
        <v/>
      </c>
      <c r="B46" s="34" t="str" cm="1">
        <f t="array" aca="1" ref="B46" ca="1">IFERROR(INDEX(Выезды!$D$5:$D$1883,MATCH(ROW()-28,Выезды!$K$5:$K$1883,0)),"")</f>
        <v/>
      </c>
      <c r="C46" s="34" t="str" cm="1">
        <f t="array" aca="1" ref="C46" ca="1">IFERROR(INDEX(Выезды!$E$5:$E$1883,MATCH(ROW()-28,Выезды!$K$5:$K$1883,0)),"")</f>
        <v/>
      </c>
      <c r="D46" s="34" t="str" cm="1">
        <f t="array" aca="1" ref="D46" ca="1">IFERROR(INDEX(Выезды!$G$5:$G$1883,MATCH(ROW()-28,Выезды!$K$5:$K$1883,0)),"")</f>
        <v/>
      </c>
      <c r="E46" s="51" t="str" cm="1">
        <f t="array" aca="1" ref="E46" ca="1">IFERROR(INDEX(Выезды!$I$5:$I$1883,MATCH(ROW()-28,Выезды!$K$5:$K$1883,0)),"")</f>
        <v/>
      </c>
      <c r="F46" s="52"/>
    </row>
    <row r="47" spans="1:6">
      <c r="A47" s="43" t="str" cm="1">
        <f t="array" aca="1" ref="A47" ca="1">IFERROR(INDEX(Выезды!$B$5:$B$1883,MATCH(ROW()-28,Выезды!$K$5:$K$1883,0)),"")</f>
        <v/>
      </c>
      <c r="B47" s="34" t="str" cm="1">
        <f t="array" aca="1" ref="B47" ca="1">IFERROR(INDEX(Выезды!$D$5:$D$1883,MATCH(ROW()-28,Выезды!$K$5:$K$1883,0)),"")</f>
        <v/>
      </c>
      <c r="C47" s="34" t="str" cm="1">
        <f t="array" aca="1" ref="C47" ca="1">IFERROR(INDEX(Выезды!$E$5:$E$1883,MATCH(ROW()-28,Выезды!$K$5:$K$1883,0)),"")</f>
        <v/>
      </c>
      <c r="D47" s="34" t="str" cm="1">
        <f t="array" aca="1" ref="D47" ca="1">IFERROR(INDEX(Выезды!$G$5:$G$1883,MATCH(ROW()-28,Выезды!$K$5:$K$1883,0)),"")</f>
        <v/>
      </c>
      <c r="E47" s="51" t="str" cm="1">
        <f t="array" aca="1" ref="E47" ca="1">IFERROR(INDEX(Выезды!$I$5:$I$1883,MATCH(ROW()-28,Выезды!$K$5:$K$1883,0)),"")</f>
        <v/>
      </c>
      <c r="F47" s="52"/>
    </row>
    <row r="48" spans="1:6">
      <c r="A48" s="43" t="str" cm="1">
        <f t="array" aca="1" ref="A48" ca="1">IFERROR(INDEX(Выезды!$B$5:$B$1883,MATCH(ROW()-28,Выезды!$K$5:$K$1883,0)),"")</f>
        <v/>
      </c>
      <c r="B48" s="34" t="str" cm="1">
        <f t="array" aca="1" ref="B48" ca="1">IFERROR(INDEX(Выезды!$D$5:$D$1883,MATCH(ROW()-28,Выезды!$K$5:$K$1883,0)),"")</f>
        <v/>
      </c>
      <c r="C48" s="34" t="str" cm="1">
        <f t="array" aca="1" ref="C48" ca="1">IFERROR(INDEX(Выезды!$E$5:$E$1883,MATCH(ROW()-28,Выезды!$K$5:$K$1883,0)),"")</f>
        <v/>
      </c>
      <c r="D48" s="34" t="str" cm="1">
        <f t="array" aca="1" ref="D48" ca="1">IFERROR(INDEX(Выезды!$G$5:$G$1883,MATCH(ROW()-28,Выезды!$K$5:$K$1883,0)),"")</f>
        <v/>
      </c>
      <c r="E48" s="51" t="str" cm="1">
        <f t="array" aca="1" ref="E48" ca="1">IFERROR(INDEX(Выезды!$I$5:$I$1883,MATCH(ROW()-28,Выезды!$K$5:$K$1883,0)),"")</f>
        <v/>
      </c>
      <c r="F48" s="52"/>
    </row>
    <row r="49" spans="1:6">
      <c r="A49" s="43" t="str" cm="1">
        <f t="array" aca="1" ref="A49" ca="1">IFERROR(INDEX(Выезды!$B$5:$B$1883,MATCH(ROW()-28,Выезды!$K$5:$K$1883,0)),"")</f>
        <v/>
      </c>
      <c r="B49" s="34" t="str" cm="1">
        <f t="array" aca="1" ref="B49" ca="1">IFERROR(INDEX(Выезды!$D$5:$D$1883,MATCH(ROW()-28,Выезды!$K$5:$K$1883,0)),"")</f>
        <v/>
      </c>
      <c r="C49" s="34" t="str" cm="1">
        <f t="array" aca="1" ref="C49" ca="1">IFERROR(INDEX(Выезды!$E$5:$E$1883,MATCH(ROW()-28,Выезды!$K$5:$K$1883,0)),"")</f>
        <v/>
      </c>
      <c r="D49" s="34" t="str" cm="1">
        <f t="array" aca="1" ref="D49" ca="1">IFERROR(INDEX(Выезды!$G$5:$G$1883,MATCH(ROW()-28,Выезды!$K$5:$K$1883,0)),"")</f>
        <v/>
      </c>
      <c r="E49" s="51" t="str" cm="1">
        <f t="array" aca="1" ref="E49" ca="1">IFERROR(INDEX(Выезды!$I$5:$I$1883,MATCH(ROW()-28,Выезды!$K$5:$K$1883,0)),"")</f>
        <v/>
      </c>
      <c r="F49" s="52"/>
    </row>
    <row r="50" spans="1:6">
      <c r="A50" s="43" t="str" cm="1">
        <f t="array" aca="1" ref="A50" ca="1">IFERROR(INDEX(Выезды!$B$5:$B$1883,MATCH(ROW()-28,Выезды!$K$5:$K$1883,0)),"")</f>
        <v/>
      </c>
      <c r="B50" s="34" t="str" cm="1">
        <f t="array" aca="1" ref="B50" ca="1">IFERROR(INDEX(Выезды!$D$5:$D$1883,MATCH(ROW()-28,Выезды!$K$5:$K$1883,0)),"")</f>
        <v/>
      </c>
      <c r="C50" s="34" t="str" cm="1">
        <f t="array" aca="1" ref="C50" ca="1">IFERROR(INDEX(Выезды!$E$5:$E$1883,MATCH(ROW()-28,Выезды!$K$5:$K$1883,0)),"")</f>
        <v/>
      </c>
      <c r="D50" s="34" t="str" cm="1">
        <f t="array" aca="1" ref="D50" ca="1">IFERROR(INDEX(Выезды!$G$5:$G$1883,MATCH(ROW()-28,Выезды!$K$5:$K$1883,0)),"")</f>
        <v/>
      </c>
      <c r="E50" s="51" t="str" cm="1">
        <f t="array" aca="1" ref="E50" ca="1">IFERROR(INDEX(Выезды!$I$5:$I$1883,MATCH(ROW()-28,Выезды!$K$5:$K$1883,0)),"")</f>
        <v/>
      </c>
      <c r="F50" s="52"/>
    </row>
    <row r="51" spans="1:6">
      <c r="A51" s="43" t="str" cm="1">
        <f t="array" aca="1" ref="A51" ca="1">IFERROR(INDEX(Выезды!$B$5:$B$1883,MATCH(ROW()-28,Выезды!$K$5:$K$1883,0)),"")</f>
        <v/>
      </c>
      <c r="B51" s="34" t="str" cm="1">
        <f t="array" aca="1" ref="B51" ca="1">IFERROR(INDEX(Выезды!$D$5:$D$1883,MATCH(ROW()-28,Выезды!$K$5:$K$1883,0)),"")</f>
        <v/>
      </c>
      <c r="C51" s="34" t="str" cm="1">
        <f t="array" aca="1" ref="C51" ca="1">IFERROR(INDEX(Выезды!$E$5:$E$1883,MATCH(ROW()-28,Выезды!$K$5:$K$1883,0)),"")</f>
        <v/>
      </c>
      <c r="D51" s="34" t="str" cm="1">
        <f t="array" aca="1" ref="D51" ca="1">IFERROR(INDEX(Выезды!$G$5:$G$1883,MATCH(ROW()-28,Выезды!$K$5:$K$1883,0)),"")</f>
        <v/>
      </c>
      <c r="E51" s="51" t="str" cm="1">
        <f t="array" aca="1" ref="E51" ca="1">IFERROR(INDEX(Выезды!$I$5:$I$1883,MATCH(ROW()-28,Выезды!$K$5:$K$1883,0)),"")</f>
        <v/>
      </c>
      <c r="F51" s="52"/>
    </row>
    <row r="52" spans="1:6">
      <c r="A52" s="43" t="str" cm="1">
        <f t="array" aca="1" ref="A52" ca="1">IFERROR(INDEX(Выезды!$B$5:$B$1883,MATCH(ROW()-28,Выезды!$K$5:$K$1883,0)),"")</f>
        <v/>
      </c>
      <c r="B52" s="34" t="str" cm="1">
        <f t="array" aca="1" ref="B52" ca="1">IFERROR(INDEX(Выезды!$D$5:$D$1883,MATCH(ROW()-28,Выезды!$K$5:$K$1883,0)),"")</f>
        <v/>
      </c>
      <c r="C52" s="34" t="str" cm="1">
        <f t="array" aca="1" ref="C52" ca="1">IFERROR(INDEX(Выезды!$E$5:$E$1883,MATCH(ROW()-28,Выезды!$K$5:$K$1883,0)),"")</f>
        <v/>
      </c>
      <c r="D52" s="34" t="str" cm="1">
        <f t="array" aca="1" ref="D52" ca="1">IFERROR(INDEX(Выезды!$G$5:$G$1883,MATCH(ROW()-28,Выезды!$K$5:$K$1883,0)),"")</f>
        <v/>
      </c>
      <c r="E52" s="51" t="str" cm="1">
        <f t="array" aca="1" ref="E52" ca="1">IFERROR(INDEX(Выезды!$I$5:$I$1883,MATCH(ROW()-28,Выезды!$K$5:$K$1883,0)),"")</f>
        <v/>
      </c>
      <c r="F52" s="52"/>
    </row>
    <row r="53" spans="1:6">
      <c r="A53" s="43" t="str" cm="1">
        <f t="array" aca="1" ref="A53" ca="1">IFERROR(INDEX(Выезды!$B$5:$B$1883,MATCH(ROW()-28,Выезды!$K$5:$K$1883,0)),"")</f>
        <v/>
      </c>
      <c r="B53" s="34" t="str" cm="1">
        <f t="array" aca="1" ref="B53" ca="1">IFERROR(INDEX(Выезды!$D$5:$D$1883,MATCH(ROW()-28,Выезды!$K$5:$K$1883,0)),"")</f>
        <v/>
      </c>
      <c r="C53" s="34" t="str" cm="1">
        <f t="array" aca="1" ref="C53" ca="1">IFERROR(INDEX(Выезды!$E$5:$E$1883,MATCH(ROW()-28,Выезды!$K$5:$K$1883,0)),"")</f>
        <v/>
      </c>
      <c r="D53" s="34" t="str" cm="1">
        <f t="array" aca="1" ref="D53" ca="1">IFERROR(INDEX(Выезды!$G$5:$G$1883,MATCH(ROW()-28,Выезды!$K$5:$K$1883,0)),"")</f>
        <v/>
      </c>
      <c r="E53" s="51" t="str" cm="1">
        <f t="array" aca="1" ref="E53" ca="1">IFERROR(INDEX(Выезды!$I$5:$I$1883,MATCH(ROW()-28,Выезды!$K$5:$K$1883,0)),"")</f>
        <v/>
      </c>
      <c r="F53" s="52"/>
    </row>
    <row r="54" spans="1:6">
      <c r="A54" s="43" t="str" cm="1">
        <f t="array" aca="1" ref="A54" ca="1">IFERROR(INDEX(Выезды!$B$5:$B$1883,MATCH(ROW()-28,Выезды!$K$5:$K$1883,0)),"")</f>
        <v/>
      </c>
      <c r="B54" s="34" t="str" cm="1">
        <f t="array" aca="1" ref="B54" ca="1">IFERROR(INDEX(Выезды!$D$5:$D$1883,MATCH(ROW()-28,Выезды!$K$5:$K$1883,0)),"")</f>
        <v/>
      </c>
      <c r="C54" s="34" t="str" cm="1">
        <f t="array" aca="1" ref="C54" ca="1">IFERROR(INDEX(Выезды!$E$5:$E$1883,MATCH(ROW()-28,Выезды!$K$5:$K$1883,0)),"")</f>
        <v/>
      </c>
      <c r="D54" s="34" t="str" cm="1">
        <f t="array" aca="1" ref="D54" ca="1">IFERROR(INDEX(Выезды!$G$5:$G$1883,MATCH(ROW()-28,Выезды!$K$5:$K$1883,0)),"")</f>
        <v/>
      </c>
      <c r="E54" s="51" t="str" cm="1">
        <f t="array" aca="1" ref="E54" ca="1">IFERROR(INDEX(Выезды!$I$5:$I$1883,MATCH(ROW()-28,Выезды!$K$5:$K$1883,0)),"")</f>
        <v/>
      </c>
      <c r="F54" s="52"/>
    </row>
    <row r="55" spans="1:6">
      <c r="A55" s="43" t="str" cm="1">
        <f t="array" aca="1" ref="A55" ca="1">IFERROR(INDEX(Выезды!$B$5:$B$1883,MATCH(ROW()-28,Выезды!$K$5:$K$1883,0)),"")</f>
        <v/>
      </c>
      <c r="B55" s="34" t="str" cm="1">
        <f t="array" aca="1" ref="B55" ca="1">IFERROR(INDEX(Выезды!$D$5:$D$1883,MATCH(ROW()-28,Выезды!$K$5:$K$1883,0)),"")</f>
        <v/>
      </c>
      <c r="C55" s="34" t="str" cm="1">
        <f t="array" aca="1" ref="C55" ca="1">IFERROR(INDEX(Выезды!$E$5:$E$1883,MATCH(ROW()-28,Выезды!$K$5:$K$1883,0)),"")</f>
        <v/>
      </c>
      <c r="D55" s="34" t="str" cm="1">
        <f t="array" aca="1" ref="D55" ca="1">IFERROR(INDEX(Выезды!$G$5:$G$1883,MATCH(ROW()-28,Выезды!$K$5:$K$1883,0)),"")</f>
        <v/>
      </c>
      <c r="E55" s="51" t="str" cm="1">
        <f t="array" aca="1" ref="E55" ca="1">IFERROR(INDEX(Выезды!$I$5:$I$1883,MATCH(ROW()-28,Выезды!$K$5:$K$1883,0)),"")</f>
        <v/>
      </c>
      <c r="F55" s="52"/>
    </row>
    <row r="56" spans="1:6">
      <c r="A56" s="43" t="str" cm="1">
        <f t="array" aca="1" ref="A56" ca="1">IFERROR(INDEX(Выезды!$B$5:$B$1883,MATCH(ROW()-28,Выезды!$K$5:$K$1883,0)),"")</f>
        <v/>
      </c>
      <c r="B56" s="34" t="str" cm="1">
        <f t="array" aca="1" ref="B56" ca="1">IFERROR(INDEX(Выезды!$D$5:$D$1883,MATCH(ROW()-28,Выезды!$K$5:$K$1883,0)),"")</f>
        <v/>
      </c>
      <c r="C56" s="34" t="str" cm="1">
        <f t="array" aca="1" ref="C56" ca="1">IFERROR(INDEX(Выезды!$E$5:$E$1883,MATCH(ROW()-28,Выезды!$K$5:$K$1883,0)),"")</f>
        <v/>
      </c>
      <c r="D56" s="34" t="str" cm="1">
        <f t="array" aca="1" ref="D56" ca="1">IFERROR(INDEX(Выезды!$G$5:$G$1883,MATCH(ROW()-28,Выезды!$K$5:$K$1883,0)),"")</f>
        <v/>
      </c>
      <c r="E56" s="51" t="str" cm="1">
        <f t="array" aca="1" ref="E56" ca="1">IFERROR(INDEX(Выезды!$I$5:$I$1883,MATCH(ROW()-28,Выезды!$K$5:$K$1883,0)),"")</f>
        <v/>
      </c>
      <c r="F56" s="52"/>
    </row>
    <row r="57" spans="1:6">
      <c r="A57" s="43" t="str" cm="1">
        <f t="array" aca="1" ref="A57" ca="1">IFERROR(INDEX(Выезды!$B$5:$B$1883,MATCH(ROW()-28,Выезды!$K$5:$K$1883,0)),"")</f>
        <v/>
      </c>
      <c r="B57" s="34" t="str" cm="1">
        <f t="array" aca="1" ref="B57" ca="1">IFERROR(INDEX(Выезды!$D$5:$D$1883,MATCH(ROW()-28,Выезды!$K$5:$K$1883,0)),"")</f>
        <v/>
      </c>
      <c r="C57" s="34" t="str" cm="1">
        <f t="array" aca="1" ref="C57" ca="1">IFERROR(INDEX(Выезды!$E$5:$E$1883,MATCH(ROW()-28,Выезды!$K$5:$K$1883,0)),"")</f>
        <v/>
      </c>
      <c r="D57" s="34" t="str" cm="1">
        <f t="array" aca="1" ref="D57" ca="1">IFERROR(INDEX(Выезды!$G$5:$G$1883,MATCH(ROW()-28,Выезды!$K$5:$K$1883,0)),"")</f>
        <v/>
      </c>
      <c r="E57" s="51" t="str" cm="1">
        <f t="array" aca="1" ref="E57" ca="1">IFERROR(INDEX(Выезды!$I$5:$I$1883,MATCH(ROW()-28,Выезды!$K$5:$K$1883,0)),"")</f>
        <v/>
      </c>
      <c r="F57" s="52"/>
    </row>
    <row r="58" spans="1:6">
      <c r="A58" s="43" t="str" cm="1">
        <f t="array" aca="1" ref="A58" ca="1">IFERROR(INDEX(Выезды!$B$5:$B$1883,MATCH(ROW()-28,Выезды!$K$5:$K$1883,0)),"")</f>
        <v/>
      </c>
      <c r="B58" s="34" t="str" cm="1">
        <f t="array" aca="1" ref="B58" ca="1">IFERROR(INDEX(Выезды!$D$5:$D$1883,MATCH(ROW()-28,Выезды!$K$5:$K$1883,0)),"")</f>
        <v/>
      </c>
      <c r="C58" s="34" t="str" cm="1">
        <f t="array" aca="1" ref="C58" ca="1">IFERROR(INDEX(Выезды!$E$5:$E$1883,MATCH(ROW()-28,Выезды!$K$5:$K$1883,0)),"")</f>
        <v/>
      </c>
      <c r="D58" s="34" t="str" cm="1">
        <f t="array" aca="1" ref="D58" ca="1">IFERROR(INDEX(Выезды!$G$5:$G$1883,MATCH(ROW()-28,Выезды!$K$5:$K$1883,0)),"")</f>
        <v/>
      </c>
      <c r="E58" s="51" t="str" cm="1">
        <f t="array" aca="1" ref="E58" ca="1">IFERROR(INDEX(Выезды!$I$5:$I$1883,MATCH(ROW()-28,Выезды!$K$5:$K$1883,0)),"")</f>
        <v/>
      </c>
      <c r="F58" s="52"/>
    </row>
    <row r="59" spans="1:6">
      <c r="A59" s="43" t="str" cm="1">
        <f t="array" aca="1" ref="A59" ca="1">IFERROR(INDEX(Выезды!$B$5:$B$1883,MATCH(ROW()-28,Выезды!$K$5:$K$1883,0)),"")</f>
        <v/>
      </c>
      <c r="B59" s="34" t="str" cm="1">
        <f t="array" aca="1" ref="B59" ca="1">IFERROR(INDEX(Выезды!$D$5:$D$1883,MATCH(ROW()-28,Выезды!$K$5:$K$1883,0)),"")</f>
        <v/>
      </c>
      <c r="C59" s="34" t="str" cm="1">
        <f t="array" aca="1" ref="C59" ca="1">IFERROR(INDEX(Выезды!$E$5:$E$1883,MATCH(ROW()-28,Выезды!$K$5:$K$1883,0)),"")</f>
        <v/>
      </c>
      <c r="D59" s="34" t="str" cm="1">
        <f t="array" aca="1" ref="D59" ca="1">IFERROR(INDEX(Выезды!$G$5:$G$1883,MATCH(ROW()-28,Выезды!$K$5:$K$1883,0)),"")</f>
        <v/>
      </c>
      <c r="E59" s="51" t="str" cm="1">
        <f t="array" aca="1" ref="E59" ca="1">IFERROR(INDEX(Выезды!$I$5:$I$1883,MATCH(ROW()-28,Выезды!$K$5:$K$1883,0)),"")</f>
        <v/>
      </c>
      <c r="F59" s="52"/>
    </row>
    <row r="60" spans="1:6">
      <c r="A60" s="44"/>
      <c r="B60" s="35"/>
      <c r="C60" s="35"/>
      <c r="D60" s="35"/>
      <c r="E60" s="36"/>
      <c r="F60" s="30"/>
    </row>
    <row r="61" spans="1:6">
      <c r="A61" s="39"/>
    </row>
    <row r="62" spans="1:6">
      <c r="A62" s="39"/>
    </row>
    <row r="63" spans="1:6">
      <c r="A63" s="39"/>
    </row>
    <row r="64" spans="1:6">
      <c r="A64" s="39"/>
    </row>
    <row r="65" spans="1:1">
      <c r="A65" s="39"/>
    </row>
    <row r="66" spans="1:1">
      <c r="A66" s="39"/>
    </row>
    <row r="67" spans="1:1">
      <c r="A67" s="39"/>
    </row>
    <row r="68" spans="1:1">
      <c r="A68" s="39"/>
    </row>
    <row r="69" spans="1:1">
      <c r="A69" s="39"/>
    </row>
    <row r="70" spans="1:1">
      <c r="A70" s="39"/>
    </row>
    <row r="71" spans="1:1">
      <c r="A71" s="39"/>
    </row>
    <row r="72" spans="1:1">
      <c r="A72" s="39"/>
    </row>
    <row r="73" spans="1:1">
      <c r="A73" s="39"/>
    </row>
    <row r="74" spans="1:1">
      <c r="A74" s="39"/>
    </row>
    <row r="75" spans="1:1">
      <c r="A75" s="39"/>
    </row>
    <row r="76" spans="1:1">
      <c r="A76" s="39"/>
    </row>
    <row r="77" spans="1:1">
      <c r="A77" s="39"/>
    </row>
    <row r="78" spans="1:1">
      <c r="A78" s="39"/>
    </row>
    <row r="79" spans="1:1">
      <c r="A79" s="39"/>
    </row>
    <row r="80" spans="1:1">
      <c r="A80" s="39"/>
    </row>
    <row r="81" spans="1:1">
      <c r="A81" s="39"/>
    </row>
    <row r="82" spans="1:1">
      <c r="A82" s="39"/>
    </row>
    <row r="83" spans="1:1">
      <c r="A83" s="39"/>
    </row>
    <row r="84" spans="1:1">
      <c r="A84" s="39"/>
    </row>
    <row r="85" spans="1:1">
      <c r="A85" s="39"/>
    </row>
    <row r="86" spans="1:1">
      <c r="A86" s="39"/>
    </row>
    <row r="87" spans="1:1">
      <c r="A87" s="39"/>
    </row>
    <row r="88" spans="1:1">
      <c r="A88" s="39"/>
    </row>
    <row r="89" spans="1:1">
      <c r="A89" s="39"/>
    </row>
    <row r="90" spans="1:1">
      <c r="A90" s="39"/>
    </row>
    <row r="91" spans="1:1">
      <c r="A91" s="39"/>
    </row>
    <row r="92" spans="1:1">
      <c r="A92" s="39"/>
    </row>
    <row r="93" spans="1:1">
      <c r="A93" s="39"/>
    </row>
    <row r="94" spans="1:1">
      <c r="A94" s="39"/>
    </row>
    <row r="95" spans="1:1">
      <c r="A95" s="39"/>
    </row>
    <row r="96" spans="1:1">
      <c r="A96" s="39"/>
    </row>
    <row r="97" spans="1:1">
      <c r="A97" s="39"/>
    </row>
    <row r="98" spans="1:1">
      <c r="A98" s="39"/>
    </row>
    <row r="99" spans="1:1">
      <c r="A99" s="39"/>
    </row>
    <row r="100" spans="1:1">
      <c r="A100" s="39"/>
    </row>
    <row r="101" spans="1:1">
      <c r="A101" s="39"/>
    </row>
    <row r="102" spans="1:1">
      <c r="A102" s="39"/>
    </row>
    <row r="103" spans="1:1">
      <c r="A103" s="39"/>
    </row>
    <row r="104" spans="1:1">
      <c r="A104" s="39"/>
    </row>
    <row r="105" spans="1:1">
      <c r="A105" s="39"/>
    </row>
    <row r="106" spans="1:1">
      <c r="A106" s="39"/>
    </row>
    <row r="107" spans="1:1">
      <c r="A107" s="39"/>
    </row>
    <row r="108" spans="1:1">
      <c r="A108" s="39"/>
    </row>
    <row r="109" spans="1:1">
      <c r="A109" s="39"/>
    </row>
    <row r="110" spans="1:1">
      <c r="A110" s="39"/>
    </row>
    <row r="111" spans="1:1">
      <c r="A111" s="39"/>
    </row>
    <row r="112" spans="1:1">
      <c r="A112" s="39"/>
    </row>
    <row r="113" spans="1:1">
      <c r="A113" s="39"/>
    </row>
    <row r="114" spans="1:1">
      <c r="A114" s="39"/>
    </row>
    <row r="115" spans="1:1">
      <c r="A115" s="39"/>
    </row>
    <row r="116" spans="1:1">
      <c r="A116" s="39"/>
    </row>
    <row r="117" spans="1:1">
      <c r="A117" s="39"/>
    </row>
    <row r="118" spans="1:1">
      <c r="A118" s="39"/>
    </row>
    <row r="119" spans="1:1">
      <c r="A119" s="39"/>
    </row>
    <row r="120" spans="1:1">
      <c r="A120" s="39"/>
    </row>
    <row r="121" spans="1:1">
      <c r="A121" s="39"/>
    </row>
    <row r="122" spans="1:1">
      <c r="A122" s="39"/>
    </row>
    <row r="123" spans="1:1">
      <c r="A123" s="39"/>
    </row>
    <row r="124" spans="1:1">
      <c r="A124" s="39"/>
    </row>
    <row r="125" spans="1:1">
      <c r="A125" s="39"/>
    </row>
    <row r="126" spans="1:1">
      <c r="A126" s="39"/>
    </row>
    <row r="127" spans="1:1">
      <c r="A127" s="39"/>
    </row>
    <row r="128" spans="1:1">
      <c r="A128" s="39"/>
    </row>
    <row r="129" spans="1:1">
      <c r="A129" s="39"/>
    </row>
    <row r="130" spans="1:1">
      <c r="A130" s="39"/>
    </row>
    <row r="131" spans="1:1">
      <c r="A131" s="39"/>
    </row>
    <row r="132" spans="1:1">
      <c r="A132" s="39"/>
    </row>
    <row r="133" spans="1:1">
      <c r="A133" s="39"/>
    </row>
    <row r="134" spans="1:1">
      <c r="A134" s="39"/>
    </row>
    <row r="135" spans="1:1">
      <c r="A135" s="39"/>
    </row>
    <row r="136" spans="1:1">
      <c r="A136" s="39"/>
    </row>
    <row r="137" spans="1:1">
      <c r="A137" s="39"/>
    </row>
    <row r="138" spans="1:1">
      <c r="A138" s="39"/>
    </row>
    <row r="139" spans="1:1">
      <c r="A139" s="39"/>
    </row>
    <row r="140" spans="1:1">
      <c r="A140" s="39"/>
    </row>
    <row r="141" spans="1:1">
      <c r="A141" s="39"/>
    </row>
    <row r="142" spans="1:1">
      <c r="A142" s="39"/>
    </row>
    <row r="143" spans="1:1">
      <c r="A143" s="39"/>
    </row>
    <row r="144" spans="1:1">
      <c r="A144" s="39"/>
    </row>
    <row r="145" spans="1:1">
      <c r="A145" s="39"/>
    </row>
    <row r="146" spans="1:1">
      <c r="A146" s="39"/>
    </row>
    <row r="147" spans="1:1">
      <c r="A147" s="39"/>
    </row>
    <row r="148" spans="1:1">
      <c r="A148" s="39"/>
    </row>
    <row r="149" spans="1:1">
      <c r="A149" s="39"/>
    </row>
    <row r="150" spans="1:1">
      <c r="A150" s="39"/>
    </row>
    <row r="151" spans="1:1">
      <c r="A151" s="39"/>
    </row>
    <row r="152" spans="1:1">
      <c r="A152" s="39"/>
    </row>
    <row r="153" spans="1:1">
      <c r="A153" s="39"/>
    </row>
    <row r="154" spans="1:1">
      <c r="A154" s="39"/>
    </row>
    <row r="155" spans="1:1">
      <c r="A155" s="39"/>
    </row>
    <row r="156" spans="1:1">
      <c r="A156" s="39"/>
    </row>
    <row r="157" spans="1:1">
      <c r="A157" s="39"/>
    </row>
    <row r="158" spans="1:1">
      <c r="A158" s="39"/>
    </row>
    <row r="159" spans="1:1">
      <c r="A159" s="39"/>
    </row>
    <row r="160" spans="1:1">
      <c r="A160" s="39"/>
    </row>
    <row r="161" spans="1:1">
      <c r="A161" s="39"/>
    </row>
    <row r="162" spans="1:1">
      <c r="A162" s="39"/>
    </row>
    <row r="163" spans="1:1">
      <c r="A163" s="39"/>
    </row>
    <row r="164" spans="1:1">
      <c r="A164" s="39"/>
    </row>
    <row r="165" spans="1:1">
      <c r="A165" s="39"/>
    </row>
    <row r="166" spans="1:1">
      <c r="A166" s="39"/>
    </row>
    <row r="167" spans="1:1">
      <c r="A167" s="39"/>
    </row>
    <row r="168" spans="1:1">
      <c r="A168" s="39"/>
    </row>
    <row r="169" spans="1:1">
      <c r="A169" s="39"/>
    </row>
    <row r="170" spans="1:1">
      <c r="A170" s="39"/>
    </row>
    <row r="171" spans="1:1">
      <c r="A171" s="39"/>
    </row>
    <row r="172" spans="1:1">
      <c r="A172" s="39"/>
    </row>
    <row r="173" spans="1:1">
      <c r="A173" s="39"/>
    </row>
    <row r="174" spans="1:1">
      <c r="A174" s="39"/>
    </row>
    <row r="175" spans="1:1">
      <c r="A175" s="39"/>
    </row>
    <row r="176" spans="1:1">
      <c r="A176" s="39"/>
    </row>
    <row r="177" spans="1:1">
      <c r="A177" s="39"/>
    </row>
    <row r="178" spans="1:1">
      <c r="A178" s="39"/>
    </row>
    <row r="179" spans="1:1">
      <c r="A179" s="39"/>
    </row>
    <row r="180" spans="1:1">
      <c r="A180" s="39"/>
    </row>
    <row r="181" spans="1:1">
      <c r="A181" s="39"/>
    </row>
    <row r="182" spans="1:1">
      <c r="A182" s="39"/>
    </row>
    <row r="183" spans="1:1">
      <c r="A183" s="39"/>
    </row>
    <row r="184" spans="1:1">
      <c r="A184" s="39"/>
    </row>
    <row r="185" spans="1:1">
      <c r="A185" s="39"/>
    </row>
    <row r="186" spans="1:1">
      <c r="A186" s="39"/>
    </row>
    <row r="187" spans="1:1">
      <c r="A187" s="39"/>
    </row>
    <row r="188" spans="1:1">
      <c r="A188" s="39"/>
    </row>
    <row r="189" spans="1:1">
      <c r="A189" s="39"/>
    </row>
    <row r="190" spans="1:1">
      <c r="A190" s="39"/>
    </row>
    <row r="191" spans="1:1">
      <c r="A191" s="39"/>
    </row>
    <row r="192" spans="1:1">
      <c r="A192" s="39"/>
    </row>
    <row r="193" spans="1:1">
      <c r="A193" s="39"/>
    </row>
    <row r="194" spans="1:1">
      <c r="A194" s="39"/>
    </row>
    <row r="195" spans="1:1">
      <c r="A195" s="39"/>
    </row>
    <row r="196" spans="1:1">
      <c r="A196" s="39"/>
    </row>
    <row r="197" spans="1:1">
      <c r="A197" s="39"/>
    </row>
    <row r="198" spans="1:1">
      <c r="A198" s="39"/>
    </row>
    <row r="199" spans="1:1">
      <c r="A199" s="39"/>
    </row>
    <row r="200" spans="1:1">
      <c r="A200" s="39"/>
    </row>
  </sheetData>
  <mergeCells count="7">
    <mergeCell ref="A20:D20"/>
    <mergeCell ref="A1:F1"/>
    <mergeCell ref="A2:F2"/>
    <mergeCell ref="A7:B7"/>
    <mergeCell ref="C7:D7"/>
    <mergeCell ref="E7:F7"/>
    <mergeCell ref="A5:F5"/>
  </mergeCells>
  <conditionalFormatting sqref="E7">
    <cfRule type="cellIs" dxfId="7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83"/>
  <sheetViews>
    <sheetView showGridLines="0" tabSelected="1" topLeftCell="A259" workbookViewId="0">
      <selection activeCell="H279" sqref="H279"/>
    </sheetView>
  </sheetViews>
  <sheetFormatPr defaultRowHeight="14"/>
  <cols>
    <col min="1" max="1" width="23" customWidth="1"/>
    <col min="2" max="2" width="16" customWidth="1"/>
    <col min="3" max="3" width="12" customWidth="1"/>
    <col min="4" max="4" width="36" customWidth="1"/>
    <col min="5" max="5" width="28" customWidth="1"/>
    <col min="6" max="6" width="29" customWidth="1"/>
    <col min="7" max="7" width="24" customWidth="1"/>
    <col min="8" max="8" width="48" customWidth="1"/>
    <col min="9" max="9" width="20" customWidth="1"/>
    <col min="10" max="10" width="24" customWidth="1"/>
    <col min="11" max="11" width="8.203125E-2" customWidth="1"/>
  </cols>
  <sheetData>
    <row r="1" spans="1:11" ht="28" customHeight="1">
      <c r="A1" s="56" t="s">
        <v>26</v>
      </c>
      <c r="B1" s="56" t="s">
        <v>26</v>
      </c>
      <c r="C1" s="56" t="s">
        <v>26</v>
      </c>
      <c r="D1" s="56" t="s">
        <v>26</v>
      </c>
      <c r="E1" s="56" t="s">
        <v>26</v>
      </c>
      <c r="F1" s="56" t="s">
        <v>26</v>
      </c>
      <c r="G1" s="56" t="s">
        <v>26</v>
      </c>
      <c r="H1" s="56" t="s">
        <v>26</v>
      </c>
      <c r="I1" s="56" t="s">
        <v>26</v>
      </c>
      <c r="J1" s="64" t="s">
        <v>26</v>
      </c>
      <c r="K1" s="64"/>
    </row>
    <row r="2" spans="1:11" ht="36" customHeight="1">
      <c r="A2" s="57" t="s">
        <v>176</v>
      </c>
      <c r="B2" s="57" t="s">
        <v>27</v>
      </c>
      <c r="C2" s="57" t="s">
        <v>27</v>
      </c>
      <c r="D2" s="57" t="s">
        <v>27</v>
      </c>
      <c r="E2" s="57" t="s">
        <v>27</v>
      </c>
      <c r="F2" s="57" t="s">
        <v>27</v>
      </c>
      <c r="G2" s="57" t="s">
        <v>27</v>
      </c>
      <c r="H2" s="57" t="s">
        <v>27</v>
      </c>
      <c r="I2" s="57" t="s">
        <v>27</v>
      </c>
      <c r="J2" s="64" t="s">
        <v>27</v>
      </c>
      <c r="K2" s="64"/>
    </row>
    <row r="4" spans="1:11" ht="30" customHeight="1">
      <c r="A4" s="1" t="s">
        <v>177</v>
      </c>
      <c r="B4" s="1" t="s">
        <v>178</v>
      </c>
      <c r="C4" s="1" t="s">
        <v>179</v>
      </c>
      <c r="D4" s="1" t="s">
        <v>180</v>
      </c>
      <c r="E4" s="1" t="s">
        <v>181</v>
      </c>
      <c r="F4" s="1" t="s">
        <v>182</v>
      </c>
      <c r="G4" s="1" t="s">
        <v>183</v>
      </c>
      <c r="H4" s="1" t="s">
        <v>72</v>
      </c>
      <c r="I4" s="1" t="s">
        <v>24</v>
      </c>
      <c r="J4" t="s">
        <v>184</v>
      </c>
      <c r="K4" t="s">
        <v>185</v>
      </c>
    </row>
    <row r="5" spans="1:11" ht="24" customHeight="1">
      <c r="A5" s="5" t="str">
        <f>IF(B5="","","VIS_"&amp;(YEAR(B5)*10000+MONTH(B5)*100+DAY(B5))&amp;"_"&amp;IF(COUNTIF($B$5:B5,B5)&lt;10,"00"&amp;COUNTIF($B$5:B5,B5),IF(COUNTIF($B$5:B5,B5)&lt;100,"0"&amp;COUNTIF($B$5:B5,B5),COUNTIF($B$5:B5,B5))))</f>
        <v>VIS_20260101_001</v>
      </c>
      <c r="B5" s="42">
        <v>46023</v>
      </c>
      <c r="C5" s="49" t="str">
        <f t="shared" ref="C5:C68" si="0">IF(B5="","",CHOOSE(WEEKDAY(B5,2),"Пн","Вт","Ср","Чт","Пт","Сб","Вс"))</f>
        <v>Чт</v>
      </c>
      <c r="G5" s="8"/>
      <c r="H5" s="38"/>
      <c r="I5" s="45"/>
      <c r="J5" s="39">
        <f t="shared" ref="J5:J68" si="1">IF(B5="","",B5-MOD(WEEKDAY(B5,2)-3,7))</f>
        <v>46022</v>
      </c>
      <c r="K5" t="str">
        <f ca="1">IF(AND(B5&gt;='План недели'!$B$4,B5&lt;'План недели'!$D$4,D5&lt;&gt;"",G5&lt;&gt;"Отменён"),COUNTIFS($B$5:B5,"&gt;="&amp;'План недели'!$B$4,$B$5:B5,"&lt;"&amp;'План недели'!$D$4,$D$5:D5,"&lt;&gt;",$G$5:G5,"&lt;&gt;Отменён"),"")</f>
        <v/>
      </c>
    </row>
    <row r="6" spans="1:11" ht="24" customHeight="1">
      <c r="A6" s="5" t="str">
        <f>IF(B6="","","VIS_"&amp;(YEAR(B6)*10000+MONTH(B6)*100+DAY(B6))&amp;"_"&amp;IF(COUNTIF($B$5:B6,B6)&lt;10,"00"&amp;COUNTIF($B$5:B6,B6),IF(COUNTIF($B$5:B6,B6)&lt;100,"0"&amp;COUNTIF($B$5:B6,B6),COUNTIF($B$5:B6,B6))))</f>
        <v>VIS_20260102_001</v>
      </c>
      <c r="B6" s="42">
        <v>46024</v>
      </c>
      <c r="C6" s="49" t="str">
        <f t="shared" si="0"/>
        <v>Пт</v>
      </c>
      <c r="G6" s="8"/>
      <c r="H6" s="38"/>
      <c r="I6" s="45"/>
      <c r="J6" s="39">
        <f t="shared" si="1"/>
        <v>46022</v>
      </c>
      <c r="K6" t="str">
        <f ca="1">IF(AND(B6&gt;='План недели'!$B$4,B6&lt;'План недели'!$D$4,D6&lt;&gt;"",G6&lt;&gt;"Отменён"),COUNTIFS($B$5:B6,"&gt;="&amp;'План недели'!$B$4,$B$5:B6,"&lt;"&amp;'План недели'!$D$4,$D$5:D6,"&lt;&gt;",$G$5:G6,"&lt;&gt;Отменён"),"")</f>
        <v/>
      </c>
    </row>
    <row r="7" spans="1:11" ht="24" customHeight="1">
      <c r="A7" s="5" t="str">
        <f>IF(B7="","","VIS_"&amp;(YEAR(B7)*10000+MONTH(B7)*100+DAY(B7))&amp;"_"&amp;IF(COUNTIF($B$5:B7,B7)&lt;10,"00"&amp;COUNTIF($B$5:B7,B7),IF(COUNTIF($B$5:B7,B7)&lt;100,"0"&amp;COUNTIF($B$5:B7,B7),COUNTIF($B$5:B7,B7))))</f>
        <v>VIS_20260103_001</v>
      </c>
      <c r="B7" s="42">
        <v>46025</v>
      </c>
      <c r="C7" s="49" t="str">
        <f t="shared" si="0"/>
        <v>Сб</v>
      </c>
      <c r="G7" s="8"/>
      <c r="H7" s="38"/>
      <c r="I7" s="45"/>
      <c r="J7" s="39">
        <f t="shared" si="1"/>
        <v>46022</v>
      </c>
      <c r="K7" t="str">
        <f ca="1">IF(AND(B7&gt;='План недели'!$B$4,B7&lt;'План недели'!$D$4,D7&lt;&gt;"",G7&lt;&gt;"Отменён"),COUNTIFS($B$5:B7,"&gt;="&amp;'План недели'!$B$4,$B$5:B7,"&lt;"&amp;'План недели'!$D$4,$D$5:D7,"&lt;&gt;",$G$5:G7,"&lt;&gt;Отменён"),"")</f>
        <v/>
      </c>
    </row>
    <row r="8" spans="1:11" ht="24" customHeight="1">
      <c r="A8" s="5" t="str">
        <f>IF(B8="","","VIS_"&amp;(YEAR(B8)*10000+MONTH(B8)*100+DAY(B8))&amp;"_"&amp;IF(COUNTIF($B$5:B8,B8)&lt;10,"00"&amp;COUNTIF($B$5:B8,B8),IF(COUNTIF($B$5:B8,B8)&lt;100,"0"&amp;COUNTIF($B$5:B8,B8),COUNTIF($B$5:B8,B8))))</f>
        <v>VIS_20260104_001</v>
      </c>
      <c r="B8" s="42">
        <v>46026</v>
      </c>
      <c r="C8" s="49" t="str">
        <f t="shared" si="0"/>
        <v>Вс</v>
      </c>
      <c r="G8" s="8"/>
      <c r="H8" s="38"/>
      <c r="I8" s="45"/>
      <c r="J8" s="39">
        <f t="shared" si="1"/>
        <v>46022</v>
      </c>
      <c r="K8" t="str">
        <f ca="1">IF(AND(B8&gt;='План недели'!$B$4,B8&lt;'План недели'!$D$4,D8&lt;&gt;"",G8&lt;&gt;"Отменён"),COUNTIFS($B$5:B8,"&gt;="&amp;'План недели'!$B$4,$B$5:B8,"&lt;"&amp;'План недели'!$D$4,$D$5:D8,"&lt;&gt;",$G$5:G8,"&lt;&gt;Отменён"),"")</f>
        <v/>
      </c>
    </row>
    <row r="9" spans="1:11" ht="24" customHeight="1">
      <c r="A9" s="5" t="str">
        <f>IF(B9="","","VIS_"&amp;(YEAR(B9)*10000+MONTH(B9)*100+DAY(B9))&amp;"_"&amp;IF(COUNTIF($B$5:B9,B9)&lt;10,"00"&amp;COUNTIF($B$5:B9,B9),IF(COUNTIF($B$5:B9,B9)&lt;100,"0"&amp;COUNTIF($B$5:B9,B9),COUNTIF($B$5:B9,B9))))</f>
        <v>VIS_20260105_001</v>
      </c>
      <c r="B9" s="42">
        <v>46027</v>
      </c>
      <c r="C9" s="49" t="str">
        <f t="shared" si="0"/>
        <v>Пн</v>
      </c>
      <c r="G9" s="8"/>
      <c r="H9" s="38"/>
      <c r="I9" s="45"/>
      <c r="J9" s="39">
        <f t="shared" si="1"/>
        <v>46022</v>
      </c>
      <c r="K9" t="str">
        <f ca="1">IF(AND(B9&gt;='План недели'!$B$4,B9&lt;'План недели'!$D$4,D9&lt;&gt;"",G9&lt;&gt;"Отменён"),COUNTIFS($B$5:B9,"&gt;="&amp;'План недели'!$B$4,$B$5:B9,"&lt;"&amp;'План недели'!$D$4,$D$5:D9,"&lt;&gt;",$G$5:G9,"&lt;&gt;Отменён"),"")</f>
        <v/>
      </c>
    </row>
    <row r="10" spans="1:11" ht="24" customHeight="1">
      <c r="A10" s="5" t="str">
        <f>IF(B10="","","VIS_"&amp;(YEAR(B10)*10000+MONTH(B10)*100+DAY(B10))&amp;"_"&amp;IF(COUNTIF($B$5:B10,B10)&lt;10,"00"&amp;COUNTIF($B$5:B10,B10),IF(COUNTIF($B$5:B10,B10)&lt;100,"0"&amp;COUNTIF($B$5:B10,B10),COUNTIF($B$5:B10,B10))))</f>
        <v>VIS_20260106_001</v>
      </c>
      <c r="B10" s="42">
        <v>46028</v>
      </c>
      <c r="C10" s="49" t="str">
        <f t="shared" si="0"/>
        <v>Вт</v>
      </c>
      <c r="G10" s="8"/>
      <c r="H10" s="38"/>
      <c r="I10" s="45"/>
      <c r="J10" s="39">
        <f t="shared" si="1"/>
        <v>46022</v>
      </c>
      <c r="K10" t="str">
        <f ca="1">IF(AND(B10&gt;='План недели'!$B$4,B10&lt;'План недели'!$D$4,D10&lt;&gt;"",G10&lt;&gt;"Отменён"),COUNTIFS($B$5:B10,"&gt;="&amp;'План недели'!$B$4,$B$5:B10,"&lt;"&amp;'План недели'!$D$4,$D$5:D10,"&lt;&gt;",$G$5:G10,"&lt;&gt;Отменён"),"")</f>
        <v/>
      </c>
    </row>
    <row r="11" spans="1:11" ht="24" customHeight="1">
      <c r="A11" s="5" t="str">
        <f>IF(B11="","","VIS_"&amp;(YEAR(B11)*10000+MONTH(B11)*100+DAY(B11))&amp;"_"&amp;IF(COUNTIF($B$5:B11,B11)&lt;10,"00"&amp;COUNTIF($B$5:B11,B11),IF(COUNTIF($B$5:B11,B11)&lt;100,"0"&amp;COUNTIF($B$5:B11,B11),COUNTIF($B$5:B11,B11))))</f>
        <v>VIS_20260107_001</v>
      </c>
      <c r="B11" s="42">
        <v>46029</v>
      </c>
      <c r="C11" s="49" t="str">
        <f t="shared" si="0"/>
        <v>Ср</v>
      </c>
      <c r="G11" s="8"/>
      <c r="H11" s="38"/>
      <c r="I11" s="45"/>
      <c r="J11" s="39">
        <f t="shared" si="1"/>
        <v>46029</v>
      </c>
      <c r="K11" t="str">
        <f ca="1">IF(AND(B11&gt;='План недели'!$B$4,B11&lt;'План недели'!$D$4,D11&lt;&gt;"",G11&lt;&gt;"Отменён"),COUNTIFS($B$5:B11,"&gt;="&amp;'План недели'!$B$4,$B$5:B11,"&lt;"&amp;'План недели'!$D$4,$D$5:D11,"&lt;&gt;",$G$5:G11,"&lt;&gt;Отменён"),"")</f>
        <v/>
      </c>
    </row>
    <row r="12" spans="1:11" ht="24" customHeight="1">
      <c r="A12" s="5" t="str">
        <f>IF(B12="","","VIS_"&amp;(YEAR(B12)*10000+MONTH(B12)*100+DAY(B12))&amp;"_"&amp;IF(COUNTIF($B$5:B12,B12)&lt;10,"00"&amp;COUNTIF($B$5:B12,B12),IF(COUNTIF($B$5:B12,B12)&lt;100,"0"&amp;COUNTIF($B$5:B12,B12),COUNTIF($B$5:B12,B12))))</f>
        <v>VIS_20260108_001</v>
      </c>
      <c r="B12" s="42">
        <v>46030</v>
      </c>
      <c r="C12" s="49" t="str">
        <f t="shared" si="0"/>
        <v>Чт</v>
      </c>
      <c r="G12" s="8"/>
      <c r="H12" s="38"/>
      <c r="I12" s="45"/>
      <c r="J12" s="39">
        <f t="shared" si="1"/>
        <v>46029</v>
      </c>
      <c r="K12" t="str">
        <f ca="1">IF(AND(B12&gt;='План недели'!$B$4,B12&lt;'План недели'!$D$4,D12&lt;&gt;"",G12&lt;&gt;"Отменён"),COUNTIFS($B$5:B12,"&gt;="&amp;'План недели'!$B$4,$B$5:B12,"&lt;"&amp;'План недели'!$D$4,$D$5:D12,"&lt;&gt;",$G$5:G12,"&lt;&gt;Отменён"),"")</f>
        <v/>
      </c>
    </row>
    <row r="13" spans="1:11" ht="24" customHeight="1">
      <c r="A13" s="5" t="str">
        <f>IF(B13="","","VIS_"&amp;(YEAR(B13)*10000+MONTH(B13)*100+DAY(B13))&amp;"_"&amp;IF(COUNTIF($B$5:B13,B13)&lt;10,"00"&amp;COUNTIF($B$5:B13,B13),IF(COUNTIF($B$5:B13,B13)&lt;100,"0"&amp;COUNTIF($B$5:B13,B13),COUNTIF($B$5:B13,B13))))</f>
        <v>VIS_20260109_001</v>
      </c>
      <c r="B13" s="42">
        <v>46031</v>
      </c>
      <c r="C13" s="49" t="str">
        <f t="shared" si="0"/>
        <v>Пт</v>
      </c>
      <c r="G13" s="8"/>
      <c r="H13" s="38"/>
      <c r="I13" s="45"/>
      <c r="J13" s="39">
        <f t="shared" si="1"/>
        <v>46029</v>
      </c>
      <c r="K13" t="str">
        <f ca="1">IF(AND(B13&gt;='План недели'!$B$4,B13&lt;'План недели'!$D$4,D13&lt;&gt;"",G13&lt;&gt;"Отменён"),COUNTIFS($B$5:B13,"&gt;="&amp;'План недели'!$B$4,$B$5:B13,"&lt;"&amp;'План недели'!$D$4,$D$5:D13,"&lt;&gt;",$G$5:G13,"&lt;&gt;Отменён"),"")</f>
        <v/>
      </c>
    </row>
    <row r="14" spans="1:11" ht="24" customHeight="1">
      <c r="A14" s="5" t="str">
        <f>IF(B14="","","VIS_"&amp;(YEAR(B14)*10000+MONTH(B14)*100+DAY(B14))&amp;"_"&amp;IF(COUNTIF($B$5:B14,B14)&lt;10,"00"&amp;COUNTIF($B$5:B14,B14),IF(COUNTIF($B$5:B14,B14)&lt;100,"0"&amp;COUNTIF($B$5:B14,B14),COUNTIF($B$5:B14,B14))))</f>
        <v>VIS_20260110_001</v>
      </c>
      <c r="B14" s="42">
        <v>46032</v>
      </c>
      <c r="C14" s="49" t="str">
        <f t="shared" si="0"/>
        <v>Сб</v>
      </c>
      <c r="G14" s="8"/>
      <c r="H14" s="38"/>
      <c r="I14" s="45"/>
      <c r="J14" s="39">
        <f t="shared" si="1"/>
        <v>46029</v>
      </c>
      <c r="K14" t="str">
        <f ca="1">IF(AND(B14&gt;='План недели'!$B$4,B14&lt;'План недели'!$D$4,D14&lt;&gt;"",G14&lt;&gt;"Отменён"),COUNTIFS($B$5:B14,"&gt;="&amp;'План недели'!$B$4,$B$5:B14,"&lt;"&amp;'План недели'!$D$4,$D$5:D14,"&lt;&gt;",$G$5:G14,"&lt;&gt;Отменён"),"")</f>
        <v/>
      </c>
    </row>
    <row r="15" spans="1:11" ht="24" customHeight="1">
      <c r="A15" s="5" t="str">
        <f>IF(B15="","","VIS_"&amp;(YEAR(B15)*10000+MONTH(B15)*100+DAY(B15))&amp;"_"&amp;IF(COUNTIF($B$5:B15,B15)&lt;10,"00"&amp;COUNTIF($B$5:B15,B15),IF(COUNTIF($B$5:B15,B15)&lt;100,"0"&amp;COUNTIF($B$5:B15,B15),COUNTIF($B$5:B15,B15))))</f>
        <v>VIS_20260111_001</v>
      </c>
      <c r="B15" s="42">
        <v>46033</v>
      </c>
      <c r="C15" s="49" t="str">
        <f t="shared" si="0"/>
        <v>Вс</v>
      </c>
      <c r="G15" s="8"/>
      <c r="H15" s="38"/>
      <c r="I15" s="45"/>
      <c r="J15" s="39">
        <f t="shared" si="1"/>
        <v>46029</v>
      </c>
      <c r="K15" t="str">
        <f ca="1">IF(AND(B15&gt;='План недели'!$B$4,B15&lt;'План недели'!$D$4,D15&lt;&gt;"",G15&lt;&gt;"Отменён"),COUNTIFS($B$5:B15,"&gt;="&amp;'План недели'!$B$4,$B$5:B15,"&lt;"&amp;'План недели'!$D$4,$D$5:D15,"&lt;&gt;",$G$5:G15,"&lt;&gt;Отменён"),"")</f>
        <v/>
      </c>
    </row>
    <row r="16" spans="1:11" ht="24" customHeight="1">
      <c r="A16" s="5" t="str">
        <f>IF(B16="","","VIS_"&amp;(YEAR(B16)*10000+MONTH(B16)*100+DAY(B16))&amp;"_"&amp;IF(COUNTIF($B$5:B16,B16)&lt;10,"00"&amp;COUNTIF($B$5:B16,B16),IF(COUNTIF($B$5:B16,B16)&lt;100,"0"&amp;COUNTIF($B$5:B16,B16),COUNTIF($B$5:B16,B16))))</f>
        <v>VIS_20260112_001</v>
      </c>
      <c r="B16" s="40">
        <v>46034</v>
      </c>
      <c r="C16" s="47" t="str">
        <f t="shared" si="0"/>
        <v>Пн</v>
      </c>
      <c r="G16" s="8"/>
      <c r="H16" s="38"/>
      <c r="I16" s="45"/>
      <c r="J16" s="39">
        <f t="shared" si="1"/>
        <v>46029</v>
      </c>
      <c r="K16" t="str">
        <f ca="1">IF(AND(B16&gt;='План недели'!$B$4,B16&lt;'План недели'!$D$4,D16&lt;&gt;"",G16&lt;&gt;"Отменён"),COUNTIFS($B$5:B16,"&gt;="&amp;'План недели'!$B$4,$B$5:B16,"&lt;"&amp;'План недели'!$D$4,$D$5:D16,"&lt;&gt;",$G$5:G16,"&lt;&gt;Отменён"),"")</f>
        <v/>
      </c>
    </row>
    <row r="17" spans="1:11" ht="24" customHeight="1">
      <c r="A17" s="5" t="str">
        <f>IF(B17="","","VIS_"&amp;(YEAR(B17)*10000+MONTH(B17)*100+DAY(B17))&amp;"_"&amp;IF(COUNTIF($B$5:B17,B17)&lt;10,"00"&amp;COUNTIF($B$5:B17,B17),IF(COUNTIF($B$5:B17,B17)&lt;100,"0"&amp;COUNTIF($B$5:B17,B17),COUNTIF($B$5:B17,B17))))</f>
        <v>VIS_20260113_001</v>
      </c>
      <c r="B17" s="40">
        <v>46035</v>
      </c>
      <c r="C17" s="47" t="str">
        <f t="shared" si="0"/>
        <v>Вт</v>
      </c>
      <c r="G17" s="8"/>
      <c r="H17" s="38"/>
      <c r="I17" s="45"/>
      <c r="J17" s="39">
        <f t="shared" si="1"/>
        <v>46029</v>
      </c>
      <c r="K17" t="str">
        <f ca="1">IF(AND(B17&gt;='План недели'!$B$4,B17&lt;'План недели'!$D$4,D17&lt;&gt;"",G17&lt;&gt;"Отменён"),COUNTIFS($B$5:B17,"&gt;="&amp;'План недели'!$B$4,$B$5:B17,"&lt;"&amp;'План недели'!$D$4,$D$5:D17,"&lt;&gt;",$G$5:G17,"&lt;&gt;Отменён"),"")</f>
        <v/>
      </c>
    </row>
    <row r="18" spans="1:11" ht="24" customHeight="1">
      <c r="A18" s="5" t="str">
        <f>IF(B18="","","VIS_"&amp;(YEAR(B18)*10000+MONTH(B18)*100+DAY(B18))&amp;"_"&amp;IF(COUNTIF($B$5:B18,B18)&lt;10,"00"&amp;COUNTIF($B$5:B18,B18),IF(COUNTIF($B$5:B18,B18)&lt;100,"0"&amp;COUNTIF($B$5:B18,B18),COUNTIF($B$5:B18,B18))))</f>
        <v>VIS_20260114_001</v>
      </c>
      <c r="B18" s="40">
        <v>46036</v>
      </c>
      <c r="C18" s="47" t="str">
        <f t="shared" si="0"/>
        <v>Ср</v>
      </c>
      <c r="G18" s="8"/>
      <c r="H18" s="38"/>
      <c r="I18" s="45"/>
      <c r="J18" s="39">
        <f t="shared" si="1"/>
        <v>46036</v>
      </c>
      <c r="K18" t="str">
        <f ca="1">IF(AND(B18&gt;='План недели'!$B$4,B18&lt;'План недели'!$D$4,D18&lt;&gt;"",G18&lt;&gt;"Отменён"),COUNTIFS($B$5:B18,"&gt;="&amp;'План недели'!$B$4,$B$5:B18,"&lt;"&amp;'План недели'!$D$4,$D$5:D18,"&lt;&gt;",$G$5:G18,"&lt;&gt;Отменён"),"")</f>
        <v/>
      </c>
    </row>
    <row r="19" spans="1:11" ht="24" customHeight="1">
      <c r="A19" s="5" t="str">
        <f>IF(B19="","","VIS_"&amp;(YEAR(B19)*10000+MONTH(B19)*100+DAY(B19))&amp;"_"&amp;IF(COUNTIF($B$5:B19,B19)&lt;10,"00"&amp;COUNTIF($B$5:B19,B19),IF(COUNTIF($B$5:B19,B19)&lt;100,"0"&amp;COUNTIF($B$5:B19,B19),COUNTIF($B$5:B19,B19))))</f>
        <v>VIS_20260115_001</v>
      </c>
      <c r="B19" s="40">
        <v>46037</v>
      </c>
      <c r="C19" s="47" t="str">
        <f t="shared" si="0"/>
        <v>Чт</v>
      </c>
      <c r="G19" s="8"/>
      <c r="H19" s="38"/>
      <c r="I19" s="45"/>
      <c r="J19" s="39">
        <f t="shared" si="1"/>
        <v>46036</v>
      </c>
      <c r="K19" t="str">
        <f ca="1">IF(AND(B19&gt;='План недели'!$B$4,B19&lt;'План недели'!$D$4,D19&lt;&gt;"",G19&lt;&gt;"Отменён"),COUNTIFS($B$5:B19,"&gt;="&amp;'План недели'!$B$4,$B$5:B19,"&lt;"&amp;'План недели'!$D$4,$D$5:D19,"&lt;&gt;",$G$5:G19,"&lt;&gt;Отменён"),"")</f>
        <v/>
      </c>
    </row>
    <row r="20" spans="1:11" ht="24" customHeight="1">
      <c r="A20" s="5" t="str">
        <f>IF(B20="","","VIS_"&amp;(YEAR(B20)*10000+MONTH(B20)*100+DAY(B20))&amp;"_"&amp;IF(COUNTIF($B$5:B20,B20)&lt;10,"00"&amp;COUNTIF($B$5:B20,B20),IF(COUNTIF($B$5:B20,B20)&lt;100,"0"&amp;COUNTIF($B$5:B20,B20),COUNTIF($B$5:B20,B20))))</f>
        <v>VIS_20260116_001</v>
      </c>
      <c r="B20" s="40">
        <v>46038</v>
      </c>
      <c r="C20" s="47" t="str">
        <f t="shared" si="0"/>
        <v>Пт</v>
      </c>
      <c r="G20" s="8"/>
      <c r="H20" s="38"/>
      <c r="I20" s="45"/>
      <c r="J20" s="39">
        <f t="shared" si="1"/>
        <v>46036</v>
      </c>
      <c r="K20" t="str">
        <f ca="1">IF(AND(B20&gt;='План недели'!$B$4,B20&lt;'План недели'!$D$4,D20&lt;&gt;"",G20&lt;&gt;"Отменён"),COUNTIFS($B$5:B20,"&gt;="&amp;'План недели'!$B$4,$B$5:B20,"&lt;"&amp;'План недели'!$D$4,$D$5:D20,"&lt;&gt;",$G$5:G20,"&lt;&gt;Отменён"),"")</f>
        <v/>
      </c>
    </row>
    <row r="21" spans="1:11" ht="24" customHeight="1">
      <c r="A21" s="5" t="str">
        <f>IF(B21="","","VIS_"&amp;(YEAR(B21)*10000+MONTH(B21)*100+DAY(B21))&amp;"_"&amp;IF(COUNTIF($B$5:B21,B21)&lt;10,"00"&amp;COUNTIF($B$5:B21,B21),IF(COUNTIF($B$5:B21,B21)&lt;100,"0"&amp;COUNTIF($B$5:B21,B21),COUNTIF($B$5:B21,B21))))</f>
        <v>VIS_20260117_001</v>
      </c>
      <c r="B21" s="42">
        <v>46039</v>
      </c>
      <c r="C21" s="49" t="str">
        <f t="shared" si="0"/>
        <v>Сб</v>
      </c>
      <c r="G21" s="8"/>
      <c r="H21" s="38"/>
      <c r="I21" s="45"/>
      <c r="J21" s="39">
        <f t="shared" si="1"/>
        <v>46036</v>
      </c>
      <c r="K21" t="str">
        <f ca="1">IF(AND(B21&gt;='План недели'!$B$4,B21&lt;'План недели'!$D$4,D21&lt;&gt;"",G21&lt;&gt;"Отменён"),COUNTIFS($B$5:B21,"&gt;="&amp;'План недели'!$B$4,$B$5:B21,"&lt;"&amp;'План недели'!$D$4,$D$5:D21,"&lt;&gt;",$G$5:G21,"&lt;&gt;Отменён"),"")</f>
        <v/>
      </c>
    </row>
    <row r="22" spans="1:11" ht="24" customHeight="1">
      <c r="A22" s="5" t="str">
        <f>IF(B22="","","VIS_"&amp;(YEAR(B22)*10000+MONTH(B22)*100+DAY(B22))&amp;"_"&amp;IF(COUNTIF($B$5:B22,B22)&lt;10,"00"&amp;COUNTIF($B$5:B22,B22),IF(COUNTIF($B$5:B22,B22)&lt;100,"0"&amp;COUNTIF($B$5:B22,B22),COUNTIF($B$5:B22,B22))))</f>
        <v>VIS_20260118_001</v>
      </c>
      <c r="B22" s="42">
        <v>46040</v>
      </c>
      <c r="C22" s="49" t="str">
        <f t="shared" si="0"/>
        <v>Вс</v>
      </c>
      <c r="G22" s="8"/>
      <c r="H22" s="38"/>
      <c r="I22" s="45"/>
      <c r="J22" s="39">
        <f t="shared" si="1"/>
        <v>46036</v>
      </c>
      <c r="K22" t="str">
        <f ca="1">IF(AND(B22&gt;='План недели'!$B$4,B22&lt;'План недели'!$D$4,D22&lt;&gt;"",G22&lt;&gt;"Отменён"),COUNTIFS($B$5:B22,"&gt;="&amp;'План недели'!$B$4,$B$5:B22,"&lt;"&amp;'План недели'!$D$4,$D$5:D22,"&lt;&gt;",$G$5:G22,"&lt;&gt;Отменён"),"")</f>
        <v/>
      </c>
    </row>
    <row r="23" spans="1:11" ht="24" customHeight="1">
      <c r="A23" s="5" t="str">
        <f>IF(B23="","","VIS_"&amp;(YEAR(B23)*10000+MONTH(B23)*100+DAY(B23))&amp;"_"&amp;IF(COUNTIF($B$5:B23,B23)&lt;10,"00"&amp;COUNTIF($B$5:B23,B23),IF(COUNTIF($B$5:B23,B23)&lt;100,"0"&amp;COUNTIF($B$5:B23,B23),COUNTIF($B$5:B23,B23))))</f>
        <v>VIS_20260119_001</v>
      </c>
      <c r="B23" s="40">
        <v>46041</v>
      </c>
      <c r="C23" s="47" t="str">
        <f t="shared" si="0"/>
        <v>Пн</v>
      </c>
      <c r="G23" s="8"/>
      <c r="H23" s="38"/>
      <c r="I23" s="45"/>
      <c r="J23" s="39">
        <f t="shared" si="1"/>
        <v>46036</v>
      </c>
      <c r="K23" t="str">
        <f ca="1">IF(AND(B23&gt;='План недели'!$B$4,B23&lt;'План недели'!$D$4,D23&lt;&gt;"",G23&lt;&gt;"Отменён"),COUNTIFS($B$5:B23,"&gt;="&amp;'План недели'!$B$4,$B$5:B23,"&lt;"&amp;'План недели'!$D$4,$D$5:D23,"&lt;&gt;",$G$5:G23,"&lt;&gt;Отменён"),"")</f>
        <v/>
      </c>
    </row>
    <row r="24" spans="1:11" ht="24" customHeight="1">
      <c r="A24" s="5" t="str">
        <f>IF(B24="","","VIS_"&amp;(YEAR(B24)*10000+MONTH(B24)*100+DAY(B24))&amp;"_"&amp;IF(COUNTIF($B$5:B24,B24)&lt;10,"00"&amp;COUNTIF($B$5:B24,B24),IF(COUNTIF($B$5:B24,B24)&lt;100,"0"&amp;COUNTIF($B$5:B24,B24),COUNTIF($B$5:B24,B24))))</f>
        <v>VIS_20260120_001</v>
      </c>
      <c r="B24" s="40">
        <v>46042</v>
      </c>
      <c r="C24" s="47" t="str">
        <f t="shared" si="0"/>
        <v>Вт</v>
      </c>
      <c r="G24" s="8"/>
      <c r="H24" s="38"/>
      <c r="I24" s="45"/>
      <c r="J24" s="39">
        <f t="shared" si="1"/>
        <v>46036</v>
      </c>
      <c r="K24" t="str">
        <f ca="1">IF(AND(B24&gt;='План недели'!$B$4,B24&lt;'План недели'!$D$4,D24&lt;&gt;"",G24&lt;&gt;"Отменён"),COUNTIFS($B$5:B24,"&gt;="&amp;'План недели'!$B$4,$B$5:B24,"&lt;"&amp;'План недели'!$D$4,$D$5:D24,"&lt;&gt;",$G$5:G24,"&lt;&gt;Отменён"),"")</f>
        <v/>
      </c>
    </row>
    <row r="25" spans="1:11" ht="24" customHeight="1">
      <c r="A25" s="5" t="str">
        <f>IF(B25="","","VIS_"&amp;(YEAR(B25)*10000+MONTH(B25)*100+DAY(B25))&amp;"_"&amp;IF(COUNTIF($B$5:B25,B25)&lt;10,"00"&amp;COUNTIF($B$5:B25,B25),IF(COUNTIF($B$5:B25,B25)&lt;100,"0"&amp;COUNTIF($B$5:B25,B25),COUNTIF($B$5:B25,B25))))</f>
        <v>VIS_20260121_001</v>
      </c>
      <c r="B25" s="40">
        <v>46043</v>
      </c>
      <c r="C25" s="47" t="str">
        <f t="shared" si="0"/>
        <v>Ср</v>
      </c>
      <c r="G25" s="8"/>
      <c r="H25" s="38"/>
      <c r="I25" s="45"/>
      <c r="J25" s="39">
        <f t="shared" si="1"/>
        <v>46043</v>
      </c>
      <c r="K25" t="str">
        <f ca="1">IF(AND(B25&gt;='План недели'!$B$4,B25&lt;'План недели'!$D$4,D25&lt;&gt;"",G25&lt;&gt;"Отменён"),COUNTIFS($B$5:B25,"&gt;="&amp;'План недели'!$B$4,$B$5:B25,"&lt;"&amp;'План недели'!$D$4,$D$5:D25,"&lt;&gt;",$G$5:G25,"&lt;&gt;Отменён"),"")</f>
        <v/>
      </c>
    </row>
    <row r="26" spans="1:11" ht="24" customHeight="1">
      <c r="A26" s="5" t="str">
        <f>IF(B26="","","VIS_"&amp;(YEAR(B26)*10000+MONTH(B26)*100+DAY(B26))&amp;"_"&amp;IF(COUNTIF($B$5:B26,B26)&lt;10,"00"&amp;COUNTIF($B$5:B26,B26),IF(COUNTIF($B$5:B26,B26)&lt;100,"0"&amp;COUNTIF($B$5:B26,B26),COUNTIF($B$5:B26,B26))))</f>
        <v>VIS_20260122_001</v>
      </c>
      <c r="B26" s="40">
        <v>46044</v>
      </c>
      <c r="C26" s="47" t="str">
        <f t="shared" si="0"/>
        <v>Чт</v>
      </c>
      <c r="G26" s="8"/>
      <c r="H26" s="38"/>
      <c r="I26" s="45"/>
      <c r="J26" s="39">
        <f t="shared" si="1"/>
        <v>46043</v>
      </c>
      <c r="K26" t="str">
        <f ca="1">IF(AND(B26&gt;='План недели'!$B$4,B26&lt;'План недели'!$D$4,D26&lt;&gt;"",G26&lt;&gt;"Отменён"),COUNTIFS($B$5:B26,"&gt;="&amp;'План недели'!$B$4,$B$5:B26,"&lt;"&amp;'План недели'!$D$4,$D$5:D26,"&lt;&gt;",$G$5:G26,"&lt;&gt;Отменён"),"")</f>
        <v/>
      </c>
    </row>
    <row r="27" spans="1:11" ht="24" customHeight="1">
      <c r="A27" s="5" t="str">
        <f>IF(B27="","","VIS_"&amp;(YEAR(B27)*10000+MONTH(B27)*100+DAY(B27))&amp;"_"&amp;IF(COUNTIF($B$5:B27,B27)&lt;10,"00"&amp;COUNTIF($B$5:B27,B27),IF(COUNTIF($B$5:B27,B27)&lt;100,"0"&amp;COUNTIF($B$5:B27,B27),COUNTIF($B$5:B27,B27))))</f>
        <v>VIS_20260123_001</v>
      </c>
      <c r="B27" s="40">
        <v>46045</v>
      </c>
      <c r="C27" s="47" t="str">
        <f t="shared" si="0"/>
        <v>Пт</v>
      </c>
      <c r="G27" s="8"/>
      <c r="H27" s="38"/>
      <c r="I27" s="45"/>
      <c r="J27" s="39">
        <f t="shared" si="1"/>
        <v>46043</v>
      </c>
      <c r="K27" t="str">
        <f ca="1">IF(AND(B27&gt;='План недели'!$B$4,B27&lt;'План недели'!$D$4,D27&lt;&gt;"",G27&lt;&gt;"Отменён"),COUNTIFS($B$5:B27,"&gt;="&amp;'План недели'!$B$4,$B$5:B27,"&lt;"&amp;'План недели'!$D$4,$D$5:D27,"&lt;&gt;",$G$5:G27,"&lt;&gt;Отменён"),"")</f>
        <v/>
      </c>
    </row>
    <row r="28" spans="1:11" ht="24" customHeight="1">
      <c r="A28" s="5" t="str">
        <f>IF(B28="","","VIS_"&amp;(YEAR(B28)*10000+MONTH(B28)*100+DAY(B28))&amp;"_"&amp;IF(COUNTIF($B$5:B28,B28)&lt;10,"00"&amp;COUNTIF($B$5:B28,B28),IF(COUNTIF($B$5:B28,B28)&lt;100,"0"&amp;COUNTIF($B$5:B28,B28),COUNTIF($B$5:B28,B28))))</f>
        <v>VIS_20260124_001</v>
      </c>
      <c r="B28" s="42">
        <v>46046</v>
      </c>
      <c r="C28" s="49" t="str">
        <f t="shared" si="0"/>
        <v>Сб</v>
      </c>
      <c r="G28" s="8"/>
      <c r="H28" s="38"/>
      <c r="I28" s="45"/>
      <c r="J28" s="39">
        <f t="shared" si="1"/>
        <v>46043</v>
      </c>
      <c r="K28" t="str">
        <f ca="1">IF(AND(B28&gt;='План недели'!$B$4,B28&lt;'План недели'!$D$4,D28&lt;&gt;"",G28&lt;&gt;"Отменён"),COUNTIFS($B$5:B28,"&gt;="&amp;'План недели'!$B$4,$B$5:B28,"&lt;"&amp;'План недели'!$D$4,$D$5:D28,"&lt;&gt;",$G$5:G28,"&lt;&gt;Отменён"),"")</f>
        <v/>
      </c>
    </row>
    <row r="29" spans="1:11" ht="24" customHeight="1">
      <c r="A29" s="5" t="str">
        <f>IF(B29="","","VIS_"&amp;(YEAR(B29)*10000+MONTH(B29)*100+DAY(B29))&amp;"_"&amp;IF(COUNTIF($B$5:B29,B29)&lt;10,"00"&amp;COUNTIF($B$5:B29,B29),IF(COUNTIF($B$5:B29,B29)&lt;100,"0"&amp;COUNTIF($B$5:B29,B29),COUNTIF($B$5:B29,B29))))</f>
        <v>VIS_20260125_001</v>
      </c>
      <c r="B29" s="42">
        <v>46047</v>
      </c>
      <c r="C29" s="49" t="str">
        <f t="shared" si="0"/>
        <v>Вс</v>
      </c>
      <c r="G29" s="8"/>
      <c r="H29" s="38"/>
      <c r="I29" s="45"/>
      <c r="J29" s="39">
        <f t="shared" si="1"/>
        <v>46043</v>
      </c>
      <c r="K29" t="str">
        <f ca="1">IF(AND(B29&gt;='План недели'!$B$4,B29&lt;'План недели'!$D$4,D29&lt;&gt;"",G29&lt;&gt;"Отменён"),COUNTIFS($B$5:B29,"&gt;="&amp;'План недели'!$B$4,$B$5:B29,"&lt;"&amp;'План недели'!$D$4,$D$5:D29,"&lt;&gt;",$G$5:G29,"&lt;&gt;Отменён"),"")</f>
        <v/>
      </c>
    </row>
    <row r="30" spans="1:11" ht="24" customHeight="1">
      <c r="A30" s="5" t="str">
        <f>IF(B30="","","VIS_"&amp;(YEAR(B30)*10000+MONTH(B30)*100+DAY(B30))&amp;"_"&amp;IF(COUNTIF($B$5:B30,B30)&lt;10,"00"&amp;COUNTIF($B$5:B30,B30),IF(COUNTIF($B$5:B30,B30)&lt;100,"0"&amp;COUNTIF($B$5:B30,B30),COUNTIF($B$5:B30,B30))))</f>
        <v>VIS_20260126_001</v>
      </c>
      <c r="B30" s="40">
        <v>46048</v>
      </c>
      <c r="C30" s="47" t="str">
        <f t="shared" si="0"/>
        <v>Пн</v>
      </c>
      <c r="G30" s="8"/>
      <c r="H30" s="38"/>
      <c r="I30" s="45"/>
      <c r="J30" s="39">
        <f t="shared" si="1"/>
        <v>46043</v>
      </c>
      <c r="K30" t="str">
        <f ca="1">IF(AND(B30&gt;='План недели'!$B$4,B30&lt;'План недели'!$D$4,D30&lt;&gt;"",G30&lt;&gt;"Отменён"),COUNTIFS($B$5:B30,"&gt;="&amp;'План недели'!$B$4,$B$5:B30,"&lt;"&amp;'План недели'!$D$4,$D$5:D30,"&lt;&gt;",$G$5:G30,"&lt;&gt;Отменён"),"")</f>
        <v/>
      </c>
    </row>
    <row r="31" spans="1:11" ht="24" customHeight="1">
      <c r="A31" s="5" t="str">
        <f>IF(B31="","","VIS_"&amp;(YEAR(B31)*10000+MONTH(B31)*100+DAY(B31))&amp;"_"&amp;IF(COUNTIF($B$5:B31,B31)&lt;10,"00"&amp;COUNTIF($B$5:B31,B31),IF(COUNTIF($B$5:B31,B31)&lt;100,"0"&amp;COUNTIF($B$5:B31,B31),COUNTIF($B$5:B31,B31))))</f>
        <v>VIS_20260127_001</v>
      </c>
      <c r="B31" s="40">
        <v>46049</v>
      </c>
      <c r="C31" s="47" t="str">
        <f t="shared" si="0"/>
        <v>Вт</v>
      </c>
      <c r="G31" s="8"/>
      <c r="H31" s="38"/>
      <c r="I31" s="45"/>
      <c r="J31" s="39">
        <f t="shared" si="1"/>
        <v>46043</v>
      </c>
      <c r="K31" t="str">
        <f ca="1">IF(AND(B31&gt;='План недели'!$B$4,B31&lt;'План недели'!$D$4,D31&lt;&gt;"",G31&lt;&gt;"Отменён"),COUNTIFS($B$5:B31,"&gt;="&amp;'План недели'!$B$4,$B$5:B31,"&lt;"&amp;'План недели'!$D$4,$D$5:D31,"&lt;&gt;",$G$5:G31,"&lt;&gt;Отменён"),"")</f>
        <v/>
      </c>
    </row>
    <row r="32" spans="1:11" ht="24" customHeight="1">
      <c r="A32" s="5" t="str">
        <f>IF(B32="","","VIS_"&amp;(YEAR(B32)*10000+MONTH(B32)*100+DAY(B32))&amp;"_"&amp;IF(COUNTIF($B$5:B32,B32)&lt;10,"00"&amp;COUNTIF($B$5:B32,B32),IF(COUNTIF($B$5:B32,B32)&lt;100,"0"&amp;COUNTIF($B$5:B32,B32),COUNTIF($B$5:B32,B32))))</f>
        <v>VIS_20260128_001</v>
      </c>
      <c r="B32" s="40">
        <v>46050</v>
      </c>
      <c r="C32" s="47" t="str">
        <f t="shared" si="0"/>
        <v>Ср</v>
      </c>
      <c r="G32" s="8"/>
      <c r="H32" s="38"/>
      <c r="I32" s="45"/>
      <c r="J32" s="39">
        <f t="shared" si="1"/>
        <v>46050</v>
      </c>
      <c r="K32" t="str">
        <f ca="1">IF(AND(B32&gt;='План недели'!$B$4,B32&lt;'План недели'!$D$4,D32&lt;&gt;"",G32&lt;&gt;"Отменён"),COUNTIFS($B$5:B32,"&gt;="&amp;'План недели'!$B$4,$B$5:B32,"&lt;"&amp;'План недели'!$D$4,$D$5:D32,"&lt;&gt;",$G$5:G32,"&lt;&gt;Отменён"),"")</f>
        <v/>
      </c>
    </row>
    <row r="33" spans="1:11" ht="24" customHeight="1">
      <c r="A33" s="5" t="str">
        <f>IF(B33="","","VIS_"&amp;(YEAR(B33)*10000+MONTH(B33)*100+DAY(B33))&amp;"_"&amp;IF(COUNTIF($B$5:B33,B33)&lt;10,"00"&amp;COUNTIF($B$5:B33,B33),IF(COUNTIF($B$5:B33,B33)&lt;100,"0"&amp;COUNTIF($B$5:B33,B33),COUNTIF($B$5:B33,B33))))</f>
        <v>VIS_20260129_001</v>
      </c>
      <c r="B33" s="40">
        <v>46051</v>
      </c>
      <c r="C33" s="47" t="str">
        <f t="shared" si="0"/>
        <v>Чт</v>
      </c>
      <c r="G33" s="8"/>
      <c r="H33" s="38"/>
      <c r="I33" s="45"/>
      <c r="J33" s="39">
        <f t="shared" si="1"/>
        <v>46050</v>
      </c>
      <c r="K33" t="str">
        <f ca="1">IF(AND(B33&gt;='План недели'!$B$4,B33&lt;'План недели'!$D$4,D33&lt;&gt;"",G33&lt;&gt;"Отменён"),COUNTIFS($B$5:B33,"&gt;="&amp;'План недели'!$B$4,$B$5:B33,"&lt;"&amp;'План недели'!$D$4,$D$5:D33,"&lt;&gt;",$G$5:G33,"&lt;&gt;Отменён"),"")</f>
        <v/>
      </c>
    </row>
    <row r="34" spans="1:11" ht="24" customHeight="1">
      <c r="A34" s="5" t="str">
        <f>IF(B34="","","VIS_"&amp;(YEAR(B34)*10000+MONTH(B34)*100+DAY(B34))&amp;"_"&amp;IF(COUNTIF($B$5:B34,B34)&lt;10,"00"&amp;COUNTIF($B$5:B34,B34),IF(COUNTIF($B$5:B34,B34)&lt;100,"0"&amp;COUNTIF($B$5:B34,B34),COUNTIF($B$5:B34,B34))))</f>
        <v>VIS_20260130_001</v>
      </c>
      <c r="B34" s="40">
        <v>46052</v>
      </c>
      <c r="C34" s="47" t="str">
        <f t="shared" si="0"/>
        <v>Пт</v>
      </c>
      <c r="G34" s="8"/>
      <c r="H34" s="38"/>
      <c r="I34" s="45"/>
      <c r="J34" s="39">
        <f t="shared" si="1"/>
        <v>46050</v>
      </c>
      <c r="K34" t="str">
        <f ca="1">IF(AND(B34&gt;='План недели'!$B$4,B34&lt;'План недели'!$D$4,D34&lt;&gt;"",G34&lt;&gt;"Отменён"),COUNTIFS($B$5:B34,"&gt;="&amp;'План недели'!$B$4,$B$5:B34,"&lt;"&amp;'План недели'!$D$4,$D$5:D34,"&lt;&gt;",$G$5:G34,"&lt;&gt;Отменён"),"")</f>
        <v/>
      </c>
    </row>
    <row r="35" spans="1:11" ht="24" customHeight="1">
      <c r="A35" s="5" t="str">
        <f>IF(B35="","","VIS_"&amp;(YEAR(B35)*10000+MONTH(B35)*100+DAY(B35))&amp;"_"&amp;IF(COUNTIF($B$5:B35,B35)&lt;10,"00"&amp;COUNTIF($B$5:B35,B35),IF(COUNTIF($B$5:B35,B35)&lt;100,"0"&amp;COUNTIF($B$5:B35,B35),COUNTIF($B$5:B35,B35))))</f>
        <v>VIS_20260131_001</v>
      </c>
      <c r="B35" s="42">
        <v>46053</v>
      </c>
      <c r="C35" s="49" t="str">
        <f t="shared" si="0"/>
        <v>Сб</v>
      </c>
      <c r="G35" s="8"/>
      <c r="H35" s="38"/>
      <c r="I35" s="45"/>
      <c r="J35" s="39">
        <f t="shared" si="1"/>
        <v>46050</v>
      </c>
      <c r="K35" t="str">
        <f ca="1">IF(AND(B35&gt;='План недели'!$B$4,B35&lt;'План недели'!$D$4,D35&lt;&gt;"",G35&lt;&gt;"Отменён"),COUNTIFS($B$5:B35,"&gt;="&amp;'План недели'!$B$4,$B$5:B35,"&lt;"&amp;'План недели'!$D$4,$D$5:D35,"&lt;&gt;",$G$5:G35,"&lt;&gt;Отменён"),"")</f>
        <v/>
      </c>
    </row>
    <row r="36" spans="1:11" ht="24" customHeight="1">
      <c r="A36" s="5" t="str">
        <f>IF(B36="","","VIS_"&amp;(YEAR(B36)*10000+MONTH(B36)*100+DAY(B36))&amp;"_"&amp;IF(COUNTIF($B$5:B36,B36)&lt;10,"00"&amp;COUNTIF($B$5:B36,B36),IF(COUNTIF($B$5:B36,B36)&lt;100,"0"&amp;COUNTIF($B$5:B36,B36),COUNTIF($B$5:B36,B36))))</f>
        <v>VIS_20260201_001</v>
      </c>
      <c r="B36" s="42">
        <v>46054</v>
      </c>
      <c r="C36" s="49" t="str">
        <f t="shared" si="0"/>
        <v>Вс</v>
      </c>
      <c r="G36" s="8"/>
      <c r="H36" s="38"/>
      <c r="I36" s="45"/>
      <c r="J36" s="39">
        <f t="shared" si="1"/>
        <v>46050</v>
      </c>
      <c r="K36" t="str">
        <f ca="1">IF(AND(B36&gt;='План недели'!$B$4,B36&lt;'План недели'!$D$4,D36&lt;&gt;"",G36&lt;&gt;"Отменён"),COUNTIFS($B$5:B36,"&gt;="&amp;'План недели'!$B$4,$B$5:B36,"&lt;"&amp;'План недели'!$D$4,$D$5:D36,"&lt;&gt;",$G$5:G36,"&lt;&gt;Отменён"),"")</f>
        <v/>
      </c>
    </row>
    <row r="37" spans="1:11" ht="24" customHeight="1">
      <c r="A37" s="5" t="str">
        <f>IF(B37="","","VIS_"&amp;(YEAR(B37)*10000+MONTH(B37)*100+DAY(B37))&amp;"_"&amp;IF(COUNTIF($B$5:B37,B37)&lt;10,"00"&amp;COUNTIF($B$5:B37,B37),IF(COUNTIF($B$5:B37,B37)&lt;100,"0"&amp;COUNTIF($B$5:B37,B37),COUNTIF($B$5:B37,B37))))</f>
        <v>VIS_20260202_001</v>
      </c>
      <c r="B37" s="40">
        <v>46055</v>
      </c>
      <c r="C37" s="47" t="str">
        <f t="shared" si="0"/>
        <v>Пн</v>
      </c>
      <c r="G37" s="8"/>
      <c r="H37" s="38"/>
      <c r="I37" s="45"/>
      <c r="J37" s="39">
        <f t="shared" si="1"/>
        <v>46050</v>
      </c>
      <c r="K37" t="str">
        <f ca="1">IF(AND(B37&gt;='План недели'!$B$4,B37&lt;'План недели'!$D$4,D37&lt;&gt;"",G37&lt;&gt;"Отменён"),COUNTIFS($B$5:B37,"&gt;="&amp;'План недели'!$B$4,$B$5:B37,"&lt;"&amp;'План недели'!$D$4,$D$5:D37,"&lt;&gt;",$G$5:G37,"&lt;&gt;Отменён"),"")</f>
        <v/>
      </c>
    </row>
    <row r="38" spans="1:11" ht="24" customHeight="1">
      <c r="A38" s="5" t="str">
        <f>IF(B38="","","VIS_"&amp;(YEAR(B38)*10000+MONTH(B38)*100+DAY(B38))&amp;"_"&amp;IF(COUNTIF($B$5:B38,B38)&lt;10,"00"&amp;COUNTIF($B$5:B38,B38),IF(COUNTIF($B$5:B38,B38)&lt;100,"0"&amp;COUNTIF($B$5:B38,B38),COUNTIF($B$5:B38,B38))))</f>
        <v>VIS_20260203_001</v>
      </c>
      <c r="B38" s="40">
        <v>46056</v>
      </c>
      <c r="C38" s="47" t="str">
        <f t="shared" si="0"/>
        <v>Вт</v>
      </c>
      <c r="G38" s="8"/>
      <c r="H38" s="38"/>
      <c r="I38" s="45"/>
      <c r="J38" s="39">
        <f t="shared" si="1"/>
        <v>46050</v>
      </c>
      <c r="K38" t="str">
        <f ca="1">IF(AND(B38&gt;='План недели'!$B$4,B38&lt;'План недели'!$D$4,D38&lt;&gt;"",G38&lt;&gt;"Отменён"),COUNTIFS($B$5:B38,"&gt;="&amp;'План недели'!$B$4,$B$5:B38,"&lt;"&amp;'План недели'!$D$4,$D$5:D38,"&lt;&gt;",$G$5:G38,"&lt;&gt;Отменён"),"")</f>
        <v/>
      </c>
    </row>
    <row r="39" spans="1:11" ht="24" customHeight="1">
      <c r="A39" s="5" t="str">
        <f>IF(B39="","","VIS_"&amp;(YEAR(B39)*10000+MONTH(B39)*100+DAY(B39))&amp;"_"&amp;IF(COUNTIF($B$5:B39,B39)&lt;10,"00"&amp;COUNTIF($B$5:B39,B39),IF(COUNTIF($B$5:B39,B39)&lt;100,"0"&amp;COUNTIF($B$5:B39,B39),COUNTIF($B$5:B39,B39))))</f>
        <v>VIS_20260204_001</v>
      </c>
      <c r="B39" s="40">
        <v>46057</v>
      </c>
      <c r="C39" s="47" t="str">
        <f t="shared" si="0"/>
        <v>Ср</v>
      </c>
      <c r="G39" s="8"/>
      <c r="H39" s="38"/>
      <c r="I39" s="45"/>
      <c r="J39" s="39">
        <f t="shared" si="1"/>
        <v>46057</v>
      </c>
      <c r="K39" t="str">
        <f ca="1">IF(AND(B39&gt;='План недели'!$B$4,B39&lt;'План недели'!$D$4,D39&lt;&gt;"",G39&lt;&gt;"Отменён"),COUNTIFS($B$5:B39,"&gt;="&amp;'План недели'!$B$4,$B$5:B39,"&lt;"&amp;'План недели'!$D$4,$D$5:D39,"&lt;&gt;",$G$5:G39,"&lt;&gt;Отменён"),"")</f>
        <v/>
      </c>
    </row>
    <row r="40" spans="1:11" ht="24" customHeight="1">
      <c r="A40" s="5" t="str">
        <f>IF(B40="","","VIS_"&amp;(YEAR(B40)*10000+MONTH(B40)*100+DAY(B40))&amp;"_"&amp;IF(COUNTIF($B$5:B40,B40)&lt;10,"00"&amp;COUNTIF($B$5:B40,B40),IF(COUNTIF($B$5:B40,B40)&lt;100,"0"&amp;COUNTIF($B$5:B40,B40),COUNTIF($B$5:B40,B40))))</f>
        <v>VIS_20260205_001</v>
      </c>
      <c r="B40" s="40">
        <v>46058</v>
      </c>
      <c r="C40" s="47" t="str">
        <f t="shared" si="0"/>
        <v>Чт</v>
      </c>
      <c r="G40" s="8"/>
      <c r="H40" s="38"/>
      <c r="I40" s="45"/>
      <c r="J40" s="39">
        <f t="shared" si="1"/>
        <v>46057</v>
      </c>
      <c r="K40" t="str">
        <f ca="1">IF(AND(B40&gt;='План недели'!$B$4,B40&lt;'План недели'!$D$4,D40&lt;&gt;"",G40&lt;&gt;"Отменён"),COUNTIFS($B$5:B40,"&gt;="&amp;'План недели'!$B$4,$B$5:B40,"&lt;"&amp;'План недели'!$D$4,$D$5:D40,"&lt;&gt;",$G$5:G40,"&lt;&gt;Отменён"),"")</f>
        <v/>
      </c>
    </row>
    <row r="41" spans="1:11" ht="24" customHeight="1">
      <c r="A41" s="5" t="str">
        <f>IF(B41="","","VIS_"&amp;(YEAR(B41)*10000+MONTH(B41)*100+DAY(B41))&amp;"_"&amp;IF(COUNTIF($B$5:B41,B41)&lt;10,"00"&amp;COUNTIF($B$5:B41,B41),IF(COUNTIF($B$5:B41,B41)&lt;100,"0"&amp;COUNTIF($B$5:B41,B41),COUNTIF($B$5:B41,B41))))</f>
        <v>VIS_20260206_001</v>
      </c>
      <c r="B41" s="40">
        <v>46059</v>
      </c>
      <c r="C41" s="47" t="str">
        <f t="shared" si="0"/>
        <v>Пт</v>
      </c>
      <c r="G41" s="8"/>
      <c r="H41" s="38"/>
      <c r="I41" s="45"/>
      <c r="J41" s="39">
        <f t="shared" si="1"/>
        <v>46057</v>
      </c>
      <c r="K41" t="str">
        <f ca="1">IF(AND(B41&gt;='План недели'!$B$4,B41&lt;'План недели'!$D$4,D41&lt;&gt;"",G41&lt;&gt;"Отменён"),COUNTIFS($B$5:B41,"&gt;="&amp;'План недели'!$B$4,$B$5:B41,"&lt;"&amp;'План недели'!$D$4,$D$5:D41,"&lt;&gt;",$G$5:G41,"&lt;&gt;Отменён"),"")</f>
        <v/>
      </c>
    </row>
    <row r="42" spans="1:11" ht="24" customHeight="1">
      <c r="A42" s="5" t="str">
        <f>IF(B42="","","VIS_"&amp;(YEAR(B42)*10000+MONTH(B42)*100+DAY(B42))&amp;"_"&amp;IF(COUNTIF($B$5:B42,B42)&lt;10,"00"&amp;COUNTIF($B$5:B42,B42),IF(COUNTIF($B$5:B42,B42)&lt;100,"0"&amp;COUNTIF($B$5:B42,B42),COUNTIF($B$5:B42,B42))))</f>
        <v>VIS_20260207_001</v>
      </c>
      <c r="B42" s="42">
        <v>46060</v>
      </c>
      <c r="C42" s="49" t="str">
        <f t="shared" si="0"/>
        <v>Сб</v>
      </c>
      <c r="G42" s="8"/>
      <c r="H42" s="38"/>
      <c r="I42" s="45"/>
      <c r="J42" s="39">
        <f t="shared" si="1"/>
        <v>46057</v>
      </c>
      <c r="K42" t="str">
        <f ca="1">IF(AND(B42&gt;='План недели'!$B$4,B42&lt;'План недели'!$D$4,D42&lt;&gt;"",G42&lt;&gt;"Отменён"),COUNTIFS($B$5:B42,"&gt;="&amp;'План недели'!$B$4,$B$5:B42,"&lt;"&amp;'План недели'!$D$4,$D$5:D42,"&lt;&gt;",$G$5:G42,"&lt;&gt;Отменён"),"")</f>
        <v/>
      </c>
    </row>
    <row r="43" spans="1:11" ht="24" customHeight="1">
      <c r="A43" s="5" t="str">
        <f>IF(B43="","","VIS_"&amp;(YEAR(B43)*10000+MONTH(B43)*100+DAY(B43))&amp;"_"&amp;IF(COUNTIF($B$5:B43,B43)&lt;10,"00"&amp;COUNTIF($B$5:B43,B43),IF(COUNTIF($B$5:B43,B43)&lt;100,"0"&amp;COUNTIF($B$5:B43,B43),COUNTIF($B$5:B43,B43))))</f>
        <v>VIS_20260208_001</v>
      </c>
      <c r="B43" s="42">
        <v>46061</v>
      </c>
      <c r="C43" s="49" t="str">
        <f t="shared" si="0"/>
        <v>Вс</v>
      </c>
      <c r="G43" s="8"/>
      <c r="H43" s="38"/>
      <c r="I43" s="45"/>
      <c r="J43" s="39">
        <f t="shared" si="1"/>
        <v>46057</v>
      </c>
      <c r="K43" t="str">
        <f ca="1">IF(AND(B43&gt;='План недели'!$B$4,B43&lt;'План недели'!$D$4,D43&lt;&gt;"",G43&lt;&gt;"Отменён"),COUNTIFS($B$5:B43,"&gt;="&amp;'План недели'!$B$4,$B$5:B43,"&lt;"&amp;'План недели'!$D$4,$D$5:D43,"&lt;&gt;",$G$5:G43,"&lt;&gt;Отменён"),"")</f>
        <v/>
      </c>
    </row>
    <row r="44" spans="1:11" ht="24" customHeight="1">
      <c r="A44" s="5" t="str">
        <f>IF(B44="","","VIS_"&amp;(YEAR(B44)*10000+MONTH(B44)*100+DAY(B44))&amp;"_"&amp;IF(COUNTIF($B$5:B44,B44)&lt;10,"00"&amp;COUNTIF($B$5:B44,B44),IF(COUNTIF($B$5:B44,B44)&lt;100,"0"&amp;COUNTIF($B$5:B44,B44),COUNTIF($B$5:B44,B44))))</f>
        <v>VIS_20260209_001</v>
      </c>
      <c r="B44" s="40">
        <v>46062</v>
      </c>
      <c r="C44" s="47" t="str">
        <f t="shared" si="0"/>
        <v>Пн</v>
      </c>
      <c r="G44" s="8"/>
      <c r="H44" s="38"/>
      <c r="I44" s="45"/>
      <c r="J44" s="39">
        <f t="shared" si="1"/>
        <v>46057</v>
      </c>
      <c r="K44" t="str">
        <f ca="1">IF(AND(B44&gt;='План недели'!$B$4,B44&lt;'План недели'!$D$4,D44&lt;&gt;"",G44&lt;&gt;"Отменён"),COUNTIFS($B$5:B44,"&gt;="&amp;'План недели'!$B$4,$B$5:B44,"&lt;"&amp;'План недели'!$D$4,$D$5:D44,"&lt;&gt;",$G$5:G44,"&lt;&gt;Отменён"),"")</f>
        <v/>
      </c>
    </row>
    <row r="45" spans="1:11" ht="24" customHeight="1">
      <c r="A45" s="5" t="str">
        <f>IF(B45="","","VIS_"&amp;(YEAR(B45)*10000+MONTH(B45)*100+DAY(B45))&amp;"_"&amp;IF(COUNTIF($B$5:B45,B45)&lt;10,"00"&amp;COUNTIF($B$5:B45,B45),IF(COUNTIF($B$5:B45,B45)&lt;100,"0"&amp;COUNTIF($B$5:B45,B45),COUNTIF($B$5:B45,B45))))</f>
        <v>VIS_20260210_001</v>
      </c>
      <c r="B45" s="40">
        <v>46063</v>
      </c>
      <c r="C45" s="47" t="str">
        <f t="shared" si="0"/>
        <v>Вт</v>
      </c>
      <c r="G45" s="8"/>
      <c r="H45" s="38"/>
      <c r="I45" s="45"/>
      <c r="J45" s="39">
        <f t="shared" si="1"/>
        <v>46057</v>
      </c>
      <c r="K45" t="str">
        <f ca="1">IF(AND(B45&gt;='План недели'!$B$4,B45&lt;'План недели'!$D$4,D45&lt;&gt;"",G45&lt;&gt;"Отменён"),COUNTIFS($B$5:B45,"&gt;="&amp;'План недели'!$B$4,$B$5:B45,"&lt;"&amp;'План недели'!$D$4,$D$5:D45,"&lt;&gt;",$G$5:G45,"&lt;&gt;Отменён"),"")</f>
        <v/>
      </c>
    </row>
    <row r="46" spans="1:11" ht="24" customHeight="1">
      <c r="A46" s="5" t="str">
        <f>IF(B46="","","VIS_"&amp;(YEAR(B46)*10000+MONTH(B46)*100+DAY(B46))&amp;"_"&amp;IF(COUNTIF($B$5:B46,B46)&lt;10,"00"&amp;COUNTIF($B$5:B46,B46),IF(COUNTIF($B$5:B46,B46)&lt;100,"0"&amp;COUNTIF($B$5:B46,B46),COUNTIF($B$5:B46,B46))))</f>
        <v>VIS_20260211_001</v>
      </c>
      <c r="B46" s="40">
        <v>46064</v>
      </c>
      <c r="C46" s="47" t="str">
        <f t="shared" si="0"/>
        <v>Ср</v>
      </c>
      <c r="G46" s="8"/>
      <c r="H46" s="38"/>
      <c r="I46" s="45"/>
      <c r="J46" s="39">
        <f t="shared" si="1"/>
        <v>46064</v>
      </c>
      <c r="K46" t="str">
        <f ca="1">IF(AND(B46&gt;='План недели'!$B$4,B46&lt;'План недели'!$D$4,D46&lt;&gt;"",G46&lt;&gt;"Отменён"),COUNTIFS($B$5:B46,"&gt;="&amp;'План недели'!$B$4,$B$5:B46,"&lt;"&amp;'План недели'!$D$4,$D$5:D46,"&lt;&gt;",$G$5:G46,"&lt;&gt;Отменён"),"")</f>
        <v/>
      </c>
    </row>
    <row r="47" spans="1:11" ht="24" customHeight="1">
      <c r="A47" s="5" t="str">
        <f>IF(B47="","","VIS_"&amp;(YEAR(B47)*10000+MONTH(B47)*100+DAY(B47))&amp;"_"&amp;IF(COUNTIF($B$5:B47,B47)&lt;10,"00"&amp;COUNTIF($B$5:B47,B47),IF(COUNTIF($B$5:B47,B47)&lt;100,"0"&amp;COUNTIF($B$5:B47,B47),COUNTIF($B$5:B47,B47))))</f>
        <v>VIS_20260212_001</v>
      </c>
      <c r="B47" s="40">
        <v>46065</v>
      </c>
      <c r="C47" s="47" t="str">
        <f t="shared" si="0"/>
        <v>Чт</v>
      </c>
      <c r="G47" s="8"/>
      <c r="H47" s="38"/>
      <c r="I47" s="45"/>
      <c r="J47" s="39">
        <f t="shared" si="1"/>
        <v>46064</v>
      </c>
      <c r="K47" t="str">
        <f ca="1">IF(AND(B47&gt;='План недели'!$B$4,B47&lt;'План недели'!$D$4,D47&lt;&gt;"",G47&lt;&gt;"Отменён"),COUNTIFS($B$5:B47,"&gt;="&amp;'План недели'!$B$4,$B$5:B47,"&lt;"&amp;'План недели'!$D$4,$D$5:D47,"&lt;&gt;",$G$5:G47,"&lt;&gt;Отменён"),"")</f>
        <v/>
      </c>
    </row>
    <row r="48" spans="1:11" ht="24" customHeight="1">
      <c r="A48" s="5" t="str">
        <f>IF(B48="","","VIS_"&amp;(YEAR(B48)*10000+MONTH(B48)*100+DAY(B48))&amp;"_"&amp;IF(COUNTIF($B$5:B48,B48)&lt;10,"00"&amp;COUNTIF($B$5:B48,B48),IF(COUNTIF($B$5:B48,B48)&lt;100,"0"&amp;COUNTIF($B$5:B48,B48),COUNTIF($B$5:B48,B48))))</f>
        <v>VIS_20260213_001</v>
      </c>
      <c r="B48" s="40">
        <v>46066</v>
      </c>
      <c r="C48" s="47" t="str">
        <f t="shared" si="0"/>
        <v>Пт</v>
      </c>
      <c r="G48" s="8"/>
      <c r="H48" s="38"/>
      <c r="I48" s="45"/>
      <c r="J48" s="39">
        <f t="shared" si="1"/>
        <v>46064</v>
      </c>
      <c r="K48" t="str">
        <f ca="1">IF(AND(B48&gt;='План недели'!$B$4,B48&lt;'План недели'!$D$4,D48&lt;&gt;"",G48&lt;&gt;"Отменён"),COUNTIFS($B$5:B48,"&gt;="&amp;'План недели'!$B$4,$B$5:B48,"&lt;"&amp;'План недели'!$D$4,$D$5:D48,"&lt;&gt;",$G$5:G48,"&lt;&gt;Отменён"),"")</f>
        <v/>
      </c>
    </row>
    <row r="49" spans="1:11" ht="24" customHeight="1">
      <c r="A49" s="5" t="str">
        <f>IF(B49="","","VIS_"&amp;(YEAR(B49)*10000+MONTH(B49)*100+DAY(B49))&amp;"_"&amp;IF(COUNTIF($B$5:B49,B49)&lt;10,"00"&amp;COUNTIF($B$5:B49,B49),IF(COUNTIF($B$5:B49,B49)&lt;100,"0"&amp;COUNTIF($B$5:B49,B49),COUNTIF($B$5:B49,B49))))</f>
        <v>VIS_20260214_001</v>
      </c>
      <c r="B49" s="42">
        <v>46067</v>
      </c>
      <c r="C49" s="49" t="str">
        <f t="shared" si="0"/>
        <v>Сб</v>
      </c>
      <c r="G49" s="8"/>
      <c r="H49" s="38"/>
      <c r="I49" s="45"/>
      <c r="J49" s="39">
        <f t="shared" si="1"/>
        <v>46064</v>
      </c>
      <c r="K49" t="str">
        <f ca="1">IF(AND(B49&gt;='План недели'!$B$4,B49&lt;'План недели'!$D$4,D49&lt;&gt;"",G49&lt;&gt;"Отменён"),COUNTIFS($B$5:B49,"&gt;="&amp;'План недели'!$B$4,$B$5:B49,"&lt;"&amp;'План недели'!$D$4,$D$5:D49,"&lt;&gt;",$G$5:G49,"&lt;&gt;Отменён"),"")</f>
        <v/>
      </c>
    </row>
    <row r="50" spans="1:11" ht="24" customHeight="1">
      <c r="A50" s="5" t="str">
        <f>IF(B50="","","VIS_"&amp;(YEAR(B50)*10000+MONTH(B50)*100+DAY(B50))&amp;"_"&amp;IF(COUNTIF($B$5:B50,B50)&lt;10,"00"&amp;COUNTIF($B$5:B50,B50),IF(COUNTIF($B$5:B50,B50)&lt;100,"0"&amp;COUNTIF($B$5:B50,B50),COUNTIF($B$5:B50,B50))))</f>
        <v>VIS_20260215_001</v>
      </c>
      <c r="B50" s="42">
        <v>46068</v>
      </c>
      <c r="C50" s="49" t="str">
        <f t="shared" si="0"/>
        <v>Вс</v>
      </c>
      <c r="G50" s="8"/>
      <c r="H50" s="38"/>
      <c r="I50" s="45"/>
      <c r="J50" s="39">
        <f t="shared" si="1"/>
        <v>46064</v>
      </c>
      <c r="K50" t="str">
        <f ca="1">IF(AND(B50&gt;='План недели'!$B$4,B50&lt;'План недели'!$D$4,D50&lt;&gt;"",G50&lt;&gt;"Отменён"),COUNTIFS($B$5:B50,"&gt;="&amp;'План недели'!$B$4,$B$5:B50,"&lt;"&amp;'План недели'!$D$4,$D$5:D50,"&lt;&gt;",$G$5:G50,"&lt;&gt;Отменён"),"")</f>
        <v/>
      </c>
    </row>
    <row r="51" spans="1:11" ht="24" customHeight="1">
      <c r="A51" s="5" t="str">
        <f>IF(B51="","","VIS_"&amp;(YEAR(B51)*10000+MONTH(B51)*100+DAY(B51))&amp;"_"&amp;IF(COUNTIF($B$5:B51,B51)&lt;10,"00"&amp;COUNTIF($B$5:B51,B51),IF(COUNTIF($B$5:B51,B51)&lt;100,"0"&amp;COUNTIF($B$5:B51,B51),COUNTIF($B$5:B51,B51))))</f>
        <v>VIS_20260216_001</v>
      </c>
      <c r="B51" s="40">
        <v>46069</v>
      </c>
      <c r="C51" s="47" t="str">
        <f t="shared" si="0"/>
        <v>Пн</v>
      </c>
      <c r="G51" s="8"/>
      <c r="H51" s="38"/>
      <c r="I51" s="45"/>
      <c r="J51" s="39">
        <f t="shared" si="1"/>
        <v>46064</v>
      </c>
      <c r="K51" t="str">
        <f ca="1">IF(AND(B51&gt;='План недели'!$B$4,B51&lt;'План недели'!$D$4,D51&lt;&gt;"",G51&lt;&gt;"Отменён"),COUNTIFS($B$5:B51,"&gt;="&amp;'План недели'!$B$4,$B$5:B51,"&lt;"&amp;'План недели'!$D$4,$D$5:D51,"&lt;&gt;",$G$5:G51,"&lt;&gt;Отменён"),"")</f>
        <v/>
      </c>
    </row>
    <row r="52" spans="1:11" ht="24" customHeight="1">
      <c r="A52" s="5" t="str">
        <f>IF(B52="","","VIS_"&amp;(YEAR(B52)*10000+MONTH(B52)*100+DAY(B52))&amp;"_"&amp;IF(COUNTIF($B$5:B52,B52)&lt;10,"00"&amp;COUNTIF($B$5:B52,B52),IF(COUNTIF($B$5:B52,B52)&lt;100,"0"&amp;COUNTIF($B$5:B52,B52),COUNTIF($B$5:B52,B52))))</f>
        <v>VIS_20260217_001</v>
      </c>
      <c r="B52" s="40">
        <v>46070</v>
      </c>
      <c r="C52" s="47" t="str">
        <f t="shared" si="0"/>
        <v>Вт</v>
      </c>
      <c r="G52" s="8"/>
      <c r="H52" s="38"/>
      <c r="I52" s="45"/>
      <c r="J52" s="39">
        <f t="shared" si="1"/>
        <v>46064</v>
      </c>
      <c r="K52" t="str">
        <f ca="1">IF(AND(B52&gt;='План недели'!$B$4,B52&lt;'План недели'!$D$4,D52&lt;&gt;"",G52&lt;&gt;"Отменён"),COUNTIFS($B$5:B52,"&gt;="&amp;'План недели'!$B$4,$B$5:B52,"&lt;"&amp;'План недели'!$D$4,$D$5:D52,"&lt;&gt;",$G$5:G52,"&lt;&gt;Отменён"),"")</f>
        <v/>
      </c>
    </row>
    <row r="53" spans="1:11" ht="24" customHeight="1">
      <c r="A53" s="5" t="str">
        <f>IF(B53="","","VIS_"&amp;(YEAR(B53)*10000+MONTH(B53)*100+DAY(B53))&amp;"_"&amp;IF(COUNTIF($B$5:B53,B53)&lt;10,"00"&amp;COUNTIF($B$5:B53,B53),IF(COUNTIF($B$5:B53,B53)&lt;100,"0"&amp;COUNTIF($B$5:B53,B53),COUNTIF($B$5:B53,B53))))</f>
        <v>VIS_20260218_001</v>
      </c>
      <c r="B53" s="40">
        <v>46071</v>
      </c>
      <c r="C53" s="47" t="str">
        <f t="shared" si="0"/>
        <v>Ср</v>
      </c>
      <c r="G53" s="8"/>
      <c r="H53" s="38"/>
      <c r="I53" s="45"/>
      <c r="J53" s="39">
        <f t="shared" si="1"/>
        <v>46071</v>
      </c>
      <c r="K53" t="str">
        <f ca="1">IF(AND(B53&gt;='План недели'!$B$4,B53&lt;'План недели'!$D$4,D53&lt;&gt;"",G53&lt;&gt;"Отменён"),COUNTIFS($B$5:B53,"&gt;="&amp;'План недели'!$B$4,$B$5:B53,"&lt;"&amp;'План недели'!$D$4,$D$5:D53,"&lt;&gt;",$G$5:G53,"&lt;&gt;Отменён"),"")</f>
        <v/>
      </c>
    </row>
    <row r="54" spans="1:11" ht="24" customHeight="1">
      <c r="A54" s="5" t="str">
        <f>IF(B54="","","VIS_"&amp;(YEAR(B54)*10000+MONTH(B54)*100+DAY(B54))&amp;"_"&amp;IF(COUNTIF($B$5:B54,B54)&lt;10,"00"&amp;COUNTIF($B$5:B54,B54),IF(COUNTIF($B$5:B54,B54)&lt;100,"0"&amp;COUNTIF($B$5:B54,B54),COUNTIF($B$5:B54,B54))))</f>
        <v>VIS_20260219_001</v>
      </c>
      <c r="B54" s="40">
        <v>46072</v>
      </c>
      <c r="C54" s="47" t="str">
        <f t="shared" si="0"/>
        <v>Чт</v>
      </c>
      <c r="G54" s="8"/>
      <c r="H54" s="38"/>
      <c r="I54" s="45"/>
      <c r="J54" s="39">
        <f t="shared" si="1"/>
        <v>46071</v>
      </c>
      <c r="K54" t="str">
        <f ca="1">IF(AND(B54&gt;='План недели'!$B$4,B54&lt;'План недели'!$D$4,D54&lt;&gt;"",G54&lt;&gt;"Отменён"),COUNTIFS($B$5:B54,"&gt;="&amp;'План недели'!$B$4,$B$5:B54,"&lt;"&amp;'План недели'!$D$4,$D$5:D54,"&lt;&gt;",$G$5:G54,"&lt;&gt;Отменён"),"")</f>
        <v/>
      </c>
    </row>
    <row r="55" spans="1:11" ht="24" customHeight="1">
      <c r="A55" s="5" t="str">
        <f>IF(B55="","","VIS_"&amp;(YEAR(B55)*10000+MONTH(B55)*100+DAY(B55))&amp;"_"&amp;IF(COUNTIF($B$5:B55,B55)&lt;10,"00"&amp;COUNTIF($B$5:B55,B55),IF(COUNTIF($B$5:B55,B55)&lt;100,"0"&amp;COUNTIF($B$5:B55,B55),COUNTIF($B$5:B55,B55))))</f>
        <v>VIS_20260220_001</v>
      </c>
      <c r="B55" s="40">
        <v>46073</v>
      </c>
      <c r="C55" s="47" t="str">
        <f t="shared" si="0"/>
        <v>Пт</v>
      </c>
      <c r="G55" s="8"/>
      <c r="H55" s="38"/>
      <c r="I55" s="45"/>
      <c r="J55" s="39">
        <f t="shared" si="1"/>
        <v>46071</v>
      </c>
      <c r="K55" t="str">
        <f ca="1">IF(AND(B55&gt;='План недели'!$B$4,B55&lt;'План недели'!$D$4,D55&lt;&gt;"",G55&lt;&gt;"Отменён"),COUNTIFS($B$5:B55,"&gt;="&amp;'План недели'!$B$4,$B$5:B55,"&lt;"&amp;'План недели'!$D$4,$D$5:D55,"&lt;&gt;",$G$5:G55,"&lt;&gt;Отменён"),"")</f>
        <v/>
      </c>
    </row>
    <row r="56" spans="1:11" ht="24" customHeight="1">
      <c r="A56" s="5" t="str">
        <f>IF(B56="","","VIS_"&amp;(YEAR(B56)*10000+MONTH(B56)*100+DAY(B56))&amp;"_"&amp;IF(COUNTIF($B$5:B56,B56)&lt;10,"00"&amp;COUNTIF($B$5:B56,B56),IF(COUNTIF($B$5:B56,B56)&lt;100,"0"&amp;COUNTIF($B$5:B56,B56),COUNTIF($B$5:B56,B56))))</f>
        <v>VIS_20260221_001</v>
      </c>
      <c r="B56" s="42">
        <v>46074</v>
      </c>
      <c r="C56" s="49" t="str">
        <f t="shared" si="0"/>
        <v>Сб</v>
      </c>
      <c r="G56" s="8"/>
      <c r="H56" s="38"/>
      <c r="I56" s="45"/>
      <c r="J56" s="39">
        <f t="shared" si="1"/>
        <v>46071</v>
      </c>
      <c r="K56" t="str">
        <f ca="1">IF(AND(B56&gt;='План недели'!$B$4,B56&lt;'План недели'!$D$4,D56&lt;&gt;"",G56&lt;&gt;"Отменён"),COUNTIFS($B$5:B56,"&gt;="&amp;'План недели'!$B$4,$B$5:B56,"&lt;"&amp;'План недели'!$D$4,$D$5:D56,"&lt;&gt;",$G$5:G56,"&lt;&gt;Отменён"),"")</f>
        <v/>
      </c>
    </row>
    <row r="57" spans="1:11" ht="24" customHeight="1">
      <c r="A57" s="5" t="str">
        <f>IF(B57="","","VIS_"&amp;(YEAR(B57)*10000+MONTH(B57)*100+DAY(B57))&amp;"_"&amp;IF(COUNTIF($B$5:B57,B57)&lt;10,"00"&amp;COUNTIF($B$5:B57,B57),IF(COUNTIF($B$5:B57,B57)&lt;100,"0"&amp;COUNTIF($B$5:B57,B57),COUNTIF($B$5:B57,B57))))</f>
        <v>VIS_20260222_001</v>
      </c>
      <c r="B57" s="42">
        <v>46075</v>
      </c>
      <c r="C57" s="49" t="str">
        <f t="shared" si="0"/>
        <v>Вс</v>
      </c>
      <c r="G57" s="8"/>
      <c r="H57" s="38"/>
      <c r="I57" s="45"/>
      <c r="J57" s="39">
        <f t="shared" si="1"/>
        <v>46071</v>
      </c>
      <c r="K57" t="str">
        <f ca="1">IF(AND(B57&gt;='План недели'!$B$4,B57&lt;'План недели'!$D$4,D57&lt;&gt;"",G57&lt;&gt;"Отменён"),COUNTIFS($B$5:B57,"&gt;="&amp;'План недели'!$B$4,$B$5:B57,"&lt;"&amp;'План недели'!$D$4,$D$5:D57,"&lt;&gt;",$G$5:G57,"&lt;&gt;Отменён"),"")</f>
        <v/>
      </c>
    </row>
    <row r="58" spans="1:11" ht="24" customHeight="1">
      <c r="A58" s="5" t="str">
        <f>IF(B58="","","VIS_"&amp;(YEAR(B58)*10000+MONTH(B58)*100+DAY(B58))&amp;"_"&amp;IF(COUNTIF($B$5:B58,B58)&lt;10,"00"&amp;COUNTIF($B$5:B58,B58),IF(COUNTIF($B$5:B58,B58)&lt;100,"0"&amp;COUNTIF($B$5:B58,B58),COUNTIF($B$5:B58,B58))))</f>
        <v>VIS_20260223_001</v>
      </c>
      <c r="B58" s="42">
        <v>46076</v>
      </c>
      <c r="C58" s="49" t="str">
        <f t="shared" si="0"/>
        <v>Пн</v>
      </c>
      <c r="G58" s="8"/>
      <c r="H58" s="38"/>
      <c r="I58" s="45"/>
      <c r="J58" s="39">
        <f t="shared" si="1"/>
        <v>46071</v>
      </c>
      <c r="K58" t="str">
        <f ca="1">IF(AND(B58&gt;='План недели'!$B$4,B58&lt;'План недели'!$D$4,D58&lt;&gt;"",G58&lt;&gt;"Отменён"),COUNTIFS($B$5:B58,"&gt;="&amp;'План недели'!$B$4,$B$5:B58,"&lt;"&amp;'План недели'!$D$4,$D$5:D58,"&lt;&gt;",$G$5:G58,"&lt;&gt;Отменён"),"")</f>
        <v/>
      </c>
    </row>
    <row r="59" spans="1:11" ht="24" customHeight="1">
      <c r="A59" s="5" t="str">
        <f>IF(B59="","","VIS_"&amp;(YEAR(B59)*10000+MONTH(B59)*100+DAY(B59))&amp;"_"&amp;IF(COUNTIF($B$5:B59,B59)&lt;10,"00"&amp;COUNTIF($B$5:B59,B59),IF(COUNTIF($B$5:B59,B59)&lt;100,"0"&amp;COUNTIF($B$5:B59,B59),COUNTIF($B$5:B59,B59))))</f>
        <v>VIS_20260224_001</v>
      </c>
      <c r="B59" s="40">
        <v>46077</v>
      </c>
      <c r="C59" s="47" t="str">
        <f t="shared" si="0"/>
        <v>Вт</v>
      </c>
      <c r="G59" s="8"/>
      <c r="H59" s="38"/>
      <c r="I59" s="45"/>
      <c r="J59" s="39">
        <f t="shared" si="1"/>
        <v>46071</v>
      </c>
      <c r="K59" t="str">
        <f ca="1">IF(AND(B59&gt;='План недели'!$B$4,B59&lt;'План недели'!$D$4,D59&lt;&gt;"",G59&lt;&gt;"Отменён"),COUNTIFS($B$5:B59,"&gt;="&amp;'План недели'!$B$4,$B$5:B59,"&lt;"&amp;'План недели'!$D$4,$D$5:D59,"&lt;&gt;",$G$5:G59,"&lt;&gt;Отменён"),"")</f>
        <v/>
      </c>
    </row>
    <row r="60" spans="1:11" ht="24" customHeight="1">
      <c r="A60" s="5" t="str">
        <f>IF(B60="","","VIS_"&amp;(YEAR(B60)*10000+MONTH(B60)*100+DAY(B60))&amp;"_"&amp;IF(COUNTIF($B$5:B60,B60)&lt;10,"00"&amp;COUNTIF($B$5:B60,B60),IF(COUNTIF($B$5:B60,B60)&lt;100,"0"&amp;COUNTIF($B$5:B60,B60),COUNTIF($B$5:B60,B60))))</f>
        <v>VIS_20260225_001</v>
      </c>
      <c r="B60" s="40">
        <v>46078</v>
      </c>
      <c r="C60" s="47" t="str">
        <f t="shared" si="0"/>
        <v>Ср</v>
      </c>
      <c r="G60" s="8"/>
      <c r="H60" s="38"/>
      <c r="I60" s="45"/>
      <c r="J60" s="39">
        <f t="shared" si="1"/>
        <v>46078</v>
      </c>
      <c r="K60" t="str">
        <f ca="1">IF(AND(B60&gt;='План недели'!$B$4,B60&lt;'План недели'!$D$4,D60&lt;&gt;"",G60&lt;&gt;"Отменён"),COUNTIFS($B$5:B60,"&gt;="&amp;'План недели'!$B$4,$B$5:B60,"&lt;"&amp;'План недели'!$D$4,$D$5:D60,"&lt;&gt;",$G$5:G60,"&lt;&gt;Отменён"),"")</f>
        <v/>
      </c>
    </row>
    <row r="61" spans="1:11" ht="24" customHeight="1">
      <c r="A61" s="5" t="str">
        <f>IF(B61="","","VIS_"&amp;(YEAR(B61)*10000+MONTH(B61)*100+DAY(B61))&amp;"_"&amp;IF(COUNTIF($B$5:B61,B61)&lt;10,"00"&amp;COUNTIF($B$5:B61,B61),IF(COUNTIF($B$5:B61,B61)&lt;100,"0"&amp;COUNTIF($B$5:B61,B61),COUNTIF($B$5:B61,B61))))</f>
        <v>VIS_20260226_001</v>
      </c>
      <c r="B61" s="40">
        <v>46079</v>
      </c>
      <c r="C61" s="47" t="str">
        <f t="shared" si="0"/>
        <v>Чт</v>
      </c>
      <c r="G61" s="8"/>
      <c r="H61" s="38"/>
      <c r="I61" s="45"/>
      <c r="J61" s="39">
        <f t="shared" si="1"/>
        <v>46078</v>
      </c>
      <c r="K61" t="str">
        <f ca="1">IF(AND(B61&gt;='План недели'!$B$4,B61&lt;'План недели'!$D$4,D61&lt;&gt;"",G61&lt;&gt;"Отменён"),COUNTIFS($B$5:B61,"&gt;="&amp;'План недели'!$B$4,$B$5:B61,"&lt;"&amp;'План недели'!$D$4,$D$5:D61,"&lt;&gt;",$G$5:G61,"&lt;&gt;Отменён"),"")</f>
        <v/>
      </c>
    </row>
    <row r="62" spans="1:11" ht="24" customHeight="1">
      <c r="A62" s="5" t="str">
        <f>IF(B62="","","VIS_"&amp;(YEAR(B62)*10000+MONTH(B62)*100+DAY(B62))&amp;"_"&amp;IF(COUNTIF($B$5:B62,B62)&lt;10,"00"&amp;COUNTIF($B$5:B62,B62),IF(COUNTIF($B$5:B62,B62)&lt;100,"0"&amp;COUNTIF($B$5:B62,B62),COUNTIF($B$5:B62,B62))))</f>
        <v>VIS_20260227_001</v>
      </c>
      <c r="B62" s="40">
        <v>46080</v>
      </c>
      <c r="C62" s="47" t="str">
        <f t="shared" si="0"/>
        <v>Пт</v>
      </c>
      <c r="G62" s="8"/>
      <c r="H62" s="38"/>
      <c r="I62" s="45"/>
      <c r="J62" s="39">
        <f t="shared" si="1"/>
        <v>46078</v>
      </c>
      <c r="K62" t="str">
        <f ca="1">IF(AND(B62&gt;='План недели'!$B$4,B62&lt;'План недели'!$D$4,D62&lt;&gt;"",G62&lt;&gt;"Отменён"),COUNTIFS($B$5:B62,"&gt;="&amp;'План недели'!$B$4,$B$5:B62,"&lt;"&amp;'План недели'!$D$4,$D$5:D62,"&lt;&gt;",$G$5:G62,"&lt;&gt;Отменён"),"")</f>
        <v/>
      </c>
    </row>
    <row r="63" spans="1:11" ht="24" customHeight="1">
      <c r="A63" s="5" t="str">
        <f>IF(B63="","","VIS_"&amp;(YEAR(B63)*10000+MONTH(B63)*100+DAY(B63))&amp;"_"&amp;IF(COUNTIF($B$5:B63,B63)&lt;10,"00"&amp;COUNTIF($B$5:B63,B63),IF(COUNTIF($B$5:B63,B63)&lt;100,"0"&amp;COUNTIF($B$5:B63,B63),COUNTIF($B$5:B63,B63))))</f>
        <v>VIS_20260228_001</v>
      </c>
      <c r="B63" s="42">
        <v>46081</v>
      </c>
      <c r="C63" s="49" t="str">
        <f t="shared" si="0"/>
        <v>Сб</v>
      </c>
      <c r="G63" s="8"/>
      <c r="H63" s="38"/>
      <c r="I63" s="45"/>
      <c r="J63" s="39">
        <f t="shared" si="1"/>
        <v>46078</v>
      </c>
      <c r="K63" t="str">
        <f ca="1">IF(AND(B63&gt;='План недели'!$B$4,B63&lt;'План недели'!$D$4,D63&lt;&gt;"",G63&lt;&gt;"Отменён"),COUNTIFS($B$5:B63,"&gt;="&amp;'План недели'!$B$4,$B$5:B63,"&lt;"&amp;'План недели'!$D$4,$D$5:D63,"&lt;&gt;",$G$5:G63,"&lt;&gt;Отменён"),"")</f>
        <v/>
      </c>
    </row>
    <row r="64" spans="1:11" ht="24" customHeight="1">
      <c r="A64" s="5" t="str">
        <f>IF(B64="","","VIS_"&amp;(YEAR(B64)*10000+MONTH(B64)*100+DAY(B64))&amp;"_"&amp;IF(COUNTIF($B$5:B64,B64)&lt;10,"00"&amp;COUNTIF($B$5:B64,B64),IF(COUNTIF($B$5:B64,B64)&lt;100,"0"&amp;COUNTIF($B$5:B64,B64),COUNTIF($B$5:B64,B64))))</f>
        <v>VIS_20260301_001</v>
      </c>
      <c r="B64" s="42">
        <v>46082</v>
      </c>
      <c r="C64" s="49" t="str">
        <f t="shared" si="0"/>
        <v>Вс</v>
      </c>
      <c r="G64" s="8"/>
      <c r="H64" s="38"/>
      <c r="I64" s="45"/>
      <c r="J64" s="39">
        <f t="shared" si="1"/>
        <v>46078</v>
      </c>
      <c r="K64" t="str">
        <f ca="1">IF(AND(B64&gt;='План недели'!$B$4,B64&lt;'План недели'!$D$4,D64&lt;&gt;"",G64&lt;&gt;"Отменён"),COUNTIFS($B$5:B64,"&gt;="&amp;'План недели'!$B$4,$B$5:B64,"&lt;"&amp;'План недели'!$D$4,$D$5:D64,"&lt;&gt;",$G$5:G64,"&lt;&gt;Отменён"),"")</f>
        <v/>
      </c>
    </row>
    <row r="65" spans="1:11" ht="24" customHeight="1">
      <c r="A65" s="5" t="str">
        <f>IF(B65="","","VIS_"&amp;(YEAR(B65)*10000+MONTH(B65)*100+DAY(B65))&amp;"_"&amp;IF(COUNTIF($B$5:B65,B65)&lt;10,"00"&amp;COUNTIF($B$5:B65,B65),IF(COUNTIF($B$5:B65,B65)&lt;100,"0"&amp;COUNTIF($B$5:B65,B65),COUNTIF($B$5:B65,B65))))</f>
        <v>VIS_20260302_001</v>
      </c>
      <c r="B65" s="40">
        <v>46083</v>
      </c>
      <c r="C65" s="47" t="str">
        <f t="shared" si="0"/>
        <v>Пн</v>
      </c>
      <c r="G65" s="8"/>
      <c r="H65" s="38"/>
      <c r="I65" s="45"/>
      <c r="J65" s="39">
        <f t="shared" si="1"/>
        <v>46078</v>
      </c>
      <c r="K65" t="str">
        <f ca="1">IF(AND(B65&gt;='План недели'!$B$4,B65&lt;'План недели'!$D$4,D65&lt;&gt;"",G65&lt;&gt;"Отменён"),COUNTIFS($B$5:B65,"&gt;="&amp;'План недели'!$B$4,$B$5:B65,"&lt;"&amp;'План недели'!$D$4,$D$5:D65,"&lt;&gt;",$G$5:G65,"&lt;&gt;Отменён"),"")</f>
        <v/>
      </c>
    </row>
    <row r="66" spans="1:11" ht="24" customHeight="1">
      <c r="A66" s="5" t="str">
        <f>IF(B66="","","VIS_"&amp;(YEAR(B66)*10000+MONTH(B66)*100+DAY(B66))&amp;"_"&amp;IF(COUNTIF($B$5:B66,B66)&lt;10,"00"&amp;COUNTIF($B$5:B66,B66),IF(COUNTIF($B$5:B66,B66)&lt;100,"0"&amp;COUNTIF($B$5:B66,B66),COUNTIF($B$5:B66,B66))))</f>
        <v>VIS_20260303_001</v>
      </c>
      <c r="B66" s="40">
        <v>46084</v>
      </c>
      <c r="C66" s="47" t="str">
        <f t="shared" si="0"/>
        <v>Вт</v>
      </c>
      <c r="G66" s="8"/>
      <c r="H66" s="38"/>
      <c r="I66" s="45"/>
      <c r="J66" s="39">
        <f t="shared" si="1"/>
        <v>46078</v>
      </c>
      <c r="K66" t="str">
        <f ca="1">IF(AND(B66&gt;='План недели'!$B$4,B66&lt;'План недели'!$D$4,D66&lt;&gt;"",G66&lt;&gt;"Отменён"),COUNTIFS($B$5:B66,"&gt;="&amp;'План недели'!$B$4,$B$5:B66,"&lt;"&amp;'План недели'!$D$4,$D$5:D66,"&lt;&gt;",$G$5:G66,"&lt;&gt;Отменён"),"")</f>
        <v/>
      </c>
    </row>
    <row r="67" spans="1:11" ht="24" customHeight="1">
      <c r="A67" s="5" t="str">
        <f>IF(B67="","","VIS_"&amp;(YEAR(B67)*10000+MONTH(B67)*100+DAY(B67))&amp;"_"&amp;IF(COUNTIF($B$5:B67,B67)&lt;10,"00"&amp;COUNTIF($B$5:B67,B67),IF(COUNTIF($B$5:B67,B67)&lt;100,"0"&amp;COUNTIF($B$5:B67,B67),COUNTIF($B$5:B67,B67))))</f>
        <v>VIS_20260304_001</v>
      </c>
      <c r="B67" s="40">
        <v>46085</v>
      </c>
      <c r="C67" s="47" t="str">
        <f t="shared" si="0"/>
        <v>Ср</v>
      </c>
      <c r="G67" s="8"/>
      <c r="H67" s="38"/>
      <c r="I67" s="45"/>
      <c r="J67" s="39">
        <f t="shared" si="1"/>
        <v>46085</v>
      </c>
      <c r="K67" t="str">
        <f ca="1">IF(AND(B67&gt;='План недели'!$B$4,B67&lt;'План недели'!$D$4,D67&lt;&gt;"",G67&lt;&gt;"Отменён"),COUNTIFS($B$5:B67,"&gt;="&amp;'План недели'!$B$4,$B$5:B67,"&lt;"&amp;'План недели'!$D$4,$D$5:D67,"&lt;&gt;",$G$5:G67,"&lt;&gt;Отменён"),"")</f>
        <v/>
      </c>
    </row>
    <row r="68" spans="1:11" ht="24" customHeight="1">
      <c r="A68" s="5" t="str">
        <f>IF(B68="","","VIS_"&amp;(YEAR(B68)*10000+MONTH(B68)*100+DAY(B68))&amp;"_"&amp;IF(COUNTIF($B$5:B68,B68)&lt;10,"00"&amp;COUNTIF($B$5:B68,B68),IF(COUNTIF($B$5:B68,B68)&lt;100,"0"&amp;COUNTIF($B$5:B68,B68),COUNTIF($B$5:B68,B68))))</f>
        <v>VIS_20260305_001</v>
      </c>
      <c r="B68" s="40">
        <v>46086</v>
      </c>
      <c r="C68" s="47" t="str">
        <f t="shared" si="0"/>
        <v>Чт</v>
      </c>
      <c r="G68" s="8"/>
      <c r="H68" s="38"/>
      <c r="I68" s="45"/>
      <c r="J68" s="39">
        <f t="shared" si="1"/>
        <v>46085</v>
      </c>
      <c r="K68" t="str">
        <f ca="1">IF(AND(B68&gt;='План недели'!$B$4,B68&lt;'План недели'!$D$4,D68&lt;&gt;"",G68&lt;&gt;"Отменён"),COUNTIFS($B$5:B68,"&gt;="&amp;'План недели'!$B$4,$B$5:B68,"&lt;"&amp;'План недели'!$D$4,$D$5:D68,"&lt;&gt;",$G$5:G68,"&lt;&gt;Отменён"),"")</f>
        <v/>
      </c>
    </row>
    <row r="69" spans="1:11" ht="24" customHeight="1">
      <c r="A69" s="5" t="str">
        <f>IF(B69="","","VIS_"&amp;(YEAR(B69)*10000+MONTH(B69)*100+DAY(B69))&amp;"_"&amp;IF(COUNTIF($B$5:B69,B69)&lt;10,"00"&amp;COUNTIF($B$5:B69,B69),IF(COUNTIF($B$5:B69,B69)&lt;100,"0"&amp;COUNTIF($B$5:B69,B69),COUNTIF($B$5:B69,B69))))</f>
        <v>VIS_20260306_001</v>
      </c>
      <c r="B69" s="40">
        <v>46087</v>
      </c>
      <c r="C69" s="47" t="str">
        <f t="shared" ref="C69:C132" si="2">IF(B69="","",CHOOSE(WEEKDAY(B69,2),"Пн","Вт","Ср","Чт","Пт","Сб","Вс"))</f>
        <v>Пт</v>
      </c>
      <c r="G69" s="8"/>
      <c r="H69" s="38"/>
      <c r="I69" s="45"/>
      <c r="J69" s="39">
        <f t="shared" ref="J69:J132" si="3">IF(B69="","",B69-MOD(WEEKDAY(B69,2)-3,7))</f>
        <v>46085</v>
      </c>
      <c r="K69" t="str">
        <f ca="1">IF(AND(B69&gt;='План недели'!$B$4,B69&lt;'План недели'!$D$4,D69&lt;&gt;"",G69&lt;&gt;"Отменён"),COUNTIFS($B$5:B69,"&gt;="&amp;'План недели'!$B$4,$B$5:B69,"&lt;"&amp;'План недели'!$D$4,$D$5:D69,"&lt;&gt;",$G$5:G69,"&lt;&gt;Отменён"),"")</f>
        <v/>
      </c>
    </row>
    <row r="70" spans="1:11" ht="24" customHeight="1">
      <c r="A70" s="5" t="str">
        <f>IF(B70="","","VIS_"&amp;(YEAR(B70)*10000+MONTH(B70)*100+DAY(B70))&amp;"_"&amp;IF(COUNTIF($B$5:B70,B70)&lt;10,"00"&amp;COUNTIF($B$5:B70,B70),IF(COUNTIF($B$5:B70,B70)&lt;100,"0"&amp;COUNTIF($B$5:B70,B70),COUNTIF($B$5:B70,B70))))</f>
        <v>VIS_20260307_001</v>
      </c>
      <c r="B70" s="42">
        <v>46088</v>
      </c>
      <c r="C70" s="49" t="str">
        <f t="shared" si="2"/>
        <v>Сб</v>
      </c>
      <c r="G70" s="8"/>
      <c r="H70" s="38"/>
      <c r="I70" s="45"/>
      <c r="J70" s="39">
        <f t="shared" si="3"/>
        <v>46085</v>
      </c>
      <c r="K70" t="str">
        <f ca="1">IF(AND(B70&gt;='План недели'!$B$4,B70&lt;'План недели'!$D$4,D70&lt;&gt;"",G70&lt;&gt;"Отменён"),COUNTIFS($B$5:B70,"&gt;="&amp;'План недели'!$B$4,$B$5:B70,"&lt;"&amp;'План недели'!$D$4,$D$5:D70,"&lt;&gt;",$G$5:G70,"&lt;&gt;Отменён"),"")</f>
        <v/>
      </c>
    </row>
    <row r="71" spans="1:11" ht="24" customHeight="1">
      <c r="A71" s="5" t="str">
        <f>IF(B71="","","VIS_"&amp;(YEAR(B71)*10000+MONTH(B71)*100+DAY(B71))&amp;"_"&amp;IF(COUNTIF($B$5:B71,B71)&lt;10,"00"&amp;COUNTIF($B$5:B71,B71),IF(COUNTIF($B$5:B71,B71)&lt;100,"0"&amp;COUNTIF($B$5:B71,B71),COUNTIF($B$5:B71,B71))))</f>
        <v>VIS_20260308_001</v>
      </c>
      <c r="B71" s="42">
        <v>46089</v>
      </c>
      <c r="C71" s="49" t="str">
        <f t="shared" si="2"/>
        <v>Вс</v>
      </c>
      <c r="G71" s="8"/>
      <c r="H71" s="38"/>
      <c r="I71" s="45"/>
      <c r="J71" s="39">
        <f t="shared" si="3"/>
        <v>46085</v>
      </c>
      <c r="K71" t="str">
        <f ca="1">IF(AND(B71&gt;='План недели'!$B$4,B71&lt;'План недели'!$D$4,D71&lt;&gt;"",G71&lt;&gt;"Отменён"),COUNTIFS($B$5:B71,"&gt;="&amp;'План недели'!$B$4,$B$5:B71,"&lt;"&amp;'План недели'!$D$4,$D$5:D71,"&lt;&gt;",$G$5:G71,"&lt;&gt;Отменён"),"")</f>
        <v/>
      </c>
    </row>
    <row r="72" spans="1:11" ht="24" customHeight="1">
      <c r="A72" s="5" t="str">
        <f>IF(B72="","","VIS_"&amp;(YEAR(B72)*10000+MONTH(B72)*100+DAY(B72))&amp;"_"&amp;IF(COUNTIF($B$5:B72,B72)&lt;10,"00"&amp;COUNTIF($B$5:B72,B72),IF(COUNTIF($B$5:B72,B72)&lt;100,"0"&amp;COUNTIF($B$5:B72,B72),COUNTIF($B$5:B72,B72))))</f>
        <v>VIS_20260309_001</v>
      </c>
      <c r="B72" s="42">
        <v>46090</v>
      </c>
      <c r="C72" s="49" t="str">
        <f t="shared" si="2"/>
        <v>Пн</v>
      </c>
      <c r="G72" s="8"/>
      <c r="H72" s="38"/>
      <c r="I72" s="45"/>
      <c r="J72" s="39">
        <f t="shared" si="3"/>
        <v>46085</v>
      </c>
      <c r="K72" t="str">
        <f ca="1">IF(AND(B72&gt;='План недели'!$B$4,B72&lt;'План недели'!$D$4,D72&lt;&gt;"",G72&lt;&gt;"Отменён"),COUNTIFS($B$5:B72,"&gt;="&amp;'План недели'!$B$4,$B$5:B72,"&lt;"&amp;'План недели'!$D$4,$D$5:D72,"&lt;&gt;",$G$5:G72,"&lt;&gt;Отменён"),"")</f>
        <v/>
      </c>
    </row>
    <row r="73" spans="1:11" ht="24" customHeight="1">
      <c r="A73" s="5" t="str">
        <f>IF(B73="","","VIS_"&amp;(YEAR(B73)*10000+MONTH(B73)*100+DAY(B73))&amp;"_"&amp;IF(COUNTIF($B$5:B73,B73)&lt;10,"00"&amp;COUNTIF($B$5:B73,B73),IF(COUNTIF($B$5:B73,B73)&lt;100,"0"&amp;COUNTIF($B$5:B73,B73),COUNTIF($B$5:B73,B73))))</f>
        <v>VIS_20260310_001</v>
      </c>
      <c r="B73" s="40">
        <v>46091</v>
      </c>
      <c r="C73" s="47" t="str">
        <f t="shared" si="2"/>
        <v>Вт</v>
      </c>
      <c r="G73" s="8"/>
      <c r="H73" s="38"/>
      <c r="I73" s="45"/>
      <c r="J73" s="39">
        <f t="shared" si="3"/>
        <v>46085</v>
      </c>
      <c r="K73" t="str">
        <f ca="1">IF(AND(B73&gt;='План недели'!$B$4,B73&lt;'План недели'!$D$4,D73&lt;&gt;"",G73&lt;&gt;"Отменён"),COUNTIFS($B$5:B73,"&gt;="&amp;'План недели'!$B$4,$B$5:B73,"&lt;"&amp;'План недели'!$D$4,$D$5:D73,"&lt;&gt;",$G$5:G73,"&lt;&gt;Отменён"),"")</f>
        <v/>
      </c>
    </row>
    <row r="74" spans="1:11" ht="24" customHeight="1">
      <c r="A74" s="5" t="str">
        <f>IF(B74="","","VIS_"&amp;(YEAR(B74)*10000+MONTH(B74)*100+DAY(B74))&amp;"_"&amp;IF(COUNTIF($B$5:B74,B74)&lt;10,"00"&amp;COUNTIF($B$5:B74,B74),IF(COUNTIF($B$5:B74,B74)&lt;100,"0"&amp;COUNTIF($B$5:B74,B74),COUNTIF($B$5:B74,B74))))</f>
        <v>VIS_20260311_001</v>
      </c>
      <c r="B74" s="40">
        <v>46092</v>
      </c>
      <c r="C74" s="47" t="str">
        <f t="shared" si="2"/>
        <v>Ср</v>
      </c>
      <c r="G74" s="8"/>
      <c r="H74" s="38"/>
      <c r="I74" s="45"/>
      <c r="J74" s="39">
        <f t="shared" si="3"/>
        <v>46092</v>
      </c>
      <c r="K74" t="str">
        <f ca="1">IF(AND(B74&gt;='План недели'!$B$4,B74&lt;'План недели'!$D$4,D74&lt;&gt;"",G74&lt;&gt;"Отменён"),COUNTIFS($B$5:B74,"&gt;="&amp;'План недели'!$B$4,$B$5:B74,"&lt;"&amp;'План недели'!$D$4,$D$5:D74,"&lt;&gt;",$G$5:G74,"&lt;&gt;Отменён"),"")</f>
        <v/>
      </c>
    </row>
    <row r="75" spans="1:11" ht="24" customHeight="1">
      <c r="A75" s="5" t="str">
        <f>IF(B75="","","VIS_"&amp;(YEAR(B75)*10000+MONTH(B75)*100+DAY(B75))&amp;"_"&amp;IF(COUNTIF($B$5:B75,B75)&lt;10,"00"&amp;COUNTIF($B$5:B75,B75),IF(COUNTIF($B$5:B75,B75)&lt;100,"0"&amp;COUNTIF($B$5:B75,B75),COUNTIF($B$5:B75,B75))))</f>
        <v>VIS_20260312_001</v>
      </c>
      <c r="B75" s="40">
        <v>46093</v>
      </c>
      <c r="C75" s="47" t="str">
        <f t="shared" si="2"/>
        <v>Чт</v>
      </c>
      <c r="G75" s="8"/>
      <c r="H75" s="38"/>
      <c r="I75" s="45"/>
      <c r="J75" s="39">
        <f t="shared" si="3"/>
        <v>46092</v>
      </c>
      <c r="K75" t="str">
        <f ca="1">IF(AND(B75&gt;='План недели'!$B$4,B75&lt;'План недели'!$D$4,D75&lt;&gt;"",G75&lt;&gt;"Отменён"),COUNTIFS($B$5:B75,"&gt;="&amp;'План недели'!$B$4,$B$5:B75,"&lt;"&amp;'План недели'!$D$4,$D$5:D75,"&lt;&gt;",$G$5:G75,"&lt;&gt;Отменён"),"")</f>
        <v/>
      </c>
    </row>
    <row r="76" spans="1:11" ht="24" customHeight="1">
      <c r="A76" s="5" t="str">
        <f>IF(B76="","","VIS_"&amp;(YEAR(B76)*10000+MONTH(B76)*100+DAY(B76))&amp;"_"&amp;IF(COUNTIF($B$5:B76,B76)&lt;10,"00"&amp;COUNTIF($B$5:B76,B76),IF(COUNTIF($B$5:B76,B76)&lt;100,"0"&amp;COUNTIF($B$5:B76,B76),COUNTIF($B$5:B76,B76))))</f>
        <v>VIS_20260313_001</v>
      </c>
      <c r="B76" s="40">
        <v>46094</v>
      </c>
      <c r="C76" s="47" t="str">
        <f t="shared" si="2"/>
        <v>Пт</v>
      </c>
      <c r="G76" s="8"/>
      <c r="H76" s="38"/>
      <c r="I76" s="45"/>
      <c r="J76" s="39">
        <f t="shared" si="3"/>
        <v>46092</v>
      </c>
      <c r="K76" t="str">
        <f ca="1">IF(AND(B76&gt;='План недели'!$B$4,B76&lt;'План недели'!$D$4,D76&lt;&gt;"",G76&lt;&gt;"Отменён"),COUNTIFS($B$5:B76,"&gt;="&amp;'План недели'!$B$4,$B$5:B76,"&lt;"&amp;'План недели'!$D$4,$D$5:D76,"&lt;&gt;",$G$5:G76,"&lt;&gt;Отменён"),"")</f>
        <v/>
      </c>
    </row>
    <row r="77" spans="1:11" ht="24" customHeight="1">
      <c r="A77" s="5" t="str">
        <f>IF(B77="","","VIS_"&amp;(YEAR(B77)*10000+MONTH(B77)*100+DAY(B77))&amp;"_"&amp;IF(COUNTIF($B$5:B77,B77)&lt;10,"00"&amp;COUNTIF($B$5:B77,B77),IF(COUNTIF($B$5:B77,B77)&lt;100,"0"&amp;COUNTIF($B$5:B77,B77),COUNTIF($B$5:B77,B77))))</f>
        <v>VIS_20260314_001</v>
      </c>
      <c r="B77" s="42">
        <v>46095</v>
      </c>
      <c r="C77" s="49" t="str">
        <f t="shared" si="2"/>
        <v>Сб</v>
      </c>
      <c r="G77" s="8"/>
      <c r="H77" s="38"/>
      <c r="I77" s="45"/>
      <c r="J77" s="39">
        <f t="shared" si="3"/>
        <v>46092</v>
      </c>
      <c r="K77" t="str">
        <f ca="1">IF(AND(B77&gt;='План недели'!$B$4,B77&lt;'План недели'!$D$4,D77&lt;&gt;"",G77&lt;&gt;"Отменён"),COUNTIFS($B$5:B77,"&gt;="&amp;'План недели'!$B$4,$B$5:B77,"&lt;"&amp;'План недели'!$D$4,$D$5:D77,"&lt;&gt;",$G$5:G77,"&lt;&gt;Отменён"),"")</f>
        <v/>
      </c>
    </row>
    <row r="78" spans="1:11" ht="24" customHeight="1">
      <c r="A78" s="5" t="str">
        <f>IF(B78="","","VIS_"&amp;(YEAR(B78)*10000+MONTH(B78)*100+DAY(B78))&amp;"_"&amp;IF(COUNTIF($B$5:B78,B78)&lt;10,"00"&amp;COUNTIF($B$5:B78,B78),IF(COUNTIF($B$5:B78,B78)&lt;100,"0"&amp;COUNTIF($B$5:B78,B78),COUNTIF($B$5:B78,B78))))</f>
        <v>VIS_20260315_001</v>
      </c>
      <c r="B78" s="42">
        <v>46096</v>
      </c>
      <c r="C78" s="49" t="str">
        <f t="shared" si="2"/>
        <v>Вс</v>
      </c>
      <c r="G78" s="8"/>
      <c r="H78" s="38"/>
      <c r="I78" s="45"/>
      <c r="J78" s="39">
        <f t="shared" si="3"/>
        <v>46092</v>
      </c>
      <c r="K78" t="str">
        <f ca="1">IF(AND(B78&gt;='План недели'!$B$4,B78&lt;'План недели'!$D$4,D78&lt;&gt;"",G78&lt;&gt;"Отменён"),COUNTIFS($B$5:B78,"&gt;="&amp;'План недели'!$B$4,$B$5:B78,"&lt;"&amp;'План недели'!$D$4,$D$5:D78,"&lt;&gt;",$G$5:G78,"&lt;&gt;Отменён"),"")</f>
        <v/>
      </c>
    </row>
    <row r="79" spans="1:11" ht="24" customHeight="1">
      <c r="A79" s="5" t="str">
        <f>IF(B79="","","VIS_"&amp;(YEAR(B79)*10000+MONTH(B79)*100+DAY(B79))&amp;"_"&amp;IF(COUNTIF($B$5:B79,B79)&lt;10,"00"&amp;COUNTIF($B$5:B79,B79),IF(COUNTIF($B$5:B79,B79)&lt;100,"0"&amp;COUNTIF($B$5:B79,B79),COUNTIF($B$5:B79,B79))))</f>
        <v>VIS_20260316_001</v>
      </c>
      <c r="B79" s="40">
        <v>46097</v>
      </c>
      <c r="C79" s="47" t="str">
        <f t="shared" si="2"/>
        <v>Пн</v>
      </c>
      <c r="G79" s="8"/>
      <c r="H79" s="38"/>
      <c r="I79" s="45"/>
      <c r="J79" s="39">
        <f t="shared" si="3"/>
        <v>46092</v>
      </c>
      <c r="K79" t="str">
        <f ca="1">IF(AND(B79&gt;='План недели'!$B$4,B79&lt;'План недели'!$D$4,D79&lt;&gt;"",G79&lt;&gt;"Отменён"),COUNTIFS($B$5:B79,"&gt;="&amp;'План недели'!$B$4,$B$5:B79,"&lt;"&amp;'План недели'!$D$4,$D$5:D79,"&lt;&gt;",$G$5:G79,"&lt;&gt;Отменён"),"")</f>
        <v/>
      </c>
    </row>
    <row r="80" spans="1:11" ht="24" customHeight="1">
      <c r="A80" s="5" t="str">
        <f>IF(B80="","","VIS_"&amp;(YEAR(B80)*10000+MONTH(B80)*100+DAY(B80))&amp;"_"&amp;IF(COUNTIF($B$5:B80,B80)&lt;10,"00"&amp;COUNTIF($B$5:B80,B80),IF(COUNTIF($B$5:B80,B80)&lt;100,"0"&amp;COUNTIF($B$5:B80,B80),COUNTIF($B$5:B80,B80))))</f>
        <v>VIS_20260317_001</v>
      </c>
      <c r="B80" s="40">
        <v>46098</v>
      </c>
      <c r="C80" s="47" t="str">
        <f t="shared" si="2"/>
        <v>Вт</v>
      </c>
      <c r="G80" s="8"/>
      <c r="H80" s="38"/>
      <c r="I80" s="45"/>
      <c r="J80" s="39">
        <f t="shared" si="3"/>
        <v>46092</v>
      </c>
      <c r="K80" t="str">
        <f ca="1">IF(AND(B80&gt;='План недели'!$B$4,B80&lt;'План недели'!$D$4,D80&lt;&gt;"",G80&lt;&gt;"Отменён"),COUNTIFS($B$5:B80,"&gt;="&amp;'План недели'!$B$4,$B$5:B80,"&lt;"&amp;'План недели'!$D$4,$D$5:D80,"&lt;&gt;",$G$5:G80,"&lt;&gt;Отменён"),"")</f>
        <v/>
      </c>
    </row>
    <row r="81" spans="1:11" ht="24" customHeight="1">
      <c r="A81" s="5" t="str">
        <f>IF(B81="","","VIS_"&amp;(YEAR(B81)*10000+MONTH(B81)*100+DAY(B81))&amp;"_"&amp;IF(COUNTIF($B$5:B81,B81)&lt;10,"00"&amp;COUNTIF($B$5:B81,B81),IF(COUNTIF($B$5:B81,B81)&lt;100,"0"&amp;COUNTIF($B$5:B81,B81),COUNTIF($B$5:B81,B81))))</f>
        <v>VIS_20260318_001</v>
      </c>
      <c r="B81" s="40">
        <v>46099</v>
      </c>
      <c r="C81" s="47" t="str">
        <f t="shared" si="2"/>
        <v>Ср</v>
      </c>
      <c r="G81" s="8"/>
      <c r="H81" s="38"/>
      <c r="I81" s="45"/>
      <c r="J81" s="39">
        <f t="shared" si="3"/>
        <v>46099</v>
      </c>
      <c r="K81" t="str">
        <f ca="1">IF(AND(B81&gt;='План недели'!$B$4,B81&lt;'План недели'!$D$4,D81&lt;&gt;"",G81&lt;&gt;"Отменён"),COUNTIFS($B$5:B81,"&gt;="&amp;'План недели'!$B$4,$B$5:B81,"&lt;"&amp;'План недели'!$D$4,$D$5:D81,"&lt;&gt;",$G$5:G81,"&lt;&gt;Отменён"),"")</f>
        <v/>
      </c>
    </row>
    <row r="82" spans="1:11" ht="24" customHeight="1">
      <c r="A82" s="5" t="str">
        <f>IF(B82="","","VIS_"&amp;(YEAR(B82)*10000+MONTH(B82)*100+DAY(B82))&amp;"_"&amp;IF(COUNTIF($B$5:B82,B82)&lt;10,"00"&amp;COUNTIF($B$5:B82,B82),IF(COUNTIF($B$5:B82,B82)&lt;100,"0"&amp;COUNTIF($B$5:B82,B82),COUNTIF($B$5:B82,B82))))</f>
        <v>VIS_20260319_001</v>
      </c>
      <c r="B82" s="40">
        <v>46100</v>
      </c>
      <c r="C82" s="47" t="str">
        <f t="shared" si="2"/>
        <v>Чт</v>
      </c>
      <c r="G82" s="8"/>
      <c r="H82" s="38"/>
      <c r="I82" s="45"/>
      <c r="J82" s="39">
        <f t="shared" si="3"/>
        <v>46099</v>
      </c>
      <c r="K82" t="str">
        <f ca="1">IF(AND(B82&gt;='План недели'!$B$4,B82&lt;'План недели'!$D$4,D82&lt;&gt;"",G82&lt;&gt;"Отменён"),COUNTIFS($B$5:B82,"&gt;="&amp;'План недели'!$B$4,$B$5:B82,"&lt;"&amp;'План недели'!$D$4,$D$5:D82,"&lt;&gt;",$G$5:G82,"&lt;&gt;Отменён"),"")</f>
        <v/>
      </c>
    </row>
    <row r="83" spans="1:11" ht="24" customHeight="1">
      <c r="A83" s="5" t="str">
        <f>IF(B83="","","VIS_"&amp;(YEAR(B83)*10000+MONTH(B83)*100+DAY(B83))&amp;"_"&amp;IF(COUNTIF($B$5:B83,B83)&lt;10,"00"&amp;COUNTIF($B$5:B83,B83),IF(COUNTIF($B$5:B83,B83)&lt;100,"0"&amp;COUNTIF($B$5:B83,B83),COUNTIF($B$5:B83,B83))))</f>
        <v>VIS_20260320_001</v>
      </c>
      <c r="B83" s="40">
        <v>46101</v>
      </c>
      <c r="C83" s="47" t="str">
        <f t="shared" si="2"/>
        <v>Пт</v>
      </c>
      <c r="G83" s="8"/>
      <c r="H83" s="38"/>
      <c r="I83" s="45"/>
      <c r="J83" s="39">
        <f t="shared" si="3"/>
        <v>46099</v>
      </c>
      <c r="K83" t="str">
        <f ca="1">IF(AND(B83&gt;='План недели'!$B$4,B83&lt;'План недели'!$D$4,D83&lt;&gt;"",G83&lt;&gt;"Отменён"),COUNTIFS($B$5:B83,"&gt;="&amp;'План недели'!$B$4,$B$5:B83,"&lt;"&amp;'План недели'!$D$4,$D$5:D83,"&lt;&gt;",$G$5:G83,"&lt;&gt;Отменён"),"")</f>
        <v/>
      </c>
    </row>
    <row r="84" spans="1:11" ht="24" customHeight="1">
      <c r="A84" s="5" t="str">
        <f>IF(B84="","","VIS_"&amp;(YEAR(B84)*10000+MONTH(B84)*100+DAY(B84))&amp;"_"&amp;IF(COUNTIF($B$5:B84,B84)&lt;10,"00"&amp;COUNTIF($B$5:B84,B84),IF(COUNTIF($B$5:B84,B84)&lt;100,"0"&amp;COUNTIF($B$5:B84,B84),COUNTIF($B$5:B84,B84))))</f>
        <v>VIS_20260321_001</v>
      </c>
      <c r="B84" s="42">
        <v>46102</v>
      </c>
      <c r="C84" s="49" t="str">
        <f t="shared" si="2"/>
        <v>Сб</v>
      </c>
      <c r="G84" s="8"/>
      <c r="H84" s="38"/>
      <c r="I84" s="45"/>
      <c r="J84" s="39">
        <f t="shared" si="3"/>
        <v>46099</v>
      </c>
      <c r="K84" t="str">
        <f ca="1">IF(AND(B84&gt;='План недели'!$B$4,B84&lt;'План недели'!$D$4,D84&lt;&gt;"",G84&lt;&gt;"Отменён"),COUNTIFS($B$5:B84,"&gt;="&amp;'План недели'!$B$4,$B$5:B84,"&lt;"&amp;'План недели'!$D$4,$D$5:D84,"&lt;&gt;",$G$5:G84,"&lt;&gt;Отменён"),"")</f>
        <v/>
      </c>
    </row>
    <row r="85" spans="1:11" ht="24" customHeight="1">
      <c r="A85" s="5" t="str">
        <f>IF(B85="","","VIS_"&amp;(YEAR(B85)*10000+MONTH(B85)*100+DAY(B85))&amp;"_"&amp;IF(COUNTIF($B$5:B85,B85)&lt;10,"00"&amp;COUNTIF($B$5:B85,B85),IF(COUNTIF($B$5:B85,B85)&lt;100,"0"&amp;COUNTIF($B$5:B85,B85),COUNTIF($B$5:B85,B85))))</f>
        <v>VIS_20260322_001</v>
      </c>
      <c r="B85" s="42">
        <v>46103</v>
      </c>
      <c r="C85" s="49" t="str">
        <f t="shared" si="2"/>
        <v>Вс</v>
      </c>
      <c r="G85" s="8"/>
      <c r="H85" s="38"/>
      <c r="I85" s="45"/>
      <c r="J85" s="39">
        <f t="shared" si="3"/>
        <v>46099</v>
      </c>
      <c r="K85" t="str">
        <f ca="1">IF(AND(B85&gt;='План недели'!$B$4,B85&lt;'План недели'!$D$4,D85&lt;&gt;"",G85&lt;&gt;"Отменён"),COUNTIFS($B$5:B85,"&gt;="&amp;'План недели'!$B$4,$B$5:B85,"&lt;"&amp;'План недели'!$D$4,$D$5:D85,"&lt;&gt;",$G$5:G85,"&lt;&gt;Отменён"),"")</f>
        <v/>
      </c>
    </row>
    <row r="86" spans="1:11" ht="24" customHeight="1">
      <c r="A86" s="5" t="str">
        <f>IF(B86="","","VIS_"&amp;(YEAR(B86)*10000+MONTH(B86)*100+DAY(B86))&amp;"_"&amp;IF(COUNTIF($B$5:B86,B86)&lt;10,"00"&amp;COUNTIF($B$5:B86,B86),IF(COUNTIF($B$5:B86,B86)&lt;100,"0"&amp;COUNTIF($B$5:B86,B86),COUNTIF($B$5:B86,B86))))</f>
        <v>VIS_20260323_001</v>
      </c>
      <c r="B86" s="40">
        <v>46104</v>
      </c>
      <c r="C86" s="47" t="str">
        <f t="shared" si="2"/>
        <v>Пн</v>
      </c>
      <c r="G86" s="8"/>
      <c r="H86" s="38"/>
      <c r="I86" s="45"/>
      <c r="J86" s="39">
        <f t="shared" si="3"/>
        <v>46099</v>
      </c>
      <c r="K86" t="str">
        <f ca="1">IF(AND(B86&gt;='План недели'!$B$4,B86&lt;'План недели'!$D$4,D86&lt;&gt;"",G86&lt;&gt;"Отменён"),COUNTIFS($B$5:B86,"&gt;="&amp;'План недели'!$B$4,$B$5:B86,"&lt;"&amp;'План недели'!$D$4,$D$5:D86,"&lt;&gt;",$G$5:G86,"&lt;&gt;Отменён"),"")</f>
        <v/>
      </c>
    </row>
    <row r="87" spans="1:11" ht="24" customHeight="1">
      <c r="A87" s="5" t="str">
        <f>IF(B87="","","VIS_"&amp;(YEAR(B87)*10000+MONTH(B87)*100+DAY(B87))&amp;"_"&amp;IF(COUNTIF($B$5:B87,B87)&lt;10,"00"&amp;COUNTIF($B$5:B87,B87),IF(COUNTIF($B$5:B87,B87)&lt;100,"0"&amp;COUNTIF($B$5:B87,B87),COUNTIF($B$5:B87,B87))))</f>
        <v>VIS_20260324_001</v>
      </c>
      <c r="B87" s="40">
        <v>46105</v>
      </c>
      <c r="C87" s="47" t="str">
        <f t="shared" si="2"/>
        <v>Вт</v>
      </c>
      <c r="G87" s="8"/>
      <c r="H87" s="38"/>
      <c r="I87" s="45"/>
      <c r="J87" s="39">
        <f t="shared" si="3"/>
        <v>46099</v>
      </c>
      <c r="K87" t="str">
        <f ca="1">IF(AND(B87&gt;='План недели'!$B$4,B87&lt;'План недели'!$D$4,D87&lt;&gt;"",G87&lt;&gt;"Отменён"),COUNTIFS($B$5:B87,"&gt;="&amp;'План недели'!$B$4,$B$5:B87,"&lt;"&amp;'План недели'!$D$4,$D$5:D87,"&lt;&gt;",$G$5:G87,"&lt;&gt;Отменён"),"")</f>
        <v/>
      </c>
    </row>
    <row r="88" spans="1:11" ht="24" customHeight="1">
      <c r="A88" s="5" t="str">
        <f>IF(B88="","","VIS_"&amp;(YEAR(B88)*10000+MONTH(B88)*100+DAY(B88))&amp;"_"&amp;IF(COUNTIF($B$5:B88,B88)&lt;10,"00"&amp;COUNTIF($B$5:B88,B88),IF(COUNTIF($B$5:B88,B88)&lt;100,"0"&amp;COUNTIF($B$5:B88,B88),COUNTIF($B$5:B88,B88))))</f>
        <v>VIS_20260325_001</v>
      </c>
      <c r="B88" s="40">
        <v>46106</v>
      </c>
      <c r="C88" s="47" t="str">
        <f t="shared" si="2"/>
        <v>Ср</v>
      </c>
      <c r="G88" s="8"/>
      <c r="H88" s="38"/>
      <c r="I88" s="45"/>
      <c r="J88" s="39">
        <f t="shared" si="3"/>
        <v>46106</v>
      </c>
      <c r="K88" t="str">
        <f ca="1">IF(AND(B88&gt;='План недели'!$B$4,B88&lt;'План недели'!$D$4,D88&lt;&gt;"",G88&lt;&gt;"Отменён"),COUNTIFS($B$5:B88,"&gt;="&amp;'План недели'!$B$4,$B$5:B88,"&lt;"&amp;'План недели'!$D$4,$D$5:D88,"&lt;&gt;",$G$5:G88,"&lt;&gt;Отменён"),"")</f>
        <v/>
      </c>
    </row>
    <row r="89" spans="1:11" ht="24" customHeight="1">
      <c r="A89" s="5" t="str">
        <f>IF(B89="","","VIS_"&amp;(YEAR(B89)*10000+MONTH(B89)*100+DAY(B89))&amp;"_"&amp;IF(COUNTIF($B$5:B89,B89)&lt;10,"00"&amp;COUNTIF($B$5:B89,B89),IF(COUNTIF($B$5:B89,B89)&lt;100,"0"&amp;COUNTIF($B$5:B89,B89),COUNTIF($B$5:B89,B89))))</f>
        <v>VIS_20260326_001</v>
      </c>
      <c r="B89" s="40">
        <v>46107</v>
      </c>
      <c r="C89" s="47" t="str">
        <f t="shared" si="2"/>
        <v>Чт</v>
      </c>
      <c r="G89" s="8"/>
      <c r="H89" s="38"/>
      <c r="I89" s="45"/>
      <c r="J89" s="39">
        <f t="shared" si="3"/>
        <v>46106</v>
      </c>
      <c r="K89" t="str">
        <f ca="1">IF(AND(B89&gt;='План недели'!$B$4,B89&lt;'План недели'!$D$4,D89&lt;&gt;"",G89&lt;&gt;"Отменён"),COUNTIFS($B$5:B89,"&gt;="&amp;'План недели'!$B$4,$B$5:B89,"&lt;"&amp;'План недели'!$D$4,$D$5:D89,"&lt;&gt;",$G$5:G89,"&lt;&gt;Отменён"),"")</f>
        <v/>
      </c>
    </row>
    <row r="90" spans="1:11" ht="24" customHeight="1">
      <c r="A90" s="5" t="str">
        <f>IF(B90="","","VIS_"&amp;(YEAR(B90)*10000+MONTH(B90)*100+DAY(B90))&amp;"_"&amp;IF(COUNTIF($B$5:B90,B90)&lt;10,"00"&amp;COUNTIF($B$5:B90,B90),IF(COUNTIF($B$5:B90,B90)&lt;100,"0"&amp;COUNTIF($B$5:B90,B90),COUNTIF($B$5:B90,B90))))</f>
        <v>VIS_20260327_001</v>
      </c>
      <c r="B90" s="40">
        <v>46108</v>
      </c>
      <c r="C90" s="47" t="str">
        <f t="shared" si="2"/>
        <v>Пт</v>
      </c>
      <c r="G90" s="8"/>
      <c r="H90" s="38"/>
      <c r="I90" s="45"/>
      <c r="J90" s="39">
        <f t="shared" si="3"/>
        <v>46106</v>
      </c>
      <c r="K90" t="str">
        <f ca="1">IF(AND(B90&gt;='План недели'!$B$4,B90&lt;'План недели'!$D$4,D90&lt;&gt;"",G90&lt;&gt;"Отменён"),COUNTIFS($B$5:B90,"&gt;="&amp;'План недели'!$B$4,$B$5:B90,"&lt;"&amp;'План недели'!$D$4,$D$5:D90,"&lt;&gt;",$G$5:G90,"&lt;&gt;Отменён"),"")</f>
        <v/>
      </c>
    </row>
    <row r="91" spans="1:11" ht="24" customHeight="1">
      <c r="A91" s="5" t="str">
        <f>IF(B91="","","VIS_"&amp;(YEAR(B91)*10000+MONTH(B91)*100+DAY(B91))&amp;"_"&amp;IF(COUNTIF($B$5:B91,B91)&lt;10,"00"&amp;COUNTIF($B$5:B91,B91),IF(COUNTIF($B$5:B91,B91)&lt;100,"0"&amp;COUNTIF($B$5:B91,B91),COUNTIF($B$5:B91,B91))))</f>
        <v>VIS_20260328_001</v>
      </c>
      <c r="B91" s="42">
        <v>46109</v>
      </c>
      <c r="C91" s="49" t="str">
        <f t="shared" si="2"/>
        <v>Сб</v>
      </c>
      <c r="G91" s="8"/>
      <c r="H91" s="38"/>
      <c r="I91" s="45"/>
      <c r="J91" s="39">
        <f t="shared" si="3"/>
        <v>46106</v>
      </c>
      <c r="K91" t="str">
        <f ca="1">IF(AND(B91&gt;='План недели'!$B$4,B91&lt;'План недели'!$D$4,D91&lt;&gt;"",G91&lt;&gt;"Отменён"),COUNTIFS($B$5:B91,"&gt;="&amp;'План недели'!$B$4,$B$5:B91,"&lt;"&amp;'План недели'!$D$4,$D$5:D91,"&lt;&gt;",$G$5:G91,"&lt;&gt;Отменён"),"")</f>
        <v/>
      </c>
    </row>
    <row r="92" spans="1:11" ht="24" customHeight="1">
      <c r="A92" s="5" t="str">
        <f>IF(B92="","","VIS_"&amp;(YEAR(B92)*10000+MONTH(B92)*100+DAY(B92))&amp;"_"&amp;IF(COUNTIF($B$5:B92,B92)&lt;10,"00"&amp;COUNTIF($B$5:B92,B92),IF(COUNTIF($B$5:B92,B92)&lt;100,"0"&amp;COUNTIF($B$5:B92,B92),COUNTIF($B$5:B92,B92))))</f>
        <v>VIS_20260329_001</v>
      </c>
      <c r="B92" s="42">
        <v>46110</v>
      </c>
      <c r="C92" s="49" t="str">
        <f t="shared" si="2"/>
        <v>Вс</v>
      </c>
      <c r="G92" s="8"/>
      <c r="H92" s="38"/>
      <c r="I92" s="45"/>
      <c r="J92" s="39">
        <f t="shared" si="3"/>
        <v>46106</v>
      </c>
      <c r="K92" t="str">
        <f ca="1">IF(AND(B92&gt;='План недели'!$B$4,B92&lt;'План недели'!$D$4,D92&lt;&gt;"",G92&lt;&gt;"Отменён"),COUNTIFS($B$5:B92,"&gt;="&amp;'План недели'!$B$4,$B$5:B92,"&lt;"&amp;'План недели'!$D$4,$D$5:D92,"&lt;&gt;",$G$5:G92,"&lt;&gt;Отменён"),"")</f>
        <v/>
      </c>
    </row>
    <row r="93" spans="1:11" ht="24" customHeight="1">
      <c r="A93" s="5" t="str">
        <f>IF(B93="","","VIS_"&amp;(YEAR(B93)*10000+MONTH(B93)*100+DAY(B93))&amp;"_"&amp;IF(COUNTIF($B$5:B93,B93)&lt;10,"00"&amp;COUNTIF($B$5:B93,B93),IF(COUNTIF($B$5:B93,B93)&lt;100,"0"&amp;COUNTIF($B$5:B93,B93),COUNTIF($B$5:B93,B93))))</f>
        <v>VIS_20260330_001</v>
      </c>
      <c r="B93" s="40">
        <v>46111</v>
      </c>
      <c r="C93" s="47" t="str">
        <f t="shared" si="2"/>
        <v>Пн</v>
      </c>
      <c r="G93" s="8"/>
      <c r="H93" s="38"/>
      <c r="I93" s="45"/>
      <c r="J93" s="39">
        <f t="shared" si="3"/>
        <v>46106</v>
      </c>
      <c r="K93" t="str">
        <f ca="1">IF(AND(B93&gt;='План недели'!$B$4,B93&lt;'План недели'!$D$4,D93&lt;&gt;"",G93&lt;&gt;"Отменён"),COUNTIFS($B$5:B93,"&gt;="&amp;'План недели'!$B$4,$B$5:B93,"&lt;"&amp;'План недели'!$D$4,$D$5:D93,"&lt;&gt;",$G$5:G93,"&lt;&gt;Отменён"),"")</f>
        <v/>
      </c>
    </row>
    <row r="94" spans="1:11" ht="24" customHeight="1">
      <c r="A94" s="5" t="str">
        <f>IF(B94="","","VIS_"&amp;(YEAR(B94)*10000+MONTH(B94)*100+DAY(B94))&amp;"_"&amp;IF(COUNTIF($B$5:B94,B94)&lt;10,"00"&amp;COUNTIF($B$5:B94,B94),IF(COUNTIF($B$5:B94,B94)&lt;100,"0"&amp;COUNTIF($B$5:B94,B94),COUNTIF($B$5:B94,B94))))</f>
        <v>VIS_20260331_001</v>
      </c>
      <c r="B94" s="40">
        <v>46112</v>
      </c>
      <c r="C94" s="47" t="str">
        <f t="shared" si="2"/>
        <v>Вт</v>
      </c>
      <c r="G94" s="8"/>
      <c r="H94" s="38"/>
      <c r="I94" s="45"/>
      <c r="J94" s="39">
        <f t="shared" si="3"/>
        <v>46106</v>
      </c>
      <c r="K94" t="str">
        <f ca="1">IF(AND(B94&gt;='План недели'!$B$4,B94&lt;'План недели'!$D$4,D94&lt;&gt;"",G94&lt;&gt;"Отменён"),COUNTIFS($B$5:B94,"&gt;="&amp;'План недели'!$B$4,$B$5:B94,"&lt;"&amp;'План недели'!$D$4,$D$5:D94,"&lt;&gt;",$G$5:G94,"&lt;&gt;Отменён"),"")</f>
        <v/>
      </c>
    </row>
    <row r="95" spans="1:11" ht="24" customHeight="1">
      <c r="A95" s="5" t="str">
        <f>IF(B95="","","VIS_"&amp;(YEAR(B95)*10000+MONTH(B95)*100+DAY(B95))&amp;"_"&amp;IF(COUNTIF($B$5:B95,B95)&lt;10,"00"&amp;COUNTIF($B$5:B95,B95),IF(COUNTIF($B$5:B95,B95)&lt;100,"0"&amp;COUNTIF($B$5:B95,B95),COUNTIF($B$5:B95,B95))))</f>
        <v>VIS_20260401_001</v>
      </c>
      <c r="B95" s="40">
        <v>46113</v>
      </c>
      <c r="C95" s="47" t="str">
        <f t="shared" si="2"/>
        <v>Ср</v>
      </c>
      <c r="G95" s="8"/>
      <c r="H95" s="38"/>
      <c r="I95" s="45"/>
      <c r="J95" s="39">
        <f t="shared" si="3"/>
        <v>46113</v>
      </c>
      <c r="K95" t="str">
        <f ca="1">IF(AND(B95&gt;='План недели'!$B$4,B95&lt;'План недели'!$D$4,D95&lt;&gt;"",G95&lt;&gt;"Отменён"),COUNTIFS($B$5:B95,"&gt;="&amp;'План недели'!$B$4,$B$5:B95,"&lt;"&amp;'План недели'!$D$4,$D$5:D95,"&lt;&gt;",$G$5:G95,"&lt;&gt;Отменён"),"")</f>
        <v/>
      </c>
    </row>
    <row r="96" spans="1:11" ht="24" customHeight="1">
      <c r="A96" s="5" t="str">
        <f>IF(B96="","","VIS_"&amp;(YEAR(B96)*10000+MONTH(B96)*100+DAY(B96))&amp;"_"&amp;IF(COUNTIF($B$5:B96,B96)&lt;10,"00"&amp;COUNTIF($B$5:B96,B96),IF(COUNTIF($B$5:B96,B96)&lt;100,"0"&amp;COUNTIF($B$5:B96,B96),COUNTIF($B$5:B96,B96))))</f>
        <v>VIS_20260402_001</v>
      </c>
      <c r="B96" s="40">
        <v>46114</v>
      </c>
      <c r="C96" s="47" t="str">
        <f t="shared" si="2"/>
        <v>Чт</v>
      </c>
      <c r="G96" s="8"/>
      <c r="H96" s="38"/>
      <c r="I96" s="45"/>
      <c r="J96" s="39">
        <f t="shared" si="3"/>
        <v>46113</v>
      </c>
      <c r="K96" t="str">
        <f ca="1">IF(AND(B96&gt;='План недели'!$B$4,B96&lt;'План недели'!$D$4,D96&lt;&gt;"",G96&lt;&gt;"Отменён"),COUNTIFS($B$5:B96,"&gt;="&amp;'План недели'!$B$4,$B$5:B96,"&lt;"&amp;'План недели'!$D$4,$D$5:D96,"&lt;&gt;",$G$5:G96,"&lt;&gt;Отменён"),"")</f>
        <v/>
      </c>
    </row>
    <row r="97" spans="1:11" ht="24" customHeight="1">
      <c r="A97" s="5" t="str">
        <f>IF(B97="","","VIS_"&amp;(YEAR(B97)*10000+MONTH(B97)*100+DAY(B97))&amp;"_"&amp;IF(COUNTIF($B$5:B97,B97)&lt;10,"00"&amp;COUNTIF($B$5:B97,B97),IF(COUNTIF($B$5:B97,B97)&lt;100,"0"&amp;COUNTIF($B$5:B97,B97),COUNTIF($B$5:B97,B97))))</f>
        <v>VIS_20260403_001</v>
      </c>
      <c r="B97" s="40">
        <v>46115</v>
      </c>
      <c r="C97" s="47" t="str">
        <f t="shared" si="2"/>
        <v>Пт</v>
      </c>
      <c r="G97" s="8"/>
      <c r="H97" s="38"/>
      <c r="I97" s="45"/>
      <c r="J97" s="39">
        <f t="shared" si="3"/>
        <v>46113</v>
      </c>
      <c r="K97" t="str">
        <f ca="1">IF(AND(B97&gt;='План недели'!$B$4,B97&lt;'План недели'!$D$4,D97&lt;&gt;"",G97&lt;&gt;"Отменён"),COUNTIFS($B$5:B97,"&gt;="&amp;'План недели'!$B$4,$B$5:B97,"&lt;"&amp;'План недели'!$D$4,$D$5:D97,"&lt;&gt;",$G$5:G97,"&lt;&gt;Отменён"),"")</f>
        <v/>
      </c>
    </row>
    <row r="98" spans="1:11" ht="24" customHeight="1">
      <c r="A98" s="5" t="str">
        <f>IF(B98="","","VIS_"&amp;(YEAR(B98)*10000+MONTH(B98)*100+DAY(B98))&amp;"_"&amp;IF(COUNTIF($B$5:B98,B98)&lt;10,"00"&amp;COUNTIF($B$5:B98,B98),IF(COUNTIF($B$5:B98,B98)&lt;100,"0"&amp;COUNTIF($B$5:B98,B98),COUNTIF($B$5:B98,B98))))</f>
        <v>VIS_20260404_001</v>
      </c>
      <c r="B98" s="42">
        <v>46116</v>
      </c>
      <c r="C98" s="49" t="str">
        <f t="shared" si="2"/>
        <v>Сб</v>
      </c>
      <c r="G98" s="8"/>
      <c r="H98" s="38"/>
      <c r="I98" s="45"/>
      <c r="J98" s="39">
        <f t="shared" si="3"/>
        <v>46113</v>
      </c>
      <c r="K98" t="str">
        <f ca="1">IF(AND(B98&gt;='План недели'!$B$4,B98&lt;'План недели'!$D$4,D98&lt;&gt;"",G98&lt;&gt;"Отменён"),COUNTIFS($B$5:B98,"&gt;="&amp;'План недели'!$B$4,$B$5:B98,"&lt;"&amp;'План недели'!$D$4,$D$5:D98,"&lt;&gt;",$G$5:G98,"&lt;&gt;Отменён"),"")</f>
        <v/>
      </c>
    </row>
    <row r="99" spans="1:11" ht="24" customHeight="1">
      <c r="A99" s="5" t="str">
        <f>IF(B99="","","VIS_"&amp;(YEAR(B99)*10000+MONTH(B99)*100+DAY(B99))&amp;"_"&amp;IF(COUNTIF($B$5:B99,B99)&lt;10,"00"&amp;COUNTIF($B$5:B99,B99),IF(COUNTIF($B$5:B99,B99)&lt;100,"0"&amp;COUNTIF($B$5:B99,B99),COUNTIF($B$5:B99,B99))))</f>
        <v>VIS_20260405_001</v>
      </c>
      <c r="B99" s="42">
        <v>46117</v>
      </c>
      <c r="C99" s="49" t="str">
        <f t="shared" si="2"/>
        <v>Вс</v>
      </c>
      <c r="G99" s="8"/>
      <c r="H99" s="38"/>
      <c r="I99" s="45"/>
      <c r="J99" s="39">
        <f t="shared" si="3"/>
        <v>46113</v>
      </c>
      <c r="K99" t="str">
        <f ca="1">IF(AND(B99&gt;='План недели'!$B$4,B99&lt;'План недели'!$D$4,D99&lt;&gt;"",G99&lt;&gt;"Отменён"),COUNTIFS($B$5:B99,"&gt;="&amp;'План недели'!$B$4,$B$5:B99,"&lt;"&amp;'План недели'!$D$4,$D$5:D99,"&lt;&gt;",$G$5:G99,"&lt;&gt;Отменён"),"")</f>
        <v/>
      </c>
    </row>
    <row r="100" spans="1:11" ht="24" customHeight="1">
      <c r="A100" s="5" t="str">
        <f>IF(B100="","","VIS_"&amp;(YEAR(B100)*10000+MONTH(B100)*100+DAY(B100))&amp;"_"&amp;IF(COUNTIF($B$5:B100,B100)&lt;10,"00"&amp;COUNTIF($B$5:B100,B100),IF(COUNTIF($B$5:B100,B100)&lt;100,"0"&amp;COUNTIF($B$5:B100,B100),COUNTIF($B$5:B100,B100))))</f>
        <v>VIS_20260406_001</v>
      </c>
      <c r="B100" s="40">
        <v>46118</v>
      </c>
      <c r="C100" s="47" t="str">
        <f t="shared" si="2"/>
        <v>Пн</v>
      </c>
      <c r="G100" s="8"/>
      <c r="H100" s="38"/>
      <c r="I100" s="45"/>
      <c r="J100" s="39">
        <f t="shared" si="3"/>
        <v>46113</v>
      </c>
      <c r="K100" t="str">
        <f ca="1">IF(AND(B100&gt;='План недели'!$B$4,B100&lt;'План недели'!$D$4,D100&lt;&gt;"",G100&lt;&gt;"Отменён"),COUNTIFS($B$5:B100,"&gt;="&amp;'План недели'!$B$4,$B$5:B100,"&lt;"&amp;'План недели'!$D$4,$D$5:D100,"&lt;&gt;",$G$5:G100,"&lt;&gt;Отменён"),"")</f>
        <v/>
      </c>
    </row>
    <row r="101" spans="1:11" ht="24" customHeight="1">
      <c r="A101" s="5" t="str">
        <f>IF(B101="","","VIS_"&amp;(YEAR(B101)*10000+MONTH(B101)*100+DAY(B101))&amp;"_"&amp;IF(COUNTIF($B$5:B101,B101)&lt;10,"00"&amp;COUNTIF($B$5:B101,B101),IF(COUNTIF($B$5:B101,B101)&lt;100,"0"&amp;COUNTIF($B$5:B101,B101),COUNTIF($B$5:B101,B101))))</f>
        <v>VIS_20260407_001</v>
      </c>
      <c r="B101" s="40">
        <v>46119</v>
      </c>
      <c r="C101" s="47" t="str">
        <f t="shared" si="2"/>
        <v>Вт</v>
      </c>
      <c r="G101" s="8"/>
      <c r="H101" s="38"/>
      <c r="I101" s="45"/>
      <c r="J101" s="39">
        <f t="shared" si="3"/>
        <v>46113</v>
      </c>
      <c r="K101" t="str">
        <f ca="1">IF(AND(B101&gt;='План недели'!$B$4,B101&lt;'План недели'!$D$4,D101&lt;&gt;"",G101&lt;&gt;"Отменён"),COUNTIFS($B$5:B101,"&gt;="&amp;'План недели'!$B$4,$B$5:B101,"&lt;"&amp;'План недели'!$D$4,$D$5:D101,"&lt;&gt;",$G$5:G101,"&lt;&gt;Отменён"),"")</f>
        <v/>
      </c>
    </row>
    <row r="102" spans="1:11" ht="24" customHeight="1">
      <c r="A102" s="5" t="str">
        <f>IF(B102="","","VIS_"&amp;(YEAR(B102)*10000+MONTH(B102)*100+DAY(B102))&amp;"_"&amp;IF(COUNTIF($B$5:B102,B102)&lt;10,"00"&amp;COUNTIF($B$5:B102,B102),IF(COUNTIF($B$5:B102,B102)&lt;100,"0"&amp;COUNTIF($B$5:B102,B102),COUNTIF($B$5:B102,B102))))</f>
        <v>VIS_20260408_001</v>
      </c>
      <c r="B102" s="40">
        <v>46120</v>
      </c>
      <c r="C102" s="47" t="str">
        <f t="shared" si="2"/>
        <v>Ср</v>
      </c>
      <c r="G102" s="8"/>
      <c r="H102" s="38"/>
      <c r="I102" s="45"/>
      <c r="J102" s="39">
        <f t="shared" si="3"/>
        <v>46120</v>
      </c>
      <c r="K102" t="str">
        <f ca="1">IF(AND(B102&gt;='План недели'!$B$4,B102&lt;'План недели'!$D$4,D102&lt;&gt;"",G102&lt;&gt;"Отменён"),COUNTIFS($B$5:B102,"&gt;="&amp;'План недели'!$B$4,$B$5:B102,"&lt;"&amp;'План недели'!$D$4,$D$5:D102,"&lt;&gt;",$G$5:G102,"&lt;&gt;Отменён"),"")</f>
        <v/>
      </c>
    </row>
    <row r="103" spans="1:11" ht="24" customHeight="1">
      <c r="A103" s="5" t="str">
        <f>IF(B103="","","VIS_"&amp;(YEAR(B103)*10000+MONTH(B103)*100+DAY(B103))&amp;"_"&amp;IF(COUNTIF($B$5:B103,B103)&lt;10,"00"&amp;COUNTIF($B$5:B103,B103),IF(COUNTIF($B$5:B103,B103)&lt;100,"0"&amp;COUNTIF($B$5:B103,B103),COUNTIF($B$5:B103,B103))))</f>
        <v>VIS_20260409_001</v>
      </c>
      <c r="B103" s="40">
        <v>46121</v>
      </c>
      <c r="C103" s="47" t="str">
        <f t="shared" si="2"/>
        <v>Чт</v>
      </c>
      <c r="G103" s="8"/>
      <c r="H103" s="38"/>
      <c r="I103" s="45"/>
      <c r="J103" s="39">
        <f t="shared" si="3"/>
        <v>46120</v>
      </c>
      <c r="K103" t="str">
        <f ca="1">IF(AND(B103&gt;='План недели'!$B$4,B103&lt;'План недели'!$D$4,D103&lt;&gt;"",G103&lt;&gt;"Отменён"),COUNTIFS($B$5:B103,"&gt;="&amp;'План недели'!$B$4,$B$5:B103,"&lt;"&amp;'План недели'!$D$4,$D$5:D103,"&lt;&gt;",$G$5:G103,"&lt;&gt;Отменён"),"")</f>
        <v/>
      </c>
    </row>
    <row r="104" spans="1:11" ht="24" customHeight="1">
      <c r="A104" s="5" t="str">
        <f>IF(B104="","","VIS_"&amp;(YEAR(B104)*10000+MONTH(B104)*100+DAY(B104))&amp;"_"&amp;IF(COUNTIF($B$5:B104,B104)&lt;10,"00"&amp;COUNTIF($B$5:B104,B104),IF(COUNTIF($B$5:B104,B104)&lt;100,"0"&amp;COUNTIF($B$5:B104,B104),COUNTIF($B$5:B104,B104))))</f>
        <v>VIS_20260410_001</v>
      </c>
      <c r="B104" s="40">
        <v>46122</v>
      </c>
      <c r="C104" s="47" t="str">
        <f t="shared" si="2"/>
        <v>Пт</v>
      </c>
      <c r="G104" s="8"/>
      <c r="H104" s="38"/>
      <c r="I104" s="45"/>
      <c r="J104" s="39">
        <f t="shared" si="3"/>
        <v>46120</v>
      </c>
      <c r="K104" t="str">
        <f ca="1">IF(AND(B104&gt;='План недели'!$B$4,B104&lt;'План недели'!$D$4,D104&lt;&gt;"",G104&lt;&gt;"Отменён"),COUNTIFS($B$5:B104,"&gt;="&amp;'План недели'!$B$4,$B$5:B104,"&lt;"&amp;'План недели'!$D$4,$D$5:D104,"&lt;&gt;",$G$5:G104,"&lt;&gt;Отменён"),"")</f>
        <v/>
      </c>
    </row>
    <row r="105" spans="1:11" ht="24" customHeight="1">
      <c r="A105" s="5" t="str">
        <f>IF(B105="","","VIS_"&amp;(YEAR(B105)*10000+MONTH(B105)*100+DAY(B105))&amp;"_"&amp;IF(COUNTIF($B$5:B105,B105)&lt;10,"00"&amp;COUNTIF($B$5:B105,B105),IF(COUNTIF($B$5:B105,B105)&lt;100,"0"&amp;COUNTIF($B$5:B105,B105),COUNTIF($B$5:B105,B105))))</f>
        <v>VIS_20260411_001</v>
      </c>
      <c r="B105" s="42">
        <v>46123</v>
      </c>
      <c r="C105" s="49" t="str">
        <f t="shared" si="2"/>
        <v>Сб</v>
      </c>
      <c r="G105" s="8"/>
      <c r="H105" s="38"/>
      <c r="I105" s="45"/>
      <c r="J105" s="39">
        <f t="shared" si="3"/>
        <v>46120</v>
      </c>
      <c r="K105" t="str">
        <f ca="1">IF(AND(B105&gt;='План недели'!$B$4,B105&lt;'План недели'!$D$4,D105&lt;&gt;"",G105&lt;&gt;"Отменён"),COUNTIFS($B$5:B105,"&gt;="&amp;'План недели'!$B$4,$B$5:B105,"&lt;"&amp;'План недели'!$D$4,$D$5:D105,"&lt;&gt;",$G$5:G105,"&lt;&gt;Отменён"),"")</f>
        <v/>
      </c>
    </row>
    <row r="106" spans="1:11" ht="24" customHeight="1">
      <c r="A106" s="5" t="str">
        <f>IF(B106="","","VIS_"&amp;(YEAR(B106)*10000+MONTH(B106)*100+DAY(B106))&amp;"_"&amp;IF(COUNTIF($B$5:B106,B106)&lt;10,"00"&amp;COUNTIF($B$5:B106,B106),IF(COUNTIF($B$5:B106,B106)&lt;100,"0"&amp;COUNTIF($B$5:B106,B106),COUNTIF($B$5:B106,B106))))</f>
        <v>VIS_20260412_001</v>
      </c>
      <c r="B106" s="42">
        <v>46124</v>
      </c>
      <c r="C106" s="49" t="str">
        <f t="shared" si="2"/>
        <v>Вс</v>
      </c>
      <c r="G106" s="8"/>
      <c r="H106" s="38"/>
      <c r="I106" s="45"/>
      <c r="J106" s="39">
        <f t="shared" si="3"/>
        <v>46120</v>
      </c>
      <c r="K106" t="str">
        <f ca="1">IF(AND(B106&gt;='План недели'!$B$4,B106&lt;'План недели'!$D$4,D106&lt;&gt;"",G106&lt;&gt;"Отменён"),COUNTIFS($B$5:B106,"&gt;="&amp;'План недели'!$B$4,$B$5:B106,"&lt;"&amp;'План недели'!$D$4,$D$5:D106,"&lt;&gt;",$G$5:G106,"&lt;&gt;Отменён"),"")</f>
        <v/>
      </c>
    </row>
    <row r="107" spans="1:11" ht="24" customHeight="1">
      <c r="A107" s="5" t="str">
        <f>IF(B107="","","VIS_"&amp;(YEAR(B107)*10000+MONTH(B107)*100+DAY(B107))&amp;"_"&amp;IF(COUNTIF($B$5:B107,B107)&lt;10,"00"&amp;COUNTIF($B$5:B107,B107),IF(COUNTIF($B$5:B107,B107)&lt;100,"0"&amp;COUNTIF($B$5:B107,B107),COUNTIF($B$5:B107,B107))))</f>
        <v>VIS_20260413_001</v>
      </c>
      <c r="B107" s="40">
        <v>46125</v>
      </c>
      <c r="C107" s="47" t="str">
        <f t="shared" si="2"/>
        <v>Пн</v>
      </c>
      <c r="D107" t="s">
        <v>28</v>
      </c>
      <c r="E107" t="s">
        <v>29</v>
      </c>
      <c r="F107" t="s">
        <v>30</v>
      </c>
      <c r="G107" s="8" t="s">
        <v>31</v>
      </c>
      <c r="H107" s="38"/>
      <c r="I107" s="45">
        <v>557</v>
      </c>
      <c r="J107" s="39">
        <f t="shared" si="3"/>
        <v>46120</v>
      </c>
      <c r="K107" t="str">
        <f ca="1">IF(AND(B107&gt;='План недели'!$B$4,B107&lt;'План недели'!$D$4,D107&lt;&gt;"",G107&lt;&gt;"Отменён"),COUNTIFS($B$5:B107,"&gt;="&amp;'План недели'!$B$4,$B$5:B107,"&lt;"&amp;'План недели'!$D$4,$D$5:D107,"&lt;&gt;",$G$5:G107,"&lt;&gt;Отменён"),"")</f>
        <v/>
      </c>
    </row>
    <row r="108" spans="1:11" ht="24" customHeight="1">
      <c r="A108" s="5" t="str">
        <f>IF(B108="","","VIS_"&amp;(YEAR(B108)*10000+MONTH(B108)*100+DAY(B108))&amp;"_"&amp;IF(COUNTIF($B$5:B108,B108)&lt;10,"00"&amp;COUNTIF($B$5:B108,B108),IF(COUNTIF($B$5:B108,B108)&lt;100,"0"&amp;COUNTIF($B$5:B108,B108),COUNTIF($B$5:B108,B108))))</f>
        <v>VIS_20260414_001</v>
      </c>
      <c r="B108" s="40">
        <v>46126</v>
      </c>
      <c r="C108" s="47" t="str">
        <f t="shared" si="2"/>
        <v>Вт</v>
      </c>
      <c r="D108" t="s">
        <v>32</v>
      </c>
      <c r="E108" t="s">
        <v>29</v>
      </c>
      <c r="F108" t="s">
        <v>30</v>
      </c>
      <c r="G108" s="8" t="s">
        <v>31</v>
      </c>
      <c r="H108" s="38"/>
      <c r="I108" s="45">
        <v>445</v>
      </c>
      <c r="J108" s="39">
        <f t="shared" si="3"/>
        <v>46120</v>
      </c>
      <c r="K108" t="str">
        <f ca="1">IF(AND(B108&gt;='План недели'!$B$4,B108&lt;'План недели'!$D$4,D108&lt;&gt;"",G108&lt;&gt;"Отменён"),COUNTIFS($B$5:B108,"&gt;="&amp;'План недели'!$B$4,$B$5:B108,"&lt;"&amp;'План недели'!$D$4,$D$5:D108,"&lt;&gt;",$G$5:G108,"&lt;&gt;Отменён"),"")</f>
        <v/>
      </c>
    </row>
    <row r="109" spans="1:11" ht="24" customHeight="1">
      <c r="A109" s="5" t="str">
        <f>IF(B109="","","VIS_"&amp;(YEAR(B109)*10000+MONTH(B109)*100+DAY(B109))&amp;"_"&amp;IF(COUNTIF($B$5:B109,B109)&lt;10,"00"&amp;COUNTIF($B$5:B109,B109),IF(COUNTIF($B$5:B109,B109)&lt;100,"0"&amp;COUNTIF($B$5:B109,B109),COUNTIF($B$5:B109,B109))))</f>
        <v>VIS_20260415_001</v>
      </c>
      <c r="B109" s="40">
        <v>46127</v>
      </c>
      <c r="C109" s="47" t="str">
        <f t="shared" si="2"/>
        <v>Ср</v>
      </c>
      <c r="D109" t="s">
        <v>28</v>
      </c>
      <c r="E109" t="s">
        <v>29</v>
      </c>
      <c r="F109" t="s">
        <v>30</v>
      </c>
      <c r="G109" s="8" t="s">
        <v>31</v>
      </c>
      <c r="H109" s="38"/>
      <c r="I109" s="45">
        <v>557</v>
      </c>
      <c r="J109" s="39">
        <f t="shared" si="3"/>
        <v>46127</v>
      </c>
      <c r="K109" t="str">
        <f ca="1">IF(AND(B109&gt;='План недели'!$B$4,B109&lt;'План недели'!$D$4,D109&lt;&gt;"",G109&lt;&gt;"Отменён"),COUNTIFS($B$5:B109,"&gt;="&amp;'План недели'!$B$4,$B$5:B109,"&lt;"&amp;'План недели'!$D$4,$D$5:D109,"&lt;&gt;",$G$5:G109,"&lt;&gt;Отменён"),"")</f>
        <v/>
      </c>
    </row>
    <row r="110" spans="1:11" ht="24" customHeight="1">
      <c r="A110" s="5" t="str">
        <f>IF(B110="","","VIS_"&amp;(YEAR(B110)*10000+MONTH(B110)*100+DAY(B110))&amp;"_"&amp;IF(COUNTIF($B$5:B110,B110)&lt;10,"00"&amp;COUNTIF($B$5:B110,B110),IF(COUNTIF($B$5:B110,B110)&lt;100,"0"&amp;COUNTIF($B$5:B110,B110),COUNTIF($B$5:B110,B110))))</f>
        <v>VIS_20260416_001</v>
      </c>
      <c r="B110" s="40">
        <v>46128</v>
      </c>
      <c r="C110" s="47" t="str">
        <f t="shared" si="2"/>
        <v>Чт</v>
      </c>
      <c r="D110" t="s">
        <v>33</v>
      </c>
      <c r="E110" t="s">
        <v>29</v>
      </c>
      <c r="F110" t="s">
        <v>30</v>
      </c>
      <c r="G110" s="8" t="s">
        <v>31</v>
      </c>
      <c r="H110" s="38"/>
      <c r="I110" s="45">
        <v>355</v>
      </c>
      <c r="J110" s="39">
        <f t="shared" si="3"/>
        <v>46127</v>
      </c>
      <c r="K110" t="str">
        <f ca="1">IF(AND(B110&gt;='План недели'!$B$4,B110&lt;'План недели'!$D$4,D110&lt;&gt;"",G110&lt;&gt;"Отменён"),COUNTIFS($B$5:B110,"&gt;="&amp;'План недели'!$B$4,$B$5:B110,"&lt;"&amp;'План недели'!$D$4,$D$5:D110,"&lt;&gt;",$G$5:G110,"&lt;&gt;Отменён"),"")</f>
        <v/>
      </c>
    </row>
    <row r="111" spans="1:11" ht="24" customHeight="1">
      <c r="A111" s="5" t="str">
        <f>IF(B111="","","VIS_"&amp;(YEAR(B111)*10000+MONTH(B111)*100+DAY(B111))&amp;"_"&amp;IF(COUNTIF($B$5:B111,B111)&lt;10,"00"&amp;COUNTIF($B$5:B111,B111),IF(COUNTIF($B$5:B111,B111)&lt;100,"0"&amp;COUNTIF($B$5:B111,B111),COUNTIF($B$5:B111,B111))))</f>
        <v>VIS_20260417_001</v>
      </c>
      <c r="B111" s="40">
        <v>46129</v>
      </c>
      <c r="C111" s="47" t="str">
        <f t="shared" si="2"/>
        <v>Пт</v>
      </c>
      <c r="D111" t="s">
        <v>28</v>
      </c>
      <c r="E111" t="s">
        <v>29</v>
      </c>
      <c r="F111" t="s">
        <v>30</v>
      </c>
      <c r="G111" s="8" t="s">
        <v>31</v>
      </c>
      <c r="H111" s="38"/>
      <c r="I111" s="45">
        <v>557</v>
      </c>
      <c r="J111" s="39">
        <f t="shared" si="3"/>
        <v>46127</v>
      </c>
      <c r="K111" t="str">
        <f ca="1">IF(AND(B111&gt;='План недели'!$B$4,B111&lt;'План недели'!$D$4,D111&lt;&gt;"",G111&lt;&gt;"Отменён"),COUNTIFS($B$5:B111,"&gt;="&amp;'План недели'!$B$4,$B$5:B111,"&lt;"&amp;'План недели'!$D$4,$D$5:D111,"&lt;&gt;",$G$5:G111,"&lt;&gt;Отменён"),"")</f>
        <v/>
      </c>
    </row>
    <row r="112" spans="1:11" ht="24" customHeight="1">
      <c r="A112" s="5" t="str">
        <f>IF(B112="","","VIS_"&amp;(YEAR(B112)*10000+MONTH(B112)*100+DAY(B112))&amp;"_"&amp;IF(COUNTIF($B$5:B112,B112)&lt;10,"00"&amp;COUNTIF($B$5:B112,B112),IF(COUNTIF($B$5:B112,B112)&lt;100,"0"&amp;COUNTIF($B$5:B112,B112),COUNTIF($B$5:B112,B112))))</f>
        <v>VIS_20260418_001</v>
      </c>
      <c r="B112" s="42">
        <v>46130</v>
      </c>
      <c r="C112" s="49" t="str">
        <f t="shared" si="2"/>
        <v>Сб</v>
      </c>
      <c r="G112" s="8"/>
      <c r="H112" s="38"/>
      <c r="I112" s="45"/>
      <c r="J112" s="39">
        <f t="shared" si="3"/>
        <v>46127</v>
      </c>
      <c r="K112" t="str">
        <f ca="1">IF(AND(B112&gt;='План недели'!$B$4,B112&lt;'План недели'!$D$4,D112&lt;&gt;"",G112&lt;&gt;"Отменён"),COUNTIFS($B$5:B112,"&gt;="&amp;'План недели'!$B$4,$B$5:B112,"&lt;"&amp;'План недели'!$D$4,$D$5:D112,"&lt;&gt;",$G$5:G112,"&lt;&gt;Отменён"),"")</f>
        <v/>
      </c>
    </row>
    <row r="113" spans="1:11" ht="24" customHeight="1">
      <c r="A113" s="5" t="str">
        <f>IF(B113="","","VIS_"&amp;(YEAR(B113)*10000+MONTH(B113)*100+DAY(B113))&amp;"_"&amp;IF(COUNTIF($B$5:B113,B113)&lt;10,"00"&amp;COUNTIF($B$5:B113,B113),IF(COUNTIF($B$5:B113,B113)&lt;100,"0"&amp;COUNTIF($B$5:B113,B113),COUNTIF($B$5:B113,B113))))</f>
        <v>VIS_20260419_001</v>
      </c>
      <c r="B113" s="42">
        <v>46131</v>
      </c>
      <c r="C113" s="49" t="str">
        <f t="shared" si="2"/>
        <v>Вс</v>
      </c>
      <c r="G113" s="8"/>
      <c r="H113" s="38"/>
      <c r="I113" s="45"/>
      <c r="J113" s="39">
        <f t="shared" si="3"/>
        <v>46127</v>
      </c>
      <c r="K113" t="str">
        <f ca="1">IF(AND(B113&gt;='План недели'!$B$4,B113&lt;'План недели'!$D$4,D113&lt;&gt;"",G113&lt;&gt;"Отменён"),COUNTIFS($B$5:B113,"&gt;="&amp;'План недели'!$B$4,$B$5:B113,"&lt;"&amp;'План недели'!$D$4,$D$5:D113,"&lt;&gt;",$G$5:G113,"&lt;&gt;Отменён"),"")</f>
        <v/>
      </c>
    </row>
    <row r="114" spans="1:11" ht="24" customHeight="1">
      <c r="A114" s="5" t="str">
        <f>IF(B114="","","VIS_"&amp;(YEAR(B114)*10000+MONTH(B114)*100+DAY(B114))&amp;"_"&amp;IF(COUNTIF($B$5:B114,B114)&lt;10,"00"&amp;COUNTIF($B$5:B114,B114),IF(COUNTIF($B$5:B114,B114)&lt;100,"0"&amp;COUNTIF($B$5:B114,B114),COUNTIF($B$5:B114,B114))))</f>
        <v>VIS_20260420_001</v>
      </c>
      <c r="B114" s="40">
        <v>46132</v>
      </c>
      <c r="C114" s="47" t="str">
        <f t="shared" si="2"/>
        <v>Пн</v>
      </c>
      <c r="D114" t="s">
        <v>28</v>
      </c>
      <c r="E114" t="s">
        <v>34</v>
      </c>
      <c r="F114" t="s">
        <v>30</v>
      </c>
      <c r="G114" s="8" t="s">
        <v>31</v>
      </c>
      <c r="H114" s="38"/>
      <c r="I114" s="45">
        <v>557</v>
      </c>
      <c r="J114" s="39">
        <f t="shared" si="3"/>
        <v>46127</v>
      </c>
      <c r="K114" t="str">
        <f ca="1">IF(AND(B114&gt;='План недели'!$B$4,B114&lt;'План недели'!$D$4,D114&lt;&gt;"",G114&lt;&gt;"Отменён"),COUNTIFS($B$5:B114,"&gt;="&amp;'План недели'!$B$4,$B$5:B114,"&lt;"&amp;'План недели'!$D$4,$D$5:D114,"&lt;&gt;",$G$5:G114,"&lt;&gt;Отменён"),"")</f>
        <v/>
      </c>
    </row>
    <row r="115" spans="1:11" ht="24" customHeight="1">
      <c r="A115" s="5" t="str">
        <f>IF(B115="","","VIS_"&amp;(YEAR(B115)*10000+MONTH(B115)*100+DAY(B115))&amp;"_"&amp;IF(COUNTIF($B$5:B115,B115)&lt;10,"00"&amp;COUNTIF($B$5:B115,B115),IF(COUNTIF($B$5:B115,B115)&lt;100,"0"&amp;COUNTIF($B$5:B115,B115),COUNTIF($B$5:B115,B115))))</f>
        <v>VIS_20260421_001</v>
      </c>
      <c r="B115" s="40">
        <v>46133</v>
      </c>
      <c r="C115" s="47" t="str">
        <f t="shared" si="2"/>
        <v>Вт</v>
      </c>
      <c r="D115" t="s">
        <v>35</v>
      </c>
      <c r="E115" t="s">
        <v>34</v>
      </c>
      <c r="F115" t="s">
        <v>30</v>
      </c>
      <c r="G115" s="8" t="s">
        <v>31</v>
      </c>
      <c r="H115" s="38"/>
      <c r="I115" s="45">
        <v>200</v>
      </c>
      <c r="J115" s="39">
        <f t="shared" si="3"/>
        <v>46127</v>
      </c>
      <c r="K115" t="str">
        <f ca="1">IF(AND(B115&gt;='План недели'!$B$4,B115&lt;'План недели'!$D$4,D115&lt;&gt;"",G115&lt;&gt;"Отменён"),COUNTIFS($B$5:B115,"&gt;="&amp;'План недели'!$B$4,$B$5:B115,"&lt;"&amp;'План недели'!$D$4,$D$5:D115,"&lt;&gt;",$G$5:G115,"&lt;&gt;Отменён"),"")</f>
        <v/>
      </c>
    </row>
    <row r="116" spans="1:11" ht="24" customHeight="1">
      <c r="A116" s="5" t="str">
        <f>IF(B116="","","VIS_"&amp;(YEAR(B116)*10000+MONTH(B116)*100+DAY(B116))&amp;"_"&amp;IF(COUNTIF($B$5:B116,B116)&lt;10,"00"&amp;COUNTIF($B$5:B116,B116),IF(COUNTIF($B$5:B116,B116)&lt;100,"0"&amp;COUNTIF($B$5:B116,B116),COUNTIF($B$5:B116,B116))))</f>
        <v>VIS_20260422_001</v>
      </c>
      <c r="B116" s="40">
        <v>46134</v>
      </c>
      <c r="C116" s="47" t="str">
        <f t="shared" si="2"/>
        <v>Ср</v>
      </c>
      <c r="D116" t="s">
        <v>28</v>
      </c>
      <c r="E116" t="s">
        <v>34</v>
      </c>
      <c r="F116" t="s">
        <v>30</v>
      </c>
      <c r="G116" s="8" t="s">
        <v>31</v>
      </c>
      <c r="H116" s="38"/>
      <c r="I116" s="45">
        <v>557</v>
      </c>
      <c r="J116" s="39">
        <f t="shared" si="3"/>
        <v>46134</v>
      </c>
      <c r="K116" t="str">
        <f ca="1">IF(AND(B116&gt;='План недели'!$B$4,B116&lt;'План недели'!$D$4,D116&lt;&gt;"",G116&lt;&gt;"Отменён"),COUNTIFS($B$5:B116,"&gt;="&amp;'План недели'!$B$4,$B$5:B116,"&lt;"&amp;'План недели'!$D$4,$D$5:D116,"&lt;&gt;",$G$5:G116,"&lt;&gt;Отменён"),"")</f>
        <v/>
      </c>
    </row>
    <row r="117" spans="1:11" ht="24" customHeight="1">
      <c r="A117" s="5" t="str">
        <f>IF(B117="","","VIS_"&amp;(YEAR(B117)*10000+MONTH(B117)*100+DAY(B117))&amp;"_"&amp;IF(COUNTIF($B$5:B117,B117)&lt;10,"00"&amp;COUNTIF($B$5:B117,B117),IF(COUNTIF($B$5:B117,B117)&lt;100,"0"&amp;COUNTIF($B$5:B117,B117),COUNTIF($B$5:B117,B117))))</f>
        <v>VIS_20260423_001</v>
      </c>
      <c r="B117" s="40">
        <v>46135</v>
      </c>
      <c r="C117" s="47" t="str">
        <f t="shared" si="2"/>
        <v>Чт</v>
      </c>
      <c r="D117" t="s">
        <v>36</v>
      </c>
      <c r="E117" t="s">
        <v>34</v>
      </c>
      <c r="F117" t="s">
        <v>30</v>
      </c>
      <c r="G117" s="8" t="s">
        <v>31</v>
      </c>
      <c r="H117" s="38"/>
      <c r="I117" s="45">
        <v>194</v>
      </c>
      <c r="J117" s="39">
        <f t="shared" si="3"/>
        <v>46134</v>
      </c>
      <c r="K117" t="str">
        <f ca="1">IF(AND(B117&gt;='План недели'!$B$4,B117&lt;'План недели'!$D$4,D117&lt;&gt;"",G117&lt;&gt;"Отменён"),COUNTIFS($B$5:B117,"&gt;="&amp;'План недели'!$B$4,$B$5:B117,"&lt;"&amp;'План недели'!$D$4,$D$5:D117,"&lt;&gt;",$G$5:G117,"&lt;&gt;Отменён"),"")</f>
        <v/>
      </c>
    </row>
    <row r="118" spans="1:11" ht="24" customHeight="1">
      <c r="A118" s="5" t="str">
        <f>IF(B118="","","VIS_"&amp;(YEAR(B118)*10000+MONTH(B118)*100+DAY(B118))&amp;"_"&amp;IF(COUNTIF($B$5:B118,B118)&lt;10,"00"&amp;COUNTIF($B$5:B118,B118),IF(COUNTIF($B$5:B118,B118)&lt;100,"0"&amp;COUNTIF($B$5:B118,B118),COUNTIF($B$5:B118,B118))))</f>
        <v>VIS_20260424_001</v>
      </c>
      <c r="B118" s="40">
        <v>46136</v>
      </c>
      <c r="C118" s="47" t="str">
        <f t="shared" si="2"/>
        <v>Пт</v>
      </c>
      <c r="D118" t="s">
        <v>28</v>
      </c>
      <c r="E118" t="s">
        <v>34</v>
      </c>
      <c r="F118" t="s">
        <v>30</v>
      </c>
      <c r="G118" s="8" t="s">
        <v>31</v>
      </c>
      <c r="H118" s="38"/>
      <c r="I118" s="45">
        <v>557</v>
      </c>
      <c r="J118" s="39">
        <f t="shared" si="3"/>
        <v>46134</v>
      </c>
      <c r="K118" t="str">
        <f ca="1">IF(AND(B118&gt;='План недели'!$B$4,B118&lt;'План недели'!$D$4,D118&lt;&gt;"",G118&lt;&gt;"Отменён"),COUNTIFS($B$5:B118,"&gt;="&amp;'План недели'!$B$4,$B$5:B118,"&lt;"&amp;'План недели'!$D$4,$D$5:D118,"&lt;&gt;",$G$5:G118,"&lt;&gt;Отменён"),"")</f>
        <v/>
      </c>
    </row>
    <row r="119" spans="1:11" ht="24" customHeight="1">
      <c r="A119" s="5" t="str">
        <f>IF(B119="","","VIS_"&amp;(YEAR(B119)*10000+MONTH(B119)*100+DAY(B119))&amp;"_"&amp;IF(COUNTIF($B$5:B119,B119)&lt;10,"00"&amp;COUNTIF($B$5:B119,B119),IF(COUNTIF($B$5:B119,B119)&lt;100,"0"&amp;COUNTIF($B$5:B119,B119),COUNTIF($B$5:B119,B119))))</f>
        <v>VIS_20260425_001</v>
      </c>
      <c r="B119" s="42">
        <v>46137</v>
      </c>
      <c r="C119" s="49" t="str">
        <f t="shared" si="2"/>
        <v>Сб</v>
      </c>
      <c r="G119" s="8"/>
      <c r="H119" s="38"/>
      <c r="I119" s="45"/>
      <c r="J119" s="39">
        <f t="shared" si="3"/>
        <v>46134</v>
      </c>
      <c r="K119" t="str">
        <f ca="1">IF(AND(B119&gt;='План недели'!$B$4,B119&lt;'План недели'!$D$4,D119&lt;&gt;"",G119&lt;&gt;"Отменён"),COUNTIFS($B$5:B119,"&gt;="&amp;'План недели'!$B$4,$B$5:B119,"&lt;"&amp;'План недели'!$D$4,$D$5:D119,"&lt;&gt;",$G$5:G119,"&lt;&gt;Отменён"),"")</f>
        <v/>
      </c>
    </row>
    <row r="120" spans="1:11" ht="24" customHeight="1">
      <c r="A120" s="5" t="str">
        <f>IF(B120="","","VIS_"&amp;(YEAR(B120)*10000+MONTH(B120)*100+DAY(B120))&amp;"_"&amp;IF(COUNTIF($B$5:B120,B120)&lt;10,"00"&amp;COUNTIF($B$5:B120,B120),IF(COUNTIF($B$5:B120,B120)&lt;100,"0"&amp;COUNTIF($B$5:B120,B120),COUNTIF($B$5:B120,B120))))</f>
        <v>VIS_20260426_001</v>
      </c>
      <c r="B120" s="42">
        <v>46138</v>
      </c>
      <c r="C120" s="49" t="str">
        <f t="shared" si="2"/>
        <v>Вс</v>
      </c>
      <c r="G120" s="8"/>
      <c r="H120" s="38"/>
      <c r="I120" s="45"/>
      <c r="J120" s="39">
        <f t="shared" si="3"/>
        <v>46134</v>
      </c>
      <c r="K120" t="str">
        <f ca="1">IF(AND(B120&gt;='План недели'!$B$4,B120&lt;'План недели'!$D$4,D120&lt;&gt;"",G120&lt;&gt;"Отменён"),COUNTIFS($B$5:B120,"&gt;="&amp;'План недели'!$B$4,$B$5:B120,"&lt;"&amp;'План недели'!$D$4,$D$5:D120,"&lt;&gt;",$G$5:G120,"&lt;&gt;Отменён"),"")</f>
        <v/>
      </c>
    </row>
    <row r="121" spans="1:11" ht="24" customHeight="1">
      <c r="A121" s="5" t="str">
        <f>IF(B121="","","VIS_"&amp;(YEAR(B121)*10000+MONTH(B121)*100+DAY(B121))&amp;"_"&amp;IF(COUNTIF($B$5:B121,B121)&lt;10,"00"&amp;COUNTIF($B$5:B121,B121),IF(COUNTIF($B$5:B121,B121)&lt;100,"0"&amp;COUNTIF($B$5:B121,B121),COUNTIF($B$5:B121,B121))))</f>
        <v>VIS_20260427_001</v>
      </c>
      <c r="B121" s="40">
        <v>46139</v>
      </c>
      <c r="C121" s="47" t="str">
        <f t="shared" si="2"/>
        <v>Пн</v>
      </c>
      <c r="D121" t="s">
        <v>28</v>
      </c>
      <c r="E121" t="s">
        <v>34</v>
      </c>
      <c r="F121" t="s">
        <v>30</v>
      </c>
      <c r="G121" s="8" t="s">
        <v>31</v>
      </c>
      <c r="H121" s="38"/>
      <c r="I121" s="45">
        <v>557</v>
      </c>
      <c r="J121" s="39">
        <f t="shared" si="3"/>
        <v>46134</v>
      </c>
      <c r="K121" t="str">
        <f ca="1">IF(AND(B121&gt;='План недели'!$B$4,B121&lt;'План недели'!$D$4,D121&lt;&gt;"",G121&lt;&gt;"Отменён"),COUNTIFS($B$5:B121,"&gt;="&amp;'План недели'!$B$4,$B$5:B121,"&lt;"&amp;'План недели'!$D$4,$D$5:D121,"&lt;&gt;",$G$5:G121,"&lt;&gt;Отменён"),"")</f>
        <v/>
      </c>
    </row>
    <row r="122" spans="1:11" ht="24" customHeight="1">
      <c r="A122" s="5" t="str">
        <f>IF(B122="","","VIS_"&amp;(YEAR(B122)*10000+MONTH(B122)*100+DAY(B122))&amp;"_"&amp;IF(COUNTIF($B$5:B122,B122)&lt;10,"00"&amp;COUNTIF($B$5:B122,B122),IF(COUNTIF($B$5:B122,B122)&lt;100,"0"&amp;COUNTIF($B$5:B122,B122),COUNTIF($B$5:B122,B122))))</f>
        <v>VIS_20260428_001</v>
      </c>
      <c r="B122" s="40">
        <v>46140</v>
      </c>
      <c r="C122" s="47" t="str">
        <f t="shared" si="2"/>
        <v>Вт</v>
      </c>
      <c r="D122" t="s">
        <v>37</v>
      </c>
      <c r="E122" t="s">
        <v>34</v>
      </c>
      <c r="F122" t="s">
        <v>30</v>
      </c>
      <c r="G122" s="8" t="s">
        <v>31</v>
      </c>
      <c r="H122" s="38"/>
      <c r="I122" s="45">
        <v>366</v>
      </c>
      <c r="J122" s="39">
        <f t="shared" si="3"/>
        <v>46134</v>
      </c>
      <c r="K122" t="str">
        <f ca="1">IF(AND(B122&gt;='План недели'!$B$4,B122&lt;'План недели'!$D$4,D122&lt;&gt;"",G122&lt;&gt;"Отменён"),COUNTIFS($B$5:B122,"&gt;="&amp;'План недели'!$B$4,$B$5:B122,"&lt;"&amp;'План недели'!$D$4,$D$5:D122,"&lt;&gt;",$G$5:G122,"&lt;&gt;Отменён"),"")</f>
        <v/>
      </c>
    </row>
    <row r="123" spans="1:11" ht="24" customHeight="1">
      <c r="A123" s="5" t="str">
        <f>IF(B123="","","VIS_"&amp;(YEAR(B123)*10000+MONTH(B123)*100+DAY(B123))&amp;"_"&amp;IF(COUNTIF($B$5:B123,B123)&lt;10,"00"&amp;COUNTIF($B$5:B123,B123),IF(COUNTIF($B$5:B123,B123)&lt;100,"0"&amp;COUNTIF($B$5:B123,B123),COUNTIF($B$5:B123,B123))))</f>
        <v>VIS_20260428_002</v>
      </c>
      <c r="B123" s="40">
        <v>46140</v>
      </c>
      <c r="C123" s="47" t="str">
        <f t="shared" si="2"/>
        <v>Вт</v>
      </c>
      <c r="D123" t="s">
        <v>38</v>
      </c>
      <c r="E123" t="s">
        <v>34</v>
      </c>
      <c r="F123" t="s">
        <v>30</v>
      </c>
      <c r="G123" s="8" t="s">
        <v>31</v>
      </c>
      <c r="H123" s="38"/>
      <c r="I123" s="45">
        <v>15</v>
      </c>
      <c r="J123" s="39">
        <f t="shared" si="3"/>
        <v>46134</v>
      </c>
      <c r="K123" t="str">
        <f ca="1">IF(AND(B123&gt;='План недели'!$B$4,B123&lt;'План недели'!$D$4,D123&lt;&gt;"",G123&lt;&gt;"Отменён"),COUNTIFS($B$5:B123,"&gt;="&amp;'План недели'!$B$4,$B$5:B123,"&lt;"&amp;'План недели'!$D$4,$D$5:D123,"&lt;&gt;",$G$5:G123,"&lt;&gt;Отменён"),"")</f>
        <v/>
      </c>
    </row>
    <row r="124" spans="1:11" ht="24" customHeight="1">
      <c r="A124" s="5" t="str">
        <f>IF(B124="","","VIS_"&amp;(YEAR(B124)*10000+MONTH(B124)*100+DAY(B124))&amp;"_"&amp;IF(COUNTIF($B$5:B124,B124)&lt;10,"00"&amp;COUNTIF($B$5:B124,B124),IF(COUNTIF($B$5:B124,B124)&lt;100,"0"&amp;COUNTIF($B$5:B124,B124),COUNTIF($B$5:B124,B124))))</f>
        <v>VIS_20260429_001</v>
      </c>
      <c r="B124" s="40">
        <v>46141</v>
      </c>
      <c r="C124" s="47" t="str">
        <f t="shared" si="2"/>
        <v>Ср</v>
      </c>
      <c r="D124" t="s">
        <v>28</v>
      </c>
      <c r="E124" t="s">
        <v>34</v>
      </c>
      <c r="F124" t="s">
        <v>30</v>
      </c>
      <c r="G124" s="8" t="s">
        <v>31</v>
      </c>
      <c r="H124" s="38"/>
      <c r="I124" s="45">
        <v>557</v>
      </c>
      <c r="J124" s="39">
        <f t="shared" si="3"/>
        <v>46141</v>
      </c>
      <c r="K124" t="str">
        <f ca="1">IF(AND(B124&gt;='План недели'!$B$4,B124&lt;'План недели'!$D$4,D124&lt;&gt;"",G124&lt;&gt;"Отменён"),COUNTIFS($B$5:B124,"&gt;="&amp;'План недели'!$B$4,$B$5:B124,"&lt;"&amp;'План недели'!$D$4,$D$5:D124,"&lt;&gt;",$G$5:G124,"&lt;&gt;Отменён"),"")</f>
        <v/>
      </c>
    </row>
    <row r="125" spans="1:11" ht="24" customHeight="1">
      <c r="A125" s="5" t="str">
        <f>IF(B125="","","VIS_"&amp;(YEAR(B125)*10000+MONTH(B125)*100+DAY(B125))&amp;"_"&amp;IF(COUNTIF($B$5:B125,B125)&lt;10,"00"&amp;COUNTIF($B$5:B125,B125),IF(COUNTIF($B$5:B125,B125)&lt;100,"0"&amp;COUNTIF($B$5:B125,B125),COUNTIF($B$5:B125,B125))))</f>
        <v>VIS_20260430_001</v>
      </c>
      <c r="B125" s="40">
        <v>46142</v>
      </c>
      <c r="C125" s="47" t="str">
        <f t="shared" si="2"/>
        <v>Чт</v>
      </c>
      <c r="D125" t="s">
        <v>38</v>
      </c>
      <c r="E125" t="s">
        <v>34</v>
      </c>
      <c r="F125" t="s">
        <v>30</v>
      </c>
      <c r="G125" s="8" t="s">
        <v>31</v>
      </c>
      <c r="H125" s="38" t="s">
        <v>39</v>
      </c>
      <c r="I125" s="45">
        <v>15</v>
      </c>
      <c r="J125" s="39">
        <f t="shared" si="3"/>
        <v>46141</v>
      </c>
      <c r="K125" t="str">
        <f ca="1">IF(AND(B125&gt;='План недели'!$B$4,B125&lt;'План недели'!$D$4,D125&lt;&gt;"",G125&lt;&gt;"Отменён"),COUNTIFS($B$5:B125,"&gt;="&amp;'План недели'!$B$4,$B$5:B125,"&lt;"&amp;'План недели'!$D$4,$D$5:D125,"&lt;&gt;",$G$5:G125,"&lt;&gt;Отменён"),"")</f>
        <v/>
      </c>
    </row>
    <row r="126" spans="1:11" ht="24" customHeight="1">
      <c r="A126" s="5" t="str">
        <f>IF(B126="","","VIS_"&amp;(YEAR(B126)*10000+MONTH(B126)*100+DAY(B126))&amp;"_"&amp;IF(COUNTIF($B$5:B126,B126)&lt;10,"00"&amp;COUNTIF($B$5:B126,B126),IF(COUNTIF($B$5:B126,B126)&lt;100,"0"&amp;COUNTIF($B$5:B126,B126),COUNTIF($B$5:B126,B126))))</f>
        <v>VIS_20260430_002</v>
      </c>
      <c r="B126" s="40">
        <v>46142</v>
      </c>
      <c r="C126" s="47" t="str">
        <f t="shared" si="2"/>
        <v>Чт</v>
      </c>
      <c r="D126" t="s">
        <v>40</v>
      </c>
      <c r="E126" t="s">
        <v>34</v>
      </c>
      <c r="F126" t="s">
        <v>30</v>
      </c>
      <c r="G126" s="8" t="s">
        <v>31</v>
      </c>
      <c r="H126" s="38" t="s">
        <v>39</v>
      </c>
      <c r="I126" s="45">
        <v>24</v>
      </c>
      <c r="J126" s="39">
        <f t="shared" si="3"/>
        <v>46141</v>
      </c>
      <c r="K126" t="str">
        <f ca="1">IF(AND(B126&gt;='План недели'!$B$4,B126&lt;'План недели'!$D$4,D126&lt;&gt;"",G126&lt;&gt;"Отменён"),COUNTIFS($B$5:B126,"&gt;="&amp;'План недели'!$B$4,$B$5:B126,"&lt;"&amp;'План недели'!$D$4,$D$5:D126,"&lt;&gt;",$G$5:G126,"&lt;&gt;Отменён"),"")</f>
        <v/>
      </c>
    </row>
    <row r="127" spans="1:11" ht="24" customHeight="1">
      <c r="A127" s="5" t="str">
        <f>IF(B127="","","VIS_"&amp;(YEAR(B127)*10000+MONTH(B127)*100+DAY(B127))&amp;"_"&amp;IF(COUNTIF($B$5:B127,B127)&lt;10,"00"&amp;COUNTIF($B$5:B127,B127),IF(COUNTIF($B$5:B127,B127)&lt;100,"0"&amp;COUNTIF($B$5:B127,B127),COUNTIF($B$5:B127,B127))))</f>
        <v>VIS_20260430_003</v>
      </c>
      <c r="B127" s="40">
        <v>46142</v>
      </c>
      <c r="C127" s="47" t="str">
        <f t="shared" si="2"/>
        <v>Чт</v>
      </c>
      <c r="D127" t="s">
        <v>41</v>
      </c>
      <c r="E127" t="s">
        <v>34</v>
      </c>
      <c r="F127" t="s">
        <v>30</v>
      </c>
      <c r="G127" s="8" t="s">
        <v>31</v>
      </c>
      <c r="H127" s="38" t="s">
        <v>39</v>
      </c>
      <c r="I127" s="45">
        <v>22</v>
      </c>
      <c r="J127" s="39">
        <f t="shared" si="3"/>
        <v>46141</v>
      </c>
      <c r="K127" t="str">
        <f ca="1">IF(AND(B127&gt;='План недели'!$B$4,B127&lt;'План недели'!$D$4,D127&lt;&gt;"",G127&lt;&gt;"Отменён"),COUNTIFS($B$5:B127,"&gt;="&amp;'План недели'!$B$4,$B$5:B127,"&lt;"&amp;'План недели'!$D$4,$D$5:D127,"&lt;&gt;",$G$5:G127,"&lt;&gt;Отменён"),"")</f>
        <v/>
      </c>
    </row>
    <row r="128" spans="1:11" ht="24" customHeight="1">
      <c r="A128" s="5" t="str">
        <f>IF(B128="","","VIS_"&amp;(YEAR(B128)*10000+MONTH(B128)*100+DAY(B128))&amp;"_"&amp;IF(COUNTIF($B$5:B128,B128)&lt;10,"00"&amp;COUNTIF($B$5:B128,B128),IF(COUNTIF($B$5:B128,B128)&lt;100,"0"&amp;COUNTIF($B$5:B128,B128),COUNTIF($B$5:B128,B128))))</f>
        <v>VIS_20260430_004</v>
      </c>
      <c r="B128" s="41">
        <v>46142</v>
      </c>
      <c r="C128" s="48" t="str">
        <f t="shared" si="2"/>
        <v>Чт</v>
      </c>
      <c r="D128" s="2" t="s">
        <v>42</v>
      </c>
      <c r="E128" s="2" t="s">
        <v>34</v>
      </c>
      <c r="F128" s="2" t="s">
        <v>30</v>
      </c>
      <c r="G128" s="9" t="s">
        <v>31</v>
      </c>
      <c r="H128" s="38" t="s">
        <v>39</v>
      </c>
      <c r="I128" s="45">
        <v>16</v>
      </c>
      <c r="J128" s="39">
        <f t="shared" si="3"/>
        <v>46141</v>
      </c>
      <c r="K128" t="str">
        <f ca="1">IF(AND(B128&gt;='План недели'!$B$4,B128&lt;'План недели'!$D$4,D128&lt;&gt;"",G128&lt;&gt;"Отменён"),COUNTIFS($B$5:B128,"&gt;="&amp;'План недели'!$B$4,$B$5:B128,"&lt;"&amp;'План недели'!$D$4,$D$5:D128,"&lt;&gt;",$G$5:G128,"&lt;&gt;Отменён"),"")</f>
        <v/>
      </c>
    </row>
    <row r="129" spans="1:11">
      <c r="A129" t="str">
        <f>IF(B129="","","VIS_"&amp;(YEAR(B129)*10000+MONTH(B129)*100+DAY(B129))&amp;"_"&amp;IF(COUNTIF($B$5:B129,B129)&lt;10,"00"&amp;COUNTIF($B$5:B129,B129),IF(COUNTIF($B$5:B129,B129)&lt;100,"0"&amp;COUNTIF($B$5:B129,B129),COUNTIF($B$5:B129,B129))))</f>
        <v>VIS_20260430_005</v>
      </c>
      <c r="B129" s="40">
        <v>46142</v>
      </c>
      <c r="C129" s="47" t="str">
        <f t="shared" si="2"/>
        <v>Чт</v>
      </c>
      <c r="D129" t="s">
        <v>43</v>
      </c>
      <c r="E129" t="s">
        <v>34</v>
      </c>
      <c r="F129" t="s">
        <v>30</v>
      </c>
      <c r="G129" t="s">
        <v>31</v>
      </c>
      <c r="H129" t="s">
        <v>39</v>
      </c>
      <c r="I129" s="46">
        <v>24</v>
      </c>
      <c r="J129" s="39">
        <f t="shared" si="3"/>
        <v>46141</v>
      </c>
      <c r="K129" t="str">
        <f ca="1">IF(AND(B129&gt;='План недели'!$B$4,B129&lt;'План недели'!$D$4,D129&lt;&gt;"",G129&lt;&gt;"Отменён"),COUNTIFS($B$5:B129,"&gt;="&amp;'План недели'!$B$4,$B$5:B129,"&lt;"&amp;'План недели'!$D$4,$D$5:D129,"&lt;&gt;",$G$5:G129,"&lt;&gt;Отменён"),"")</f>
        <v/>
      </c>
    </row>
    <row r="130" spans="1:11">
      <c r="A130" t="str">
        <f>IF(B130="","","VIS_"&amp;(YEAR(B130)*10000+MONTH(B130)*100+DAY(B130))&amp;"_"&amp;IF(COUNTIF($B$5:B130,B130)&lt;10,"00"&amp;COUNTIF($B$5:B130,B130),IF(COUNTIF($B$5:B130,B130)&lt;100,"0"&amp;COUNTIF($B$5:B130,B130),COUNTIF($B$5:B130,B130))))</f>
        <v>VIS_20260430_006</v>
      </c>
      <c r="B130" s="40">
        <v>46142</v>
      </c>
      <c r="C130" s="47" t="str">
        <f t="shared" si="2"/>
        <v>Чт</v>
      </c>
      <c r="D130" t="s">
        <v>44</v>
      </c>
      <c r="E130" t="s">
        <v>34</v>
      </c>
      <c r="F130" t="s">
        <v>30</v>
      </c>
      <c r="G130" t="s">
        <v>31</v>
      </c>
      <c r="H130" t="s">
        <v>39</v>
      </c>
      <c r="I130" s="46">
        <v>19</v>
      </c>
      <c r="J130" s="39">
        <f t="shared" si="3"/>
        <v>46141</v>
      </c>
      <c r="K130" t="str">
        <f ca="1">IF(AND(B130&gt;='План недели'!$B$4,B130&lt;'План недели'!$D$4,D130&lt;&gt;"",G130&lt;&gt;"Отменён"),COUNTIFS($B$5:B130,"&gt;="&amp;'План недели'!$B$4,$B$5:B130,"&lt;"&amp;'План недели'!$D$4,$D$5:D130,"&lt;&gt;",$G$5:G130,"&lt;&gt;Отменён"),"")</f>
        <v/>
      </c>
    </row>
    <row r="131" spans="1:11">
      <c r="A131" t="str">
        <f>IF(B131="","","VIS_"&amp;(YEAR(B131)*10000+MONTH(B131)*100+DAY(B131))&amp;"_"&amp;IF(COUNTIF($B$5:B131,B131)&lt;10,"00"&amp;COUNTIF($B$5:B131,B131),IF(COUNTIF($B$5:B131,B131)&lt;100,"0"&amp;COUNTIF($B$5:B131,B131),COUNTIF($B$5:B131,B131))))</f>
        <v>VIS_20260430_007</v>
      </c>
      <c r="B131" s="40">
        <v>46142</v>
      </c>
      <c r="C131" s="47" t="str">
        <f t="shared" si="2"/>
        <v>Чт</v>
      </c>
      <c r="D131" t="s">
        <v>45</v>
      </c>
      <c r="E131" t="s">
        <v>34</v>
      </c>
      <c r="F131" t="s">
        <v>30</v>
      </c>
      <c r="G131" t="s">
        <v>31</v>
      </c>
      <c r="H131" t="s">
        <v>39</v>
      </c>
      <c r="I131" s="46">
        <v>31</v>
      </c>
      <c r="J131" s="39">
        <f t="shared" si="3"/>
        <v>46141</v>
      </c>
      <c r="K131" t="str">
        <f ca="1">IF(AND(B131&gt;='План недели'!$B$4,B131&lt;'План недели'!$D$4,D131&lt;&gt;"",G131&lt;&gt;"Отменён"),COUNTIFS($B$5:B131,"&gt;="&amp;'План недели'!$B$4,$B$5:B131,"&lt;"&amp;'План недели'!$D$4,$D$5:D131,"&lt;&gt;",$G$5:G131,"&lt;&gt;Отменён"),"")</f>
        <v/>
      </c>
    </row>
    <row r="132" spans="1:11">
      <c r="A132" t="str">
        <f>IF(B132="","","VIS_"&amp;(YEAR(B132)*10000+MONTH(B132)*100+DAY(B132))&amp;"_"&amp;IF(COUNTIF($B$5:B132,B132)&lt;10,"00"&amp;COUNTIF($B$5:B132,B132),IF(COUNTIF($B$5:B132,B132)&lt;100,"0"&amp;COUNTIF($B$5:B132,B132),COUNTIF($B$5:B132,B132))))</f>
        <v>VIS_20260501_001</v>
      </c>
      <c r="B132" s="42">
        <v>46143</v>
      </c>
      <c r="C132" s="49" t="str">
        <f t="shared" si="2"/>
        <v>Пт</v>
      </c>
      <c r="I132" s="46"/>
      <c r="J132" s="39">
        <f t="shared" si="3"/>
        <v>46141</v>
      </c>
      <c r="K132" t="str">
        <f ca="1">IF(AND(B132&gt;='План недели'!$B$4,B132&lt;'План недели'!$D$4,D132&lt;&gt;"",G132&lt;&gt;"Отменён"),COUNTIFS($B$5:B132,"&gt;="&amp;'План недели'!$B$4,$B$5:B132,"&lt;"&amp;'План недели'!$D$4,$D$5:D132,"&lt;&gt;",$G$5:G132,"&lt;&gt;Отменён"),"")</f>
        <v/>
      </c>
    </row>
    <row r="133" spans="1:11">
      <c r="A133" t="str">
        <f>IF(B133="","","VIS_"&amp;(YEAR(B133)*10000+MONTH(B133)*100+DAY(B133))&amp;"_"&amp;IF(COUNTIF($B$5:B133,B133)&lt;10,"00"&amp;COUNTIF($B$5:B133,B133),IF(COUNTIF($B$5:B133,B133)&lt;100,"0"&amp;COUNTIF($B$5:B133,B133),COUNTIF($B$5:B133,B133))))</f>
        <v>VIS_20260502_001</v>
      </c>
      <c r="B133" s="42">
        <v>46144</v>
      </c>
      <c r="C133" s="49" t="str">
        <f t="shared" ref="C133:C196" si="4">IF(B133="","",CHOOSE(WEEKDAY(B133,2),"Пн","Вт","Ср","Чт","Пт","Сб","Вс"))</f>
        <v>Сб</v>
      </c>
      <c r="I133" s="46"/>
      <c r="J133" s="39">
        <f t="shared" ref="J133:J196" si="5">IF(B133="","",B133-MOD(WEEKDAY(B133,2)-3,7))</f>
        <v>46141</v>
      </c>
      <c r="K133" t="str">
        <f ca="1">IF(AND(B133&gt;='План недели'!$B$4,B133&lt;'План недели'!$D$4,D133&lt;&gt;"",G133&lt;&gt;"Отменён"),COUNTIFS($B$5:B133,"&gt;="&amp;'План недели'!$B$4,$B$5:B133,"&lt;"&amp;'План недели'!$D$4,$D$5:D133,"&lt;&gt;",$G$5:G133,"&lt;&gt;Отменён"),"")</f>
        <v/>
      </c>
    </row>
    <row r="134" spans="1:11">
      <c r="A134" t="str">
        <f>IF(B134="","","VIS_"&amp;(YEAR(B134)*10000+MONTH(B134)*100+DAY(B134))&amp;"_"&amp;IF(COUNTIF($B$5:B134,B134)&lt;10,"00"&amp;COUNTIF($B$5:B134,B134),IF(COUNTIF($B$5:B134,B134)&lt;100,"0"&amp;COUNTIF($B$5:B134,B134),COUNTIF($B$5:B134,B134))))</f>
        <v>VIS_20260503_001</v>
      </c>
      <c r="B134" s="42">
        <v>46145</v>
      </c>
      <c r="C134" s="49" t="str">
        <f t="shared" si="4"/>
        <v>Вс</v>
      </c>
      <c r="I134" s="46"/>
      <c r="J134" s="39">
        <f t="shared" si="5"/>
        <v>46141</v>
      </c>
      <c r="K134" t="str">
        <f ca="1">IF(AND(B134&gt;='План недели'!$B$4,B134&lt;'План недели'!$D$4,D134&lt;&gt;"",G134&lt;&gt;"Отменён"),COUNTIFS($B$5:B134,"&gt;="&amp;'План недели'!$B$4,$B$5:B134,"&lt;"&amp;'План недели'!$D$4,$D$5:D134,"&lt;&gt;",$G$5:G134,"&lt;&gt;Отменён"),"")</f>
        <v/>
      </c>
    </row>
    <row r="135" spans="1:11">
      <c r="A135" t="str">
        <f>IF(B135="","","VIS_"&amp;(YEAR(B135)*10000+MONTH(B135)*100+DAY(B135))&amp;"_"&amp;IF(COUNTIF($B$5:B135,B135)&lt;10,"00"&amp;COUNTIF($B$5:B135,B135),IF(COUNTIF($B$5:B135,B135)&lt;100,"0"&amp;COUNTIF($B$5:B135,B135),COUNTIF($B$5:B135,B135))))</f>
        <v>VIS_20260504_001</v>
      </c>
      <c r="B135" s="40">
        <v>46146</v>
      </c>
      <c r="C135" s="47" t="str">
        <f t="shared" si="4"/>
        <v>Пн</v>
      </c>
      <c r="D135" t="s">
        <v>28</v>
      </c>
      <c r="E135" t="s">
        <v>29</v>
      </c>
      <c r="F135" t="s">
        <v>30</v>
      </c>
      <c r="G135" t="s">
        <v>31</v>
      </c>
      <c r="I135" s="46">
        <v>557</v>
      </c>
      <c r="J135" s="39">
        <f t="shared" si="5"/>
        <v>46141</v>
      </c>
      <c r="K135" t="str">
        <f ca="1">IF(AND(B135&gt;='План недели'!$B$4,B135&lt;'План недели'!$D$4,D135&lt;&gt;"",G135&lt;&gt;"Отменён"),COUNTIFS($B$5:B135,"&gt;="&amp;'План недели'!$B$4,$B$5:B135,"&lt;"&amp;'План недели'!$D$4,$D$5:D135,"&lt;&gt;",$G$5:G135,"&lt;&gt;Отменён"),"")</f>
        <v/>
      </c>
    </row>
    <row r="136" spans="1:11">
      <c r="A136" t="str">
        <f>IF(B136="","","VIS_"&amp;(YEAR(B136)*10000+MONTH(B136)*100+DAY(B136))&amp;"_"&amp;IF(COUNTIF($B$5:B136,B136)&lt;10,"00"&amp;COUNTIF($B$5:B136,B136),IF(COUNTIF($B$5:B136,B136)&lt;100,"0"&amp;COUNTIF($B$5:B136,B136),COUNTIF($B$5:B136,B136))))</f>
        <v>VIS_20260505_001</v>
      </c>
      <c r="B136" s="40">
        <v>46147</v>
      </c>
      <c r="C136" s="47" t="str">
        <f t="shared" si="4"/>
        <v>Вт</v>
      </c>
      <c r="D136" t="s">
        <v>32</v>
      </c>
      <c r="E136" t="s">
        <v>29</v>
      </c>
      <c r="F136" t="s">
        <v>30</v>
      </c>
      <c r="G136" t="s">
        <v>31</v>
      </c>
      <c r="I136" s="46">
        <v>445</v>
      </c>
      <c r="J136" s="39">
        <f t="shared" si="5"/>
        <v>46141</v>
      </c>
      <c r="K136" t="str">
        <f ca="1">IF(AND(B136&gt;='План недели'!$B$4,B136&lt;'План недели'!$D$4,D136&lt;&gt;"",G136&lt;&gt;"Отменён"),COUNTIFS($B$5:B136,"&gt;="&amp;'План недели'!$B$4,$B$5:B136,"&lt;"&amp;'План недели'!$D$4,$D$5:D136,"&lt;&gt;",$G$5:G136,"&lt;&gt;Отменён"),"")</f>
        <v/>
      </c>
    </row>
    <row r="137" spans="1:11">
      <c r="A137" t="str">
        <f>IF(B137="","","VIS_"&amp;(YEAR(B137)*10000+MONTH(B137)*100+DAY(B137))&amp;"_"&amp;IF(COUNTIF($B$5:B137,B137)&lt;10,"00"&amp;COUNTIF($B$5:B137,B137),IF(COUNTIF($B$5:B137,B137)&lt;100,"0"&amp;COUNTIF($B$5:B137,B137),COUNTIF($B$5:B137,B137))))</f>
        <v>VIS_20260506_001</v>
      </c>
      <c r="B137" s="40">
        <v>46148</v>
      </c>
      <c r="C137" s="47" t="str">
        <f t="shared" si="4"/>
        <v>Ср</v>
      </c>
      <c r="D137" t="s">
        <v>28</v>
      </c>
      <c r="E137" t="s">
        <v>29</v>
      </c>
      <c r="F137" t="s">
        <v>30</v>
      </c>
      <c r="G137" t="s">
        <v>31</v>
      </c>
      <c r="I137" s="46">
        <v>557</v>
      </c>
      <c r="J137" s="39">
        <f t="shared" si="5"/>
        <v>46148</v>
      </c>
      <c r="K137" t="str">
        <f ca="1">IF(AND(B137&gt;='План недели'!$B$4,B137&lt;'План недели'!$D$4,D137&lt;&gt;"",G137&lt;&gt;"Отменён"),COUNTIFS($B$5:B137,"&gt;="&amp;'План недели'!$B$4,$B$5:B137,"&lt;"&amp;'План недели'!$D$4,$D$5:D137,"&lt;&gt;",$G$5:G137,"&lt;&gt;Отменён"),"")</f>
        <v/>
      </c>
    </row>
    <row r="138" spans="1:11">
      <c r="A138" t="str">
        <f>IF(B138="","","VIS_"&amp;(YEAR(B138)*10000+MONTH(B138)*100+DAY(B138))&amp;"_"&amp;IF(COUNTIF($B$5:B138,B138)&lt;10,"00"&amp;COUNTIF($B$5:B138,B138),IF(COUNTIF($B$5:B138,B138)&lt;100,"0"&amp;COUNTIF($B$5:B138,B138),COUNTIF($B$5:B138,B138))))</f>
        <v>VIS_20260507_001</v>
      </c>
      <c r="B138" s="40">
        <v>46149</v>
      </c>
      <c r="C138" s="47" t="str">
        <f t="shared" si="4"/>
        <v>Чт</v>
      </c>
      <c r="D138" t="s">
        <v>33</v>
      </c>
      <c r="E138" t="s">
        <v>29</v>
      </c>
      <c r="F138" t="s">
        <v>30</v>
      </c>
      <c r="G138" t="s">
        <v>31</v>
      </c>
      <c r="I138" s="46">
        <v>355</v>
      </c>
      <c r="J138" s="39">
        <f t="shared" si="5"/>
        <v>46148</v>
      </c>
      <c r="K138" t="str">
        <f ca="1">IF(AND(B138&gt;='План недели'!$B$4,B138&lt;'План недели'!$D$4,D138&lt;&gt;"",G138&lt;&gt;"Отменён"),COUNTIFS($B$5:B138,"&gt;="&amp;'План недели'!$B$4,$B$5:B138,"&lt;"&amp;'План недели'!$D$4,$D$5:D138,"&lt;&gt;",$G$5:G138,"&lt;&gt;Отменён"),"")</f>
        <v/>
      </c>
    </row>
    <row r="139" spans="1:11">
      <c r="A139" t="str">
        <f>IF(B139="","","VIS_"&amp;(YEAR(B139)*10000+MONTH(B139)*100+DAY(B139))&amp;"_"&amp;IF(COUNTIF($B$5:B139,B139)&lt;10,"00"&amp;COUNTIF($B$5:B139,B139),IF(COUNTIF($B$5:B139,B139)&lt;100,"0"&amp;COUNTIF($B$5:B139,B139),COUNTIF($B$5:B139,B139))))</f>
        <v>VIS_20260508_001</v>
      </c>
      <c r="B139" s="40">
        <v>46150</v>
      </c>
      <c r="C139" s="47" t="str">
        <f t="shared" si="4"/>
        <v>Пт</v>
      </c>
      <c r="D139" t="s">
        <v>28</v>
      </c>
      <c r="E139" t="s">
        <v>29</v>
      </c>
      <c r="F139" t="s">
        <v>30</v>
      </c>
      <c r="G139" t="s">
        <v>31</v>
      </c>
      <c r="I139" s="46">
        <v>557</v>
      </c>
      <c r="J139" s="39">
        <f t="shared" si="5"/>
        <v>46148</v>
      </c>
      <c r="K139" t="str">
        <f ca="1">IF(AND(B139&gt;='План недели'!$B$4,B139&lt;'План недели'!$D$4,D139&lt;&gt;"",G139&lt;&gt;"Отменён"),COUNTIFS($B$5:B139,"&gt;="&amp;'План недели'!$B$4,$B$5:B139,"&lt;"&amp;'План недели'!$D$4,$D$5:D139,"&lt;&gt;",$G$5:G139,"&lt;&gt;Отменён"),"")</f>
        <v/>
      </c>
    </row>
    <row r="140" spans="1:11">
      <c r="A140" t="str">
        <f>IF(B140="","","VIS_"&amp;(YEAR(B140)*10000+MONTH(B140)*100+DAY(B140))&amp;"_"&amp;IF(COUNTIF($B$5:B140,B140)&lt;10,"00"&amp;COUNTIF($B$5:B140,B140),IF(COUNTIF($B$5:B140,B140)&lt;100,"0"&amp;COUNTIF($B$5:B140,B140),COUNTIF($B$5:B140,B140))))</f>
        <v>VIS_20260509_001</v>
      </c>
      <c r="B140" s="42">
        <v>46151</v>
      </c>
      <c r="C140" s="49" t="str">
        <f t="shared" si="4"/>
        <v>Сб</v>
      </c>
      <c r="I140" s="46"/>
      <c r="J140" s="39">
        <f t="shared" si="5"/>
        <v>46148</v>
      </c>
      <c r="K140" t="str">
        <f ca="1">IF(AND(B140&gt;='План недели'!$B$4,B140&lt;'План недели'!$D$4,D140&lt;&gt;"",G140&lt;&gt;"Отменён"),COUNTIFS($B$5:B140,"&gt;="&amp;'План недели'!$B$4,$B$5:B140,"&lt;"&amp;'План недели'!$D$4,$D$5:D140,"&lt;&gt;",$G$5:G140,"&lt;&gt;Отменён"),"")</f>
        <v/>
      </c>
    </row>
    <row r="141" spans="1:11">
      <c r="A141" t="str">
        <f>IF(B141="","","VIS_"&amp;(YEAR(B141)*10000+MONTH(B141)*100+DAY(B141))&amp;"_"&amp;IF(COUNTIF($B$5:B141,B141)&lt;10,"00"&amp;COUNTIF($B$5:B141,B141),IF(COUNTIF($B$5:B141,B141)&lt;100,"0"&amp;COUNTIF($B$5:B141,B141),COUNTIF($B$5:B141,B141))))</f>
        <v>VIS_20260510_001</v>
      </c>
      <c r="B141" s="42">
        <v>46152</v>
      </c>
      <c r="C141" s="49" t="str">
        <f t="shared" si="4"/>
        <v>Вс</v>
      </c>
      <c r="I141" s="46"/>
      <c r="J141" s="39">
        <f t="shared" si="5"/>
        <v>46148</v>
      </c>
      <c r="K141" t="str">
        <f ca="1">IF(AND(B141&gt;='План недели'!$B$4,B141&lt;'План недели'!$D$4,D141&lt;&gt;"",G141&lt;&gt;"Отменён"),COUNTIFS($B$5:B141,"&gt;="&amp;'План недели'!$B$4,$B$5:B141,"&lt;"&amp;'План недели'!$D$4,$D$5:D141,"&lt;&gt;",$G$5:G141,"&lt;&gt;Отменён"),"")</f>
        <v/>
      </c>
    </row>
    <row r="142" spans="1:11">
      <c r="A142" t="str">
        <f>IF(B142="","","VIS_"&amp;(YEAR(B142)*10000+MONTH(B142)*100+DAY(B142))&amp;"_"&amp;IF(COUNTIF($B$5:B142,B142)&lt;10,"00"&amp;COUNTIF($B$5:B142,B142),IF(COUNTIF($B$5:B142,B142)&lt;100,"0"&amp;COUNTIF($B$5:B142,B142),COUNTIF($B$5:B142,B142))))</f>
        <v>VIS_20260511_001</v>
      </c>
      <c r="B142" s="42">
        <v>46153</v>
      </c>
      <c r="C142" s="49" t="str">
        <f t="shared" si="4"/>
        <v>Пн</v>
      </c>
      <c r="D142" t="s">
        <v>28</v>
      </c>
      <c r="E142" t="s">
        <v>29</v>
      </c>
      <c r="F142" t="s">
        <v>30</v>
      </c>
      <c r="G142" t="s">
        <v>31</v>
      </c>
      <c r="I142" s="46">
        <v>557</v>
      </c>
      <c r="J142" s="39">
        <f t="shared" si="5"/>
        <v>46148</v>
      </c>
      <c r="K142" t="str">
        <f ca="1">IF(AND(B142&gt;='План недели'!$B$4,B142&lt;'План недели'!$D$4,D142&lt;&gt;"",G142&lt;&gt;"Отменён"),COUNTIFS($B$5:B142,"&gt;="&amp;'План недели'!$B$4,$B$5:B142,"&lt;"&amp;'План недели'!$D$4,$D$5:D142,"&lt;&gt;",$G$5:G142,"&lt;&gt;Отменён"),"")</f>
        <v/>
      </c>
    </row>
    <row r="143" spans="1:11">
      <c r="A143" t="str">
        <f>IF(B143="","","VIS_"&amp;(YEAR(B143)*10000+MONTH(B143)*100+DAY(B143))&amp;"_"&amp;IF(COUNTIF($B$5:B143,B143)&lt;10,"00"&amp;COUNTIF($B$5:B143,B143),IF(COUNTIF($B$5:B143,B143)&lt;100,"0"&amp;COUNTIF($B$5:B143,B143),COUNTIF($B$5:B143,B143))))</f>
        <v>VIS_20260512_001</v>
      </c>
      <c r="B143" s="40">
        <v>46154</v>
      </c>
      <c r="C143" s="47" t="str">
        <f t="shared" si="4"/>
        <v>Вт</v>
      </c>
      <c r="D143" t="s">
        <v>35</v>
      </c>
      <c r="E143" t="s">
        <v>29</v>
      </c>
      <c r="F143" t="s">
        <v>30</v>
      </c>
      <c r="G143" t="s">
        <v>31</v>
      </c>
      <c r="I143" s="46">
        <v>200</v>
      </c>
      <c r="J143" s="39">
        <f t="shared" si="5"/>
        <v>46148</v>
      </c>
      <c r="K143" t="str">
        <f ca="1">IF(AND(B143&gt;='План недели'!$B$4,B143&lt;'План недели'!$D$4,D143&lt;&gt;"",G143&lt;&gt;"Отменён"),COUNTIFS($B$5:B143,"&gt;="&amp;'План недели'!$B$4,$B$5:B143,"&lt;"&amp;'План недели'!$D$4,$D$5:D143,"&lt;&gt;",$G$5:G143,"&lt;&gt;Отменён"),"")</f>
        <v/>
      </c>
    </row>
    <row r="144" spans="1:11">
      <c r="A144" t="str">
        <f>IF(B144="","","VIS_"&amp;(YEAR(B144)*10000+MONTH(B144)*100+DAY(B144))&amp;"_"&amp;IF(COUNTIF($B$5:B144,B144)&lt;10,"00"&amp;COUNTIF($B$5:B144,B144),IF(COUNTIF($B$5:B144,B144)&lt;100,"0"&amp;COUNTIF($B$5:B144,B144),COUNTIF($B$5:B144,B144))))</f>
        <v>VIS_20260513_001</v>
      </c>
      <c r="B144" s="40">
        <v>46155</v>
      </c>
      <c r="C144" s="47" t="str">
        <f t="shared" si="4"/>
        <v>Ср</v>
      </c>
      <c r="D144" t="s">
        <v>28</v>
      </c>
      <c r="E144" t="s">
        <v>29</v>
      </c>
      <c r="F144" t="s">
        <v>30</v>
      </c>
      <c r="G144" t="s">
        <v>31</v>
      </c>
      <c r="I144" s="46">
        <v>557</v>
      </c>
      <c r="J144" s="39">
        <f t="shared" si="5"/>
        <v>46155</v>
      </c>
      <c r="K144" t="str">
        <f ca="1">IF(AND(B144&gt;='План недели'!$B$4,B144&lt;'План недели'!$D$4,D144&lt;&gt;"",G144&lt;&gt;"Отменён"),COUNTIFS($B$5:B144,"&gt;="&amp;'План недели'!$B$4,$B$5:B144,"&lt;"&amp;'План недели'!$D$4,$D$5:D144,"&lt;&gt;",$G$5:G144,"&lt;&gt;Отменён"),"")</f>
        <v/>
      </c>
    </row>
    <row r="145" spans="1:11">
      <c r="A145" t="str">
        <f>IF(B145="","","VIS_"&amp;(YEAR(B145)*10000+MONTH(B145)*100+DAY(B145))&amp;"_"&amp;IF(COUNTIF($B$5:B145,B145)&lt;10,"00"&amp;COUNTIF($B$5:B145,B145),IF(COUNTIF($B$5:B145,B145)&lt;100,"0"&amp;COUNTIF($B$5:B145,B145),COUNTIF($B$5:B145,B145))))</f>
        <v>VIS_20260514_001</v>
      </c>
      <c r="B145" s="40">
        <v>46156</v>
      </c>
      <c r="C145" s="47" t="str">
        <f t="shared" si="4"/>
        <v>Чт</v>
      </c>
      <c r="D145" t="s">
        <v>36</v>
      </c>
      <c r="E145" t="s">
        <v>29</v>
      </c>
      <c r="F145" t="s">
        <v>30</v>
      </c>
      <c r="G145" t="s">
        <v>31</v>
      </c>
      <c r="I145" s="46">
        <v>194</v>
      </c>
      <c r="J145" s="39">
        <f t="shared" si="5"/>
        <v>46155</v>
      </c>
      <c r="K145" t="str">
        <f ca="1">IF(AND(B145&gt;='План недели'!$B$4,B145&lt;'План недели'!$D$4,D145&lt;&gt;"",G145&lt;&gt;"Отменён"),COUNTIFS($B$5:B145,"&gt;="&amp;'План недели'!$B$4,$B$5:B145,"&lt;"&amp;'План недели'!$D$4,$D$5:D145,"&lt;&gt;",$G$5:G145,"&lt;&gt;Отменён"),"")</f>
        <v/>
      </c>
    </row>
    <row r="146" spans="1:11">
      <c r="A146" t="str">
        <f>IF(B146="","","VIS_"&amp;(YEAR(B146)*10000+MONTH(B146)*100+DAY(B146))&amp;"_"&amp;IF(COUNTIF($B$5:B146,B146)&lt;10,"00"&amp;COUNTIF($B$5:B146,B146),IF(COUNTIF($B$5:B146,B146)&lt;100,"0"&amp;COUNTIF($B$5:B146,B146),COUNTIF($B$5:B146,B146))))</f>
        <v>VIS_20260515_001</v>
      </c>
      <c r="B146" s="40">
        <v>46157</v>
      </c>
      <c r="C146" s="47" t="str">
        <f t="shared" si="4"/>
        <v>Пт</v>
      </c>
      <c r="D146" t="s">
        <v>28</v>
      </c>
      <c r="E146" t="s">
        <v>29</v>
      </c>
      <c r="F146" t="s">
        <v>30</v>
      </c>
      <c r="G146" t="s">
        <v>31</v>
      </c>
      <c r="I146" s="46">
        <v>557</v>
      </c>
      <c r="J146" s="39">
        <f t="shared" si="5"/>
        <v>46155</v>
      </c>
      <c r="K146" t="str">
        <f ca="1">IF(AND(B146&gt;='План недели'!$B$4,B146&lt;'План недели'!$D$4,D146&lt;&gt;"",G146&lt;&gt;"Отменён"),COUNTIFS($B$5:B146,"&gt;="&amp;'План недели'!$B$4,$B$5:B146,"&lt;"&amp;'План недели'!$D$4,$D$5:D146,"&lt;&gt;",$G$5:G146,"&lt;&gt;Отменён"),"")</f>
        <v/>
      </c>
    </row>
    <row r="147" spans="1:11">
      <c r="A147" t="str">
        <f>IF(B147="","","VIS_"&amp;(YEAR(B147)*10000+MONTH(B147)*100+DAY(B147))&amp;"_"&amp;IF(COUNTIF($B$5:B147,B147)&lt;10,"00"&amp;COUNTIF($B$5:B147,B147),IF(COUNTIF($B$5:B147,B147)&lt;100,"0"&amp;COUNTIF($B$5:B147,B147),COUNTIF($B$5:B147,B147))))</f>
        <v>VIS_20260516_001</v>
      </c>
      <c r="B147" s="42">
        <v>46158</v>
      </c>
      <c r="C147" s="49" t="str">
        <f t="shared" si="4"/>
        <v>Сб</v>
      </c>
      <c r="I147" s="46"/>
      <c r="J147" s="39">
        <f t="shared" si="5"/>
        <v>46155</v>
      </c>
      <c r="K147" t="str">
        <f ca="1">IF(AND(B147&gt;='План недели'!$B$4,B147&lt;'План недели'!$D$4,D147&lt;&gt;"",G147&lt;&gt;"Отменён"),COUNTIFS($B$5:B147,"&gt;="&amp;'План недели'!$B$4,$B$5:B147,"&lt;"&amp;'План недели'!$D$4,$D$5:D147,"&lt;&gt;",$G$5:G147,"&lt;&gt;Отменён"),"")</f>
        <v/>
      </c>
    </row>
    <row r="148" spans="1:11">
      <c r="A148" t="str">
        <f>IF(B148="","","VIS_"&amp;(YEAR(B148)*10000+MONTH(B148)*100+DAY(B148))&amp;"_"&amp;IF(COUNTIF($B$5:B148,B148)&lt;10,"00"&amp;COUNTIF($B$5:B148,B148),IF(COUNTIF($B$5:B148,B148)&lt;100,"0"&amp;COUNTIF($B$5:B148,B148),COUNTIF($B$5:B148,B148))))</f>
        <v>VIS_20260517_001</v>
      </c>
      <c r="B148" s="42">
        <v>46159</v>
      </c>
      <c r="C148" s="49" t="str">
        <f t="shared" si="4"/>
        <v>Вс</v>
      </c>
      <c r="I148" s="46"/>
      <c r="J148" s="39">
        <f t="shared" si="5"/>
        <v>46155</v>
      </c>
      <c r="K148" t="str">
        <f ca="1">IF(AND(B148&gt;='План недели'!$B$4,B148&lt;'План недели'!$D$4,D148&lt;&gt;"",G148&lt;&gt;"Отменён"),COUNTIFS($B$5:B148,"&gt;="&amp;'План недели'!$B$4,$B$5:B148,"&lt;"&amp;'План недели'!$D$4,$D$5:D148,"&lt;&gt;",$G$5:G148,"&lt;&gt;Отменён"),"")</f>
        <v/>
      </c>
    </row>
    <row r="149" spans="1:11">
      <c r="A149" t="str">
        <f>IF(B149="","","VIS_"&amp;(YEAR(B149)*10000+MONTH(B149)*100+DAY(B149))&amp;"_"&amp;IF(COUNTIF($B$5:B149,B149)&lt;10,"00"&amp;COUNTIF($B$5:B149,B149),IF(COUNTIF($B$5:B149,B149)&lt;100,"0"&amp;COUNTIF($B$5:B149,B149),COUNTIF($B$5:B149,B149))))</f>
        <v>VIS_20260518_001</v>
      </c>
      <c r="B149" s="40">
        <v>46160</v>
      </c>
      <c r="C149" s="47" t="str">
        <f t="shared" si="4"/>
        <v>Пн</v>
      </c>
      <c r="D149" t="s">
        <v>28</v>
      </c>
      <c r="E149" t="s">
        <v>34</v>
      </c>
      <c r="F149" t="s">
        <v>30</v>
      </c>
      <c r="G149" t="s">
        <v>31</v>
      </c>
      <c r="I149" s="46">
        <v>557</v>
      </c>
      <c r="J149" s="39">
        <f t="shared" si="5"/>
        <v>46155</v>
      </c>
      <c r="K149" t="str">
        <f ca="1">IF(AND(B149&gt;='План недели'!$B$4,B149&lt;'План недели'!$D$4,D149&lt;&gt;"",G149&lt;&gt;"Отменён"),COUNTIFS($B$5:B149,"&gt;="&amp;'План недели'!$B$4,$B$5:B149,"&lt;"&amp;'План недели'!$D$4,$D$5:D149,"&lt;&gt;",$G$5:G149,"&lt;&gt;Отменён"),"")</f>
        <v/>
      </c>
    </row>
    <row r="150" spans="1:11">
      <c r="A150" t="str">
        <f>IF(B150="","","VIS_"&amp;(YEAR(B150)*10000+MONTH(B150)*100+DAY(B150))&amp;"_"&amp;IF(COUNTIF($B$5:B150,B150)&lt;10,"00"&amp;COUNTIF($B$5:B150,B150),IF(COUNTIF($B$5:B150,B150)&lt;100,"0"&amp;COUNTIF($B$5:B150,B150),COUNTIF($B$5:B150,B150))))</f>
        <v>VIS_20260519_001</v>
      </c>
      <c r="B150" s="40">
        <v>46161</v>
      </c>
      <c r="C150" s="47" t="str">
        <f t="shared" si="4"/>
        <v>Вт</v>
      </c>
      <c r="D150" t="s">
        <v>37</v>
      </c>
      <c r="E150" t="s">
        <v>34</v>
      </c>
      <c r="F150" t="s">
        <v>30</v>
      </c>
      <c r="G150" t="s">
        <v>31</v>
      </c>
      <c r="I150" s="46">
        <v>366</v>
      </c>
      <c r="J150" s="39">
        <f t="shared" si="5"/>
        <v>46155</v>
      </c>
      <c r="K150" t="str">
        <f ca="1">IF(AND(B150&gt;='План недели'!$B$4,B150&lt;'План недели'!$D$4,D150&lt;&gt;"",G150&lt;&gt;"Отменён"),COUNTIFS($B$5:B150,"&gt;="&amp;'План недели'!$B$4,$B$5:B150,"&lt;"&amp;'План недели'!$D$4,$D$5:D150,"&lt;&gt;",$G$5:G150,"&lt;&gt;Отменён"),"")</f>
        <v/>
      </c>
    </row>
    <row r="151" spans="1:11">
      <c r="A151" t="str">
        <f>IF(B151="","","VIS_"&amp;(YEAR(B151)*10000+MONTH(B151)*100+DAY(B151))&amp;"_"&amp;IF(COUNTIF($B$5:B151,B151)&lt;10,"00"&amp;COUNTIF($B$5:B151,B151),IF(COUNTIF($B$5:B151,B151)&lt;100,"0"&amp;COUNTIF($B$5:B151,B151),COUNTIF($B$5:B151,B151))))</f>
        <v>VIS_20260519_002</v>
      </c>
      <c r="B151" s="40">
        <v>46161</v>
      </c>
      <c r="C151" s="47" t="str">
        <f t="shared" si="4"/>
        <v>Вт</v>
      </c>
      <c r="D151" t="s">
        <v>38</v>
      </c>
      <c r="E151" t="s">
        <v>34</v>
      </c>
      <c r="F151" t="s">
        <v>30</v>
      </c>
      <c r="G151" t="s">
        <v>31</v>
      </c>
      <c r="I151" s="46">
        <v>15</v>
      </c>
      <c r="J151" s="39">
        <f t="shared" si="5"/>
        <v>46155</v>
      </c>
      <c r="K151" t="str">
        <f ca="1">IF(AND(B151&gt;='План недели'!$B$4,B151&lt;'План недели'!$D$4,D151&lt;&gt;"",G151&lt;&gt;"Отменён"),COUNTIFS($B$5:B151,"&gt;="&amp;'План недели'!$B$4,$B$5:B151,"&lt;"&amp;'План недели'!$D$4,$D$5:D151,"&lt;&gt;",$G$5:G151,"&lt;&gt;Отменён"),"")</f>
        <v/>
      </c>
    </row>
    <row r="152" spans="1:11">
      <c r="A152" t="str">
        <f>IF(B152="","","VIS_"&amp;(YEAR(B152)*10000+MONTH(B152)*100+DAY(B152))&amp;"_"&amp;IF(COUNTIF($B$5:B152,B152)&lt;10,"00"&amp;COUNTIF($B$5:B152,B152),IF(COUNTIF($B$5:B152,B152)&lt;100,"0"&amp;COUNTIF($B$5:B152,B152),COUNTIF($B$5:B152,B152))))</f>
        <v>VIS_20260520_001</v>
      </c>
      <c r="B152" s="40">
        <v>46162</v>
      </c>
      <c r="C152" s="47" t="str">
        <f t="shared" si="4"/>
        <v>Ср</v>
      </c>
      <c r="D152" t="s">
        <v>28</v>
      </c>
      <c r="E152" t="s">
        <v>34</v>
      </c>
      <c r="F152" t="s">
        <v>30</v>
      </c>
      <c r="G152" t="s">
        <v>31</v>
      </c>
      <c r="I152" s="46">
        <v>557</v>
      </c>
      <c r="J152" s="39">
        <f t="shared" si="5"/>
        <v>46162</v>
      </c>
      <c r="K152" t="str">
        <f ca="1">IF(AND(B152&gt;='План недели'!$B$4,B152&lt;'План недели'!$D$4,D152&lt;&gt;"",G152&lt;&gt;"Отменён"),COUNTIFS($B$5:B152,"&gt;="&amp;'План недели'!$B$4,$B$5:B152,"&lt;"&amp;'План недели'!$D$4,$D$5:D152,"&lt;&gt;",$G$5:G152,"&lt;&gt;Отменён"),"")</f>
        <v/>
      </c>
    </row>
    <row r="153" spans="1:11">
      <c r="A153" t="str">
        <f>IF(B153="","","VIS_"&amp;(YEAR(B153)*10000+MONTH(B153)*100+DAY(B153))&amp;"_"&amp;IF(COUNTIF($B$5:B153,B153)&lt;10,"00"&amp;COUNTIF($B$5:B153,B153),IF(COUNTIF($B$5:B153,B153)&lt;100,"0"&amp;COUNTIF($B$5:B153,B153),COUNTIF($B$5:B153,B153))))</f>
        <v>VIS_20260521_001</v>
      </c>
      <c r="B153" s="40">
        <v>46163</v>
      </c>
      <c r="C153" s="47" t="str">
        <f t="shared" si="4"/>
        <v>Чт</v>
      </c>
      <c r="D153" t="s">
        <v>38</v>
      </c>
      <c r="E153" t="s">
        <v>34</v>
      </c>
      <c r="F153" t="s">
        <v>30</v>
      </c>
      <c r="G153" t="s">
        <v>31</v>
      </c>
      <c r="H153" t="s">
        <v>39</v>
      </c>
      <c r="I153" s="46">
        <v>15</v>
      </c>
      <c r="J153" s="39">
        <f t="shared" si="5"/>
        <v>46162</v>
      </c>
      <c r="K153" t="str">
        <f ca="1">IF(AND(B153&gt;='План недели'!$B$4,B153&lt;'План недели'!$D$4,D153&lt;&gt;"",G153&lt;&gt;"Отменён"),COUNTIFS($B$5:B153,"&gt;="&amp;'План недели'!$B$4,$B$5:B153,"&lt;"&amp;'План недели'!$D$4,$D$5:D153,"&lt;&gt;",$G$5:G153,"&lt;&gt;Отменён"),"")</f>
        <v/>
      </c>
    </row>
    <row r="154" spans="1:11">
      <c r="A154" t="str">
        <f>IF(B154="","","VIS_"&amp;(YEAR(B154)*10000+MONTH(B154)*100+DAY(B154))&amp;"_"&amp;IF(COUNTIF($B$5:B154,B154)&lt;10,"00"&amp;COUNTIF($B$5:B154,B154),IF(COUNTIF($B$5:B154,B154)&lt;100,"0"&amp;COUNTIF($B$5:B154,B154),COUNTIF($B$5:B154,B154))))</f>
        <v>VIS_20260521_002</v>
      </c>
      <c r="B154" s="40">
        <v>46163</v>
      </c>
      <c r="C154" s="47" t="str">
        <f t="shared" si="4"/>
        <v>Чт</v>
      </c>
      <c r="D154" t="s">
        <v>40</v>
      </c>
      <c r="E154" t="s">
        <v>34</v>
      </c>
      <c r="F154" t="s">
        <v>30</v>
      </c>
      <c r="G154" t="s">
        <v>31</v>
      </c>
      <c r="H154" t="s">
        <v>39</v>
      </c>
      <c r="I154" s="46">
        <v>24</v>
      </c>
      <c r="J154" s="39">
        <f t="shared" si="5"/>
        <v>46162</v>
      </c>
      <c r="K154" t="str">
        <f ca="1">IF(AND(B154&gt;='План недели'!$B$4,B154&lt;'План недели'!$D$4,D154&lt;&gt;"",G154&lt;&gt;"Отменён"),COUNTIFS($B$5:B154,"&gt;="&amp;'План недели'!$B$4,$B$5:B154,"&lt;"&amp;'План недели'!$D$4,$D$5:D154,"&lt;&gt;",$G$5:G154,"&lt;&gt;Отменён"),"")</f>
        <v/>
      </c>
    </row>
    <row r="155" spans="1:11">
      <c r="A155" t="str">
        <f>IF(B155="","","VIS_"&amp;(YEAR(B155)*10000+MONTH(B155)*100+DAY(B155))&amp;"_"&amp;IF(COUNTIF($B$5:B155,B155)&lt;10,"00"&amp;COUNTIF($B$5:B155,B155),IF(COUNTIF($B$5:B155,B155)&lt;100,"0"&amp;COUNTIF($B$5:B155,B155),COUNTIF($B$5:B155,B155))))</f>
        <v>VIS_20260521_003</v>
      </c>
      <c r="B155" s="40">
        <v>46163</v>
      </c>
      <c r="C155" s="47" t="str">
        <f t="shared" si="4"/>
        <v>Чт</v>
      </c>
      <c r="D155" t="s">
        <v>41</v>
      </c>
      <c r="E155" t="s">
        <v>34</v>
      </c>
      <c r="F155" t="s">
        <v>30</v>
      </c>
      <c r="G155" t="s">
        <v>31</v>
      </c>
      <c r="H155" t="s">
        <v>39</v>
      </c>
      <c r="I155" s="46">
        <v>22</v>
      </c>
      <c r="J155" s="39">
        <f t="shared" si="5"/>
        <v>46162</v>
      </c>
      <c r="K155" t="str">
        <f ca="1">IF(AND(B155&gt;='План недели'!$B$4,B155&lt;'План недели'!$D$4,D155&lt;&gt;"",G155&lt;&gt;"Отменён"),COUNTIFS($B$5:B155,"&gt;="&amp;'План недели'!$B$4,$B$5:B155,"&lt;"&amp;'План недели'!$D$4,$D$5:D155,"&lt;&gt;",$G$5:G155,"&lt;&gt;Отменён"),"")</f>
        <v/>
      </c>
    </row>
    <row r="156" spans="1:11">
      <c r="A156" t="str">
        <f>IF(B156="","","VIS_"&amp;(YEAR(B156)*10000+MONTH(B156)*100+DAY(B156))&amp;"_"&amp;IF(COUNTIF($B$5:B156,B156)&lt;10,"00"&amp;COUNTIF($B$5:B156,B156),IF(COUNTIF($B$5:B156,B156)&lt;100,"0"&amp;COUNTIF($B$5:B156,B156),COUNTIF($B$5:B156,B156))))</f>
        <v>VIS_20260521_004</v>
      </c>
      <c r="B156" s="40">
        <v>46163</v>
      </c>
      <c r="C156" s="47" t="str">
        <f t="shared" si="4"/>
        <v>Чт</v>
      </c>
      <c r="D156" t="s">
        <v>42</v>
      </c>
      <c r="E156" t="s">
        <v>34</v>
      </c>
      <c r="F156" t="s">
        <v>30</v>
      </c>
      <c r="G156" t="s">
        <v>31</v>
      </c>
      <c r="H156" t="s">
        <v>39</v>
      </c>
      <c r="I156" s="46">
        <v>16</v>
      </c>
      <c r="J156" s="39">
        <f t="shared" si="5"/>
        <v>46162</v>
      </c>
      <c r="K156" t="str">
        <f ca="1">IF(AND(B156&gt;='План недели'!$B$4,B156&lt;'План недели'!$D$4,D156&lt;&gt;"",G156&lt;&gt;"Отменён"),COUNTIFS($B$5:B156,"&gt;="&amp;'План недели'!$B$4,$B$5:B156,"&lt;"&amp;'План недели'!$D$4,$D$5:D156,"&lt;&gt;",$G$5:G156,"&lt;&gt;Отменён"),"")</f>
        <v/>
      </c>
    </row>
    <row r="157" spans="1:11">
      <c r="A157" t="str">
        <f>IF(B157="","","VIS_"&amp;(YEAR(B157)*10000+MONTH(B157)*100+DAY(B157))&amp;"_"&amp;IF(COUNTIF($B$5:B157,B157)&lt;10,"00"&amp;COUNTIF($B$5:B157,B157),IF(COUNTIF($B$5:B157,B157)&lt;100,"0"&amp;COUNTIF($B$5:B157,B157),COUNTIF($B$5:B157,B157))))</f>
        <v>VIS_20260521_005</v>
      </c>
      <c r="B157" s="40">
        <v>46163</v>
      </c>
      <c r="C157" s="47" t="str">
        <f t="shared" si="4"/>
        <v>Чт</v>
      </c>
      <c r="D157" t="s">
        <v>43</v>
      </c>
      <c r="E157" t="s">
        <v>34</v>
      </c>
      <c r="F157" t="s">
        <v>30</v>
      </c>
      <c r="G157" t="s">
        <v>31</v>
      </c>
      <c r="H157" t="s">
        <v>39</v>
      </c>
      <c r="I157" s="46">
        <v>24</v>
      </c>
      <c r="J157" s="39">
        <f t="shared" si="5"/>
        <v>46162</v>
      </c>
      <c r="K157" t="str">
        <f ca="1">IF(AND(B157&gt;='План недели'!$B$4,B157&lt;'План недели'!$D$4,D157&lt;&gt;"",G157&lt;&gt;"Отменён"),COUNTIFS($B$5:B157,"&gt;="&amp;'План недели'!$B$4,$B$5:B157,"&lt;"&amp;'План недели'!$D$4,$D$5:D157,"&lt;&gt;",$G$5:G157,"&lt;&gt;Отменён"),"")</f>
        <v/>
      </c>
    </row>
    <row r="158" spans="1:11">
      <c r="A158" t="str">
        <f>IF(B158="","","VIS_"&amp;(YEAR(B158)*10000+MONTH(B158)*100+DAY(B158))&amp;"_"&amp;IF(COUNTIF($B$5:B158,B158)&lt;10,"00"&amp;COUNTIF($B$5:B158,B158),IF(COUNTIF($B$5:B158,B158)&lt;100,"0"&amp;COUNTIF($B$5:B158,B158),COUNTIF($B$5:B158,B158))))</f>
        <v>VIS_20260521_006</v>
      </c>
      <c r="B158" s="40">
        <v>46163</v>
      </c>
      <c r="C158" s="47" t="str">
        <f t="shared" si="4"/>
        <v>Чт</v>
      </c>
      <c r="D158" t="s">
        <v>44</v>
      </c>
      <c r="E158" t="s">
        <v>34</v>
      </c>
      <c r="F158" t="s">
        <v>30</v>
      </c>
      <c r="G158" t="s">
        <v>31</v>
      </c>
      <c r="H158" t="s">
        <v>39</v>
      </c>
      <c r="I158" s="46">
        <v>19</v>
      </c>
      <c r="J158" s="39">
        <f t="shared" si="5"/>
        <v>46162</v>
      </c>
      <c r="K158" t="str">
        <f ca="1">IF(AND(B158&gt;='План недели'!$B$4,B158&lt;'План недели'!$D$4,D158&lt;&gt;"",G158&lt;&gt;"Отменён"),COUNTIFS($B$5:B158,"&gt;="&amp;'План недели'!$B$4,$B$5:B158,"&lt;"&amp;'План недели'!$D$4,$D$5:D158,"&lt;&gt;",$G$5:G158,"&lt;&gt;Отменён"),"")</f>
        <v/>
      </c>
    </row>
    <row r="159" spans="1:11">
      <c r="A159" t="str">
        <f>IF(B159="","","VIS_"&amp;(YEAR(B159)*10000+MONTH(B159)*100+DAY(B159))&amp;"_"&amp;IF(COUNTIF($B$5:B159,B159)&lt;10,"00"&amp;COUNTIF($B$5:B159,B159),IF(COUNTIF($B$5:B159,B159)&lt;100,"0"&amp;COUNTIF($B$5:B159,B159),COUNTIF($B$5:B159,B159))))</f>
        <v>VIS_20260521_007</v>
      </c>
      <c r="B159" s="40">
        <v>46163</v>
      </c>
      <c r="C159" s="47" t="str">
        <f t="shared" si="4"/>
        <v>Чт</v>
      </c>
      <c r="D159" t="s">
        <v>45</v>
      </c>
      <c r="E159" t="s">
        <v>34</v>
      </c>
      <c r="F159" t="s">
        <v>30</v>
      </c>
      <c r="G159" t="s">
        <v>31</v>
      </c>
      <c r="H159" t="s">
        <v>39</v>
      </c>
      <c r="I159" s="46">
        <v>31</v>
      </c>
      <c r="J159" s="39">
        <f t="shared" si="5"/>
        <v>46162</v>
      </c>
      <c r="K159" t="str">
        <f ca="1">IF(AND(B159&gt;='План недели'!$B$4,B159&lt;'План недели'!$D$4,D159&lt;&gt;"",G159&lt;&gt;"Отменён"),COUNTIFS($B$5:B159,"&gt;="&amp;'План недели'!$B$4,$B$5:B159,"&lt;"&amp;'План недели'!$D$4,$D$5:D159,"&lt;&gt;",$G$5:G159,"&lt;&gt;Отменён"),"")</f>
        <v/>
      </c>
    </row>
    <row r="160" spans="1:11">
      <c r="A160" t="str">
        <f>IF(B160="","","VIS_"&amp;(YEAR(B160)*10000+MONTH(B160)*100+DAY(B160))&amp;"_"&amp;IF(COUNTIF($B$5:B160,B160)&lt;10,"00"&amp;COUNTIF($B$5:B160,B160),IF(COUNTIF($B$5:B160,B160)&lt;100,"0"&amp;COUNTIF($B$5:B160,B160),COUNTIF($B$5:B160,B160))))</f>
        <v>VIS_20260522_001</v>
      </c>
      <c r="B160" s="40">
        <v>46164</v>
      </c>
      <c r="C160" s="47" t="str">
        <f t="shared" si="4"/>
        <v>Пт</v>
      </c>
      <c r="D160" t="s">
        <v>28</v>
      </c>
      <c r="E160" t="s">
        <v>34</v>
      </c>
      <c r="F160" t="s">
        <v>30</v>
      </c>
      <c r="G160" t="s">
        <v>31</v>
      </c>
      <c r="I160" s="46">
        <v>557</v>
      </c>
      <c r="J160" s="39">
        <f t="shared" si="5"/>
        <v>46162</v>
      </c>
      <c r="K160" t="str">
        <f ca="1">IF(AND(B160&gt;='План недели'!$B$4,B160&lt;'План недели'!$D$4,D160&lt;&gt;"",G160&lt;&gt;"Отменён"),COUNTIFS($B$5:B160,"&gt;="&amp;'План недели'!$B$4,$B$5:B160,"&lt;"&amp;'План недели'!$D$4,$D$5:D160,"&lt;&gt;",$G$5:G160,"&lt;&gt;Отменён"),"")</f>
        <v/>
      </c>
    </row>
    <row r="161" spans="1:11">
      <c r="A161" t="str">
        <f>IF(B161="","","VIS_"&amp;(YEAR(B161)*10000+MONTH(B161)*100+DAY(B161))&amp;"_"&amp;IF(COUNTIF($B$5:B161,B161)&lt;10,"00"&amp;COUNTIF($B$5:B161,B161),IF(COUNTIF($B$5:B161,B161)&lt;100,"0"&amp;COUNTIF($B$5:B161,B161),COUNTIF($B$5:B161,B161))))</f>
        <v>VIS_20260523_001</v>
      </c>
      <c r="B161" s="42">
        <v>46165</v>
      </c>
      <c r="C161" s="49" t="str">
        <f t="shared" si="4"/>
        <v>Сб</v>
      </c>
      <c r="I161" s="46"/>
      <c r="J161" s="39">
        <f t="shared" si="5"/>
        <v>46162</v>
      </c>
      <c r="K161" t="str">
        <f ca="1">IF(AND(B161&gt;='План недели'!$B$4,B161&lt;'План недели'!$D$4,D161&lt;&gt;"",G161&lt;&gt;"Отменён"),COUNTIFS($B$5:B161,"&gt;="&amp;'План недели'!$B$4,$B$5:B161,"&lt;"&amp;'План недели'!$D$4,$D$5:D161,"&lt;&gt;",$G$5:G161,"&lt;&gt;Отменён"),"")</f>
        <v/>
      </c>
    </row>
    <row r="162" spans="1:11">
      <c r="A162" t="str">
        <f>IF(B162="","","VIS_"&amp;(YEAR(B162)*10000+MONTH(B162)*100+DAY(B162))&amp;"_"&amp;IF(COUNTIF($B$5:B162,B162)&lt;10,"00"&amp;COUNTIF($B$5:B162,B162),IF(COUNTIF($B$5:B162,B162)&lt;100,"0"&amp;COUNTIF($B$5:B162,B162),COUNTIF($B$5:B162,B162))))</f>
        <v>VIS_20260524_001</v>
      </c>
      <c r="B162" s="42">
        <v>46166</v>
      </c>
      <c r="C162" s="49" t="str">
        <f t="shared" si="4"/>
        <v>Вс</v>
      </c>
      <c r="I162" s="46"/>
      <c r="J162" s="39">
        <f t="shared" si="5"/>
        <v>46162</v>
      </c>
      <c r="K162" t="str">
        <f ca="1">IF(AND(B162&gt;='План недели'!$B$4,B162&lt;'План недели'!$D$4,D162&lt;&gt;"",G162&lt;&gt;"Отменён"),COUNTIFS($B$5:B162,"&gt;="&amp;'План недели'!$B$4,$B$5:B162,"&lt;"&amp;'План недели'!$D$4,$D$5:D162,"&lt;&gt;",$G$5:G162,"&lt;&gt;Отменён"),"")</f>
        <v/>
      </c>
    </row>
    <row r="163" spans="1:11">
      <c r="A163" t="str">
        <f>IF(B163="","","VIS_"&amp;(YEAR(B163)*10000+MONTH(B163)*100+DAY(B163))&amp;"_"&amp;IF(COUNTIF($B$5:B163,B163)&lt;10,"00"&amp;COUNTIF($B$5:B163,B163),IF(COUNTIF($B$5:B163,B163)&lt;100,"0"&amp;COUNTIF($B$5:B163,B163),COUNTIF($B$5:B163,B163))))</f>
        <v>VIS_20260525_001</v>
      </c>
      <c r="B163" s="40">
        <v>46167</v>
      </c>
      <c r="C163" s="47" t="str">
        <f t="shared" si="4"/>
        <v>Пн</v>
      </c>
      <c r="D163" t="s">
        <v>28</v>
      </c>
      <c r="E163" t="s">
        <v>29</v>
      </c>
      <c r="F163" t="s">
        <v>30</v>
      </c>
      <c r="G163" t="s">
        <v>31</v>
      </c>
      <c r="I163" s="46">
        <v>557</v>
      </c>
      <c r="J163" s="39">
        <f t="shared" si="5"/>
        <v>46162</v>
      </c>
      <c r="K163" t="str">
        <f ca="1">IF(AND(B163&gt;='План недели'!$B$4,B163&lt;'План недели'!$D$4,D163&lt;&gt;"",G163&lt;&gt;"Отменён"),COUNTIFS($B$5:B163,"&gt;="&amp;'План недели'!$B$4,$B$5:B163,"&lt;"&amp;'План недели'!$D$4,$D$5:D163,"&lt;&gt;",$G$5:G163,"&lt;&gt;Отменён"),"")</f>
        <v/>
      </c>
    </row>
    <row r="164" spans="1:11">
      <c r="A164" t="str">
        <f>IF(B164="","","VIS_"&amp;(YEAR(B164)*10000+MONTH(B164)*100+DAY(B164))&amp;"_"&amp;IF(COUNTIF($B$5:B164,B164)&lt;10,"00"&amp;COUNTIF($B$5:B164,B164),IF(COUNTIF($B$5:B164,B164)&lt;100,"0"&amp;COUNTIF($B$5:B164,B164),COUNTIF($B$5:B164,B164))))</f>
        <v>VIS_20260526_001</v>
      </c>
      <c r="B164" s="40">
        <v>46168</v>
      </c>
      <c r="C164" s="47" t="str">
        <f t="shared" si="4"/>
        <v>Вт</v>
      </c>
      <c r="D164" t="s">
        <v>32</v>
      </c>
      <c r="E164" t="s">
        <v>29</v>
      </c>
      <c r="F164" t="s">
        <v>30</v>
      </c>
      <c r="G164" t="s">
        <v>31</v>
      </c>
      <c r="I164" s="46">
        <v>445</v>
      </c>
      <c r="J164" s="39">
        <f t="shared" si="5"/>
        <v>46162</v>
      </c>
      <c r="K164" t="str">
        <f ca="1">IF(AND(B164&gt;='План недели'!$B$4,B164&lt;'План недели'!$D$4,D164&lt;&gt;"",G164&lt;&gt;"Отменён"),COUNTIFS($B$5:B164,"&gt;="&amp;'План недели'!$B$4,$B$5:B164,"&lt;"&amp;'План недели'!$D$4,$D$5:D164,"&lt;&gt;",$G$5:G164,"&lt;&gt;Отменён"),"")</f>
        <v/>
      </c>
    </row>
    <row r="165" spans="1:11">
      <c r="A165" t="str">
        <f>IF(B165="","","VIS_"&amp;(YEAR(B165)*10000+MONTH(B165)*100+DAY(B165))&amp;"_"&amp;IF(COUNTIF($B$5:B165,B165)&lt;10,"00"&amp;COUNTIF($B$5:B165,B165),IF(COUNTIF($B$5:B165,B165)&lt;100,"0"&amp;COUNTIF($B$5:B165,B165),COUNTIF($B$5:B165,B165))))</f>
        <v>VIS_20260527_001</v>
      </c>
      <c r="B165" s="40">
        <v>46169</v>
      </c>
      <c r="C165" s="47" t="str">
        <f t="shared" si="4"/>
        <v>Ср</v>
      </c>
      <c r="D165" t="s">
        <v>28</v>
      </c>
      <c r="E165" t="s">
        <v>29</v>
      </c>
      <c r="F165" t="s">
        <v>30</v>
      </c>
      <c r="G165" t="s">
        <v>31</v>
      </c>
      <c r="I165" s="46">
        <v>557</v>
      </c>
      <c r="J165" s="39">
        <f t="shared" si="5"/>
        <v>46169</v>
      </c>
      <c r="K165" t="str">
        <f ca="1">IF(AND(B165&gt;='План недели'!$B$4,B165&lt;'План недели'!$D$4,D165&lt;&gt;"",G165&lt;&gt;"Отменён"),COUNTIFS($B$5:B165,"&gt;="&amp;'План недели'!$B$4,$B$5:B165,"&lt;"&amp;'План недели'!$D$4,$D$5:D165,"&lt;&gt;",$G$5:G165,"&lt;&gt;Отменён"),"")</f>
        <v/>
      </c>
    </row>
    <row r="166" spans="1:11">
      <c r="A166" t="str">
        <f>IF(B166="","","VIS_"&amp;(YEAR(B166)*10000+MONTH(B166)*100+DAY(B166))&amp;"_"&amp;IF(COUNTIF($B$5:B166,B166)&lt;10,"00"&amp;COUNTIF($B$5:B166,B166),IF(COUNTIF($B$5:B166,B166)&lt;100,"0"&amp;COUNTIF($B$5:B166,B166),COUNTIF($B$5:B166,B166))))</f>
        <v>VIS_20260528_001</v>
      </c>
      <c r="B166" s="40">
        <v>46170</v>
      </c>
      <c r="C166" s="47" t="str">
        <f t="shared" si="4"/>
        <v>Чт</v>
      </c>
      <c r="D166" t="s">
        <v>33</v>
      </c>
      <c r="E166" t="s">
        <v>29</v>
      </c>
      <c r="F166" t="s">
        <v>30</v>
      </c>
      <c r="G166" t="s">
        <v>31</v>
      </c>
      <c r="I166" s="46">
        <v>355</v>
      </c>
      <c r="J166" s="39">
        <f t="shared" si="5"/>
        <v>46169</v>
      </c>
      <c r="K166" t="str">
        <f ca="1">IF(AND(B166&gt;='План недели'!$B$4,B166&lt;'План недели'!$D$4,D166&lt;&gt;"",G166&lt;&gt;"Отменён"),COUNTIFS($B$5:B166,"&gt;="&amp;'План недели'!$B$4,$B$5:B166,"&lt;"&amp;'План недели'!$D$4,$D$5:D166,"&lt;&gt;",$G$5:G166,"&lt;&gt;Отменён"),"")</f>
        <v/>
      </c>
    </row>
    <row r="167" spans="1:11">
      <c r="A167" t="str">
        <f>IF(B167="","","VIS_"&amp;(YEAR(B167)*10000+MONTH(B167)*100+DAY(B167))&amp;"_"&amp;IF(COUNTIF($B$5:B167,B167)&lt;10,"00"&amp;COUNTIF($B$5:B167,B167),IF(COUNTIF($B$5:B167,B167)&lt;100,"0"&amp;COUNTIF($B$5:B167,B167),COUNTIF($B$5:B167,B167))))</f>
        <v>VIS_20260529_001</v>
      </c>
      <c r="B167" s="40">
        <v>46171</v>
      </c>
      <c r="C167" s="47" t="str">
        <f t="shared" si="4"/>
        <v>Пт</v>
      </c>
      <c r="D167" t="s">
        <v>28</v>
      </c>
      <c r="E167" t="s">
        <v>29</v>
      </c>
      <c r="F167" t="s">
        <v>30</v>
      </c>
      <c r="G167" t="s">
        <v>31</v>
      </c>
      <c r="I167" s="46">
        <v>557</v>
      </c>
      <c r="J167" s="39">
        <f t="shared" si="5"/>
        <v>46169</v>
      </c>
      <c r="K167" t="str">
        <f ca="1">IF(AND(B167&gt;='План недели'!$B$4,B167&lt;'План недели'!$D$4,D167&lt;&gt;"",G167&lt;&gt;"Отменён"),COUNTIFS($B$5:B167,"&gt;="&amp;'План недели'!$B$4,$B$5:B167,"&lt;"&amp;'План недели'!$D$4,$D$5:D167,"&lt;&gt;",$G$5:G167,"&lt;&gt;Отменён"),"")</f>
        <v/>
      </c>
    </row>
    <row r="168" spans="1:11">
      <c r="A168" t="str">
        <f>IF(B168="","","VIS_"&amp;(YEAR(B168)*10000+MONTH(B168)*100+DAY(B168))&amp;"_"&amp;IF(COUNTIF($B$5:B168,B168)&lt;10,"00"&amp;COUNTIF($B$5:B168,B168),IF(COUNTIF($B$5:B168,B168)&lt;100,"0"&amp;COUNTIF($B$5:B168,B168),COUNTIF($B$5:B168,B168))))</f>
        <v>VIS_20260530_001</v>
      </c>
      <c r="B168" s="42">
        <v>46172</v>
      </c>
      <c r="C168" s="49" t="str">
        <f t="shared" si="4"/>
        <v>Сб</v>
      </c>
      <c r="I168" s="46"/>
      <c r="J168" s="39">
        <f t="shared" si="5"/>
        <v>46169</v>
      </c>
      <c r="K168" t="str">
        <f ca="1">IF(AND(B168&gt;='План недели'!$B$4,B168&lt;'План недели'!$D$4,D168&lt;&gt;"",G168&lt;&gt;"Отменён"),COUNTIFS($B$5:B168,"&gt;="&amp;'План недели'!$B$4,$B$5:B168,"&lt;"&amp;'План недели'!$D$4,$D$5:D168,"&lt;&gt;",$G$5:G168,"&lt;&gt;Отменён"),"")</f>
        <v/>
      </c>
    </row>
    <row r="169" spans="1:11">
      <c r="A169" t="str">
        <f>IF(B169="","","VIS_"&amp;(YEAR(B169)*10000+MONTH(B169)*100+DAY(B169))&amp;"_"&amp;IF(COUNTIF($B$5:B169,B169)&lt;10,"00"&amp;COUNTIF($B$5:B169,B169),IF(COUNTIF($B$5:B169,B169)&lt;100,"0"&amp;COUNTIF($B$5:B169,B169),COUNTIF($B$5:B169,B169))))</f>
        <v>VIS_20260531_001</v>
      </c>
      <c r="B169" s="42">
        <v>46173</v>
      </c>
      <c r="C169" s="49" t="str">
        <f t="shared" si="4"/>
        <v>Вс</v>
      </c>
      <c r="I169" s="46"/>
      <c r="J169" s="39">
        <f t="shared" si="5"/>
        <v>46169</v>
      </c>
      <c r="K169" t="str">
        <f ca="1">IF(AND(B169&gt;='План недели'!$B$4,B169&lt;'План недели'!$D$4,D169&lt;&gt;"",G169&lt;&gt;"Отменён"),COUNTIFS($B$5:B169,"&gt;="&amp;'План недели'!$B$4,$B$5:B169,"&lt;"&amp;'План недели'!$D$4,$D$5:D169,"&lt;&gt;",$G$5:G169,"&lt;&gt;Отменён"),"")</f>
        <v/>
      </c>
    </row>
    <row r="170" spans="1:11">
      <c r="A170" t="str">
        <f>IF(B170="","","VIS_"&amp;(YEAR(B170)*10000+MONTH(B170)*100+DAY(B170))&amp;"_"&amp;IF(COUNTIF($B$5:B170,B170)&lt;10,"00"&amp;COUNTIF($B$5:B170,B170),IF(COUNTIF($B$5:B170,B170)&lt;100,"0"&amp;COUNTIF($B$5:B170,B170),COUNTIF($B$5:B170,B170))))</f>
        <v>VIS_20260601_001</v>
      </c>
      <c r="B170" s="40">
        <v>46174</v>
      </c>
      <c r="C170" s="47" t="str">
        <f t="shared" si="4"/>
        <v>Пн</v>
      </c>
      <c r="D170" t="s">
        <v>28</v>
      </c>
      <c r="E170" t="s">
        <v>34</v>
      </c>
      <c r="F170" t="s">
        <v>30</v>
      </c>
      <c r="G170" t="s">
        <v>31</v>
      </c>
      <c r="I170" s="46">
        <v>557</v>
      </c>
      <c r="J170" s="39">
        <f t="shared" si="5"/>
        <v>46169</v>
      </c>
      <c r="K170" t="str">
        <f ca="1">IF(AND(B170&gt;='План недели'!$B$4,B170&lt;'План недели'!$D$4,D170&lt;&gt;"",G170&lt;&gt;"Отменён"),COUNTIFS($B$5:B170,"&gt;="&amp;'План недели'!$B$4,$B$5:B170,"&lt;"&amp;'План недели'!$D$4,$D$5:D170,"&lt;&gt;",$G$5:G170,"&lt;&gt;Отменён"),"")</f>
        <v/>
      </c>
    </row>
    <row r="171" spans="1:11">
      <c r="A171" t="str">
        <f>IF(B171="","","VIS_"&amp;(YEAR(B171)*10000+MONTH(B171)*100+DAY(B171))&amp;"_"&amp;IF(COUNTIF($B$5:B171,B171)&lt;10,"00"&amp;COUNTIF($B$5:B171,B171),IF(COUNTIF($B$5:B171,B171)&lt;100,"0"&amp;COUNTIF($B$5:B171,B171),COUNTIF($B$5:B171,B171))))</f>
        <v>VIS_20260602_001</v>
      </c>
      <c r="B171" s="40">
        <v>46175</v>
      </c>
      <c r="C171" s="47" t="str">
        <f t="shared" si="4"/>
        <v>Вт</v>
      </c>
      <c r="D171" t="s">
        <v>35</v>
      </c>
      <c r="E171" t="s">
        <v>34</v>
      </c>
      <c r="F171" t="s">
        <v>30</v>
      </c>
      <c r="G171" t="s">
        <v>31</v>
      </c>
      <c r="I171" s="46">
        <v>200</v>
      </c>
      <c r="J171" s="39">
        <f t="shared" si="5"/>
        <v>46169</v>
      </c>
      <c r="K171" t="str">
        <f ca="1">IF(AND(B171&gt;='План недели'!$B$4,B171&lt;'План недели'!$D$4,D171&lt;&gt;"",G171&lt;&gt;"Отменён"),COUNTIFS($B$5:B171,"&gt;="&amp;'План недели'!$B$4,$B$5:B171,"&lt;"&amp;'План недели'!$D$4,$D$5:D171,"&lt;&gt;",$G$5:G171,"&lt;&gt;Отменён"),"")</f>
        <v/>
      </c>
    </row>
    <row r="172" spans="1:11">
      <c r="A172" t="str">
        <f>IF(B172="","","VIS_"&amp;(YEAR(B172)*10000+MONTH(B172)*100+DAY(B172))&amp;"_"&amp;IF(COUNTIF($B$5:B172,B172)&lt;10,"00"&amp;COUNTIF($B$5:B172,B172),IF(COUNTIF($B$5:B172,B172)&lt;100,"0"&amp;COUNTIF($B$5:B172,B172),COUNTIF($B$5:B172,B172))))</f>
        <v>VIS_20260603_001</v>
      </c>
      <c r="B172" s="40">
        <v>46176</v>
      </c>
      <c r="C172" s="47" t="str">
        <f t="shared" si="4"/>
        <v>Ср</v>
      </c>
      <c r="D172" t="s">
        <v>28</v>
      </c>
      <c r="E172" t="s">
        <v>34</v>
      </c>
      <c r="F172" t="s">
        <v>30</v>
      </c>
      <c r="G172" t="s">
        <v>31</v>
      </c>
      <c r="I172" s="46">
        <v>557</v>
      </c>
      <c r="J172" s="39">
        <f t="shared" si="5"/>
        <v>46176</v>
      </c>
      <c r="K172" t="str">
        <f ca="1">IF(AND(B172&gt;='План недели'!$B$4,B172&lt;'План недели'!$D$4,D172&lt;&gt;"",G172&lt;&gt;"Отменён"),COUNTIFS($B$5:B172,"&gt;="&amp;'План недели'!$B$4,$B$5:B172,"&lt;"&amp;'План недели'!$D$4,$D$5:D172,"&lt;&gt;",$G$5:G172,"&lt;&gt;Отменён"),"")</f>
        <v/>
      </c>
    </row>
    <row r="173" spans="1:11">
      <c r="A173" t="str">
        <f>IF(B173="","","VIS_"&amp;(YEAR(B173)*10000+MONTH(B173)*100+DAY(B173))&amp;"_"&amp;IF(COUNTIF($B$5:B173,B173)&lt;10,"00"&amp;COUNTIF($B$5:B173,B173),IF(COUNTIF($B$5:B173,B173)&lt;100,"0"&amp;COUNTIF($B$5:B173,B173),COUNTIF($B$5:B173,B173))))</f>
        <v>VIS_20260604_001</v>
      </c>
      <c r="B173" s="40">
        <v>46177</v>
      </c>
      <c r="C173" s="47" t="str">
        <f t="shared" si="4"/>
        <v>Чт</v>
      </c>
      <c r="D173" t="s">
        <v>36</v>
      </c>
      <c r="E173" t="s">
        <v>34</v>
      </c>
      <c r="F173" t="s">
        <v>30</v>
      </c>
      <c r="G173" t="s">
        <v>31</v>
      </c>
      <c r="I173" s="46">
        <v>194</v>
      </c>
      <c r="J173" s="39">
        <f t="shared" si="5"/>
        <v>46176</v>
      </c>
      <c r="K173" t="str">
        <f ca="1">IF(AND(B173&gt;='План недели'!$B$4,B173&lt;'План недели'!$D$4,D173&lt;&gt;"",G173&lt;&gt;"Отменён"),COUNTIFS($B$5:B173,"&gt;="&amp;'План недели'!$B$4,$B$5:B173,"&lt;"&amp;'План недели'!$D$4,$D$5:D173,"&lt;&gt;",$G$5:G173,"&lt;&gt;Отменён"),"")</f>
        <v/>
      </c>
    </row>
    <row r="174" spans="1:11">
      <c r="A174" t="str">
        <f>IF(B174="","","VIS_"&amp;(YEAR(B174)*10000+MONTH(B174)*100+DAY(B174))&amp;"_"&amp;IF(COUNTIF($B$5:B174,B174)&lt;10,"00"&amp;COUNTIF($B$5:B174,B174),IF(COUNTIF($B$5:B174,B174)&lt;100,"0"&amp;COUNTIF($B$5:B174,B174),COUNTIF($B$5:B174,B174))))</f>
        <v>VIS_20260605_001</v>
      </c>
      <c r="B174" s="40">
        <v>46178</v>
      </c>
      <c r="C174" s="47" t="str">
        <f t="shared" si="4"/>
        <v>Пт</v>
      </c>
      <c r="D174" t="s">
        <v>28</v>
      </c>
      <c r="E174" t="s">
        <v>34</v>
      </c>
      <c r="F174" t="s">
        <v>30</v>
      </c>
      <c r="G174" t="s">
        <v>31</v>
      </c>
      <c r="I174" s="46">
        <v>557</v>
      </c>
      <c r="J174" s="39">
        <f t="shared" si="5"/>
        <v>46176</v>
      </c>
      <c r="K174" t="str">
        <f ca="1">IF(AND(B174&gt;='План недели'!$B$4,B174&lt;'План недели'!$D$4,D174&lt;&gt;"",G174&lt;&gt;"Отменён"),COUNTIFS($B$5:B174,"&gt;="&amp;'План недели'!$B$4,$B$5:B174,"&lt;"&amp;'План недели'!$D$4,$D$5:D174,"&lt;&gt;",$G$5:G174,"&lt;&gt;Отменён"),"")</f>
        <v/>
      </c>
    </row>
    <row r="175" spans="1:11">
      <c r="A175" t="str">
        <f>IF(B175="","","VIS_"&amp;(YEAR(B175)*10000+MONTH(B175)*100+DAY(B175))&amp;"_"&amp;IF(COUNTIF($B$5:B175,B175)&lt;10,"00"&amp;COUNTIF($B$5:B175,B175),IF(COUNTIF($B$5:B175,B175)&lt;100,"0"&amp;COUNTIF($B$5:B175,B175),COUNTIF($B$5:B175,B175))))</f>
        <v>VIS_20260606_001</v>
      </c>
      <c r="B175" s="42">
        <v>46179</v>
      </c>
      <c r="C175" s="49" t="str">
        <f t="shared" si="4"/>
        <v>Сб</v>
      </c>
      <c r="I175" s="46"/>
      <c r="J175" s="39">
        <f t="shared" si="5"/>
        <v>46176</v>
      </c>
      <c r="K175" t="str">
        <f ca="1">IF(AND(B175&gt;='План недели'!$B$4,B175&lt;'План недели'!$D$4,D175&lt;&gt;"",G175&lt;&gt;"Отменён"),COUNTIFS($B$5:B175,"&gt;="&amp;'План недели'!$B$4,$B$5:B175,"&lt;"&amp;'План недели'!$D$4,$D$5:D175,"&lt;&gt;",$G$5:G175,"&lt;&gt;Отменён"),"")</f>
        <v/>
      </c>
    </row>
    <row r="176" spans="1:11">
      <c r="A176" t="str">
        <f>IF(B176="","","VIS_"&amp;(YEAR(B176)*10000+MONTH(B176)*100+DAY(B176))&amp;"_"&amp;IF(COUNTIF($B$5:B176,B176)&lt;10,"00"&amp;COUNTIF($B$5:B176,B176),IF(COUNTIF($B$5:B176,B176)&lt;100,"0"&amp;COUNTIF($B$5:B176,B176),COUNTIF($B$5:B176,B176))))</f>
        <v>VIS_20260607_001</v>
      </c>
      <c r="B176" s="42">
        <v>46180</v>
      </c>
      <c r="C176" s="49" t="str">
        <f t="shared" si="4"/>
        <v>Вс</v>
      </c>
      <c r="I176" s="46"/>
      <c r="J176" s="39">
        <f t="shared" si="5"/>
        <v>46176</v>
      </c>
      <c r="K176" t="str">
        <f ca="1">IF(AND(B176&gt;='План недели'!$B$4,B176&lt;'План недели'!$D$4,D176&lt;&gt;"",G176&lt;&gt;"Отменён"),COUNTIFS($B$5:B176,"&gt;="&amp;'План недели'!$B$4,$B$5:B176,"&lt;"&amp;'План недели'!$D$4,$D$5:D176,"&lt;&gt;",$G$5:G176,"&lt;&gt;Отменён"),"")</f>
        <v/>
      </c>
    </row>
    <row r="177" spans="1:11">
      <c r="A177" t="str">
        <f>IF(B177="","","VIS_"&amp;(YEAR(B177)*10000+MONTH(B177)*100+DAY(B177))&amp;"_"&amp;IF(COUNTIF($B$5:B177,B177)&lt;10,"00"&amp;COUNTIF($B$5:B177,B177),IF(COUNTIF($B$5:B177,B177)&lt;100,"0"&amp;COUNTIF($B$5:B177,B177),COUNTIF($B$5:B177,B177))))</f>
        <v>VIS_20260608_001</v>
      </c>
      <c r="B177" s="40">
        <v>46181</v>
      </c>
      <c r="C177" s="47" t="str">
        <f t="shared" si="4"/>
        <v>Пн</v>
      </c>
      <c r="D177" t="s">
        <v>28</v>
      </c>
      <c r="E177" t="s">
        <v>34</v>
      </c>
      <c r="F177" t="s">
        <v>30</v>
      </c>
      <c r="G177" t="s">
        <v>31</v>
      </c>
      <c r="I177" s="46">
        <v>557</v>
      </c>
      <c r="J177" s="39">
        <f t="shared" si="5"/>
        <v>46176</v>
      </c>
      <c r="K177" t="str">
        <f ca="1">IF(AND(B177&gt;='План недели'!$B$4,B177&lt;'План недели'!$D$4,D177&lt;&gt;"",G177&lt;&gt;"Отменён"),COUNTIFS($B$5:B177,"&gt;="&amp;'План недели'!$B$4,$B$5:B177,"&lt;"&amp;'План недели'!$D$4,$D$5:D177,"&lt;&gt;",$G$5:G177,"&lt;&gt;Отменён"),"")</f>
        <v/>
      </c>
    </row>
    <row r="178" spans="1:11">
      <c r="A178" t="str">
        <f>IF(B178="","","VIS_"&amp;(YEAR(B178)*10000+MONTH(B178)*100+DAY(B178))&amp;"_"&amp;IF(COUNTIF($B$5:B178,B178)&lt;10,"00"&amp;COUNTIF($B$5:B178,B178),IF(COUNTIF($B$5:B178,B178)&lt;100,"0"&amp;COUNTIF($B$5:B178,B178),COUNTIF($B$5:B178,B178))))</f>
        <v>VIS_20260609_001</v>
      </c>
      <c r="B178" s="40">
        <v>46182</v>
      </c>
      <c r="C178" s="47" t="str">
        <f t="shared" si="4"/>
        <v>Вт</v>
      </c>
      <c r="D178" t="s">
        <v>37</v>
      </c>
      <c r="E178" t="s">
        <v>34</v>
      </c>
      <c r="F178" t="s">
        <v>30</v>
      </c>
      <c r="G178" t="s">
        <v>31</v>
      </c>
      <c r="I178" s="46">
        <v>366</v>
      </c>
      <c r="J178" s="39">
        <f t="shared" si="5"/>
        <v>46176</v>
      </c>
      <c r="K178" t="str">
        <f ca="1">IF(AND(B178&gt;='План недели'!$B$4,B178&lt;'План недели'!$D$4,D178&lt;&gt;"",G178&lt;&gt;"Отменён"),COUNTIFS($B$5:B178,"&gt;="&amp;'План недели'!$B$4,$B$5:B178,"&lt;"&amp;'План недели'!$D$4,$D$5:D178,"&lt;&gt;",$G$5:G178,"&lt;&gt;Отменён"),"")</f>
        <v/>
      </c>
    </row>
    <row r="179" spans="1:11">
      <c r="A179" t="str">
        <f>IF(B179="","","VIS_"&amp;(YEAR(B179)*10000+MONTH(B179)*100+DAY(B179))&amp;"_"&amp;IF(COUNTIF($B$5:B179,B179)&lt;10,"00"&amp;COUNTIF($B$5:B179,B179),IF(COUNTIF($B$5:B179,B179)&lt;100,"0"&amp;COUNTIF($B$5:B179,B179),COUNTIF($B$5:B179,B179))))</f>
        <v>VIS_20260609_002</v>
      </c>
      <c r="B179" s="40">
        <v>46182</v>
      </c>
      <c r="C179" s="47" t="str">
        <f t="shared" si="4"/>
        <v>Вт</v>
      </c>
      <c r="D179" t="s">
        <v>38</v>
      </c>
      <c r="E179" t="s">
        <v>34</v>
      </c>
      <c r="F179" t="s">
        <v>30</v>
      </c>
      <c r="G179" t="s">
        <v>31</v>
      </c>
      <c r="I179" s="46">
        <v>15</v>
      </c>
      <c r="J179" s="39">
        <f t="shared" si="5"/>
        <v>46176</v>
      </c>
      <c r="K179" t="str">
        <f ca="1">IF(AND(B179&gt;='План недели'!$B$4,B179&lt;'План недели'!$D$4,D179&lt;&gt;"",G179&lt;&gt;"Отменён"),COUNTIFS($B$5:B179,"&gt;="&amp;'План недели'!$B$4,$B$5:B179,"&lt;"&amp;'План недели'!$D$4,$D$5:D179,"&lt;&gt;",$G$5:G179,"&lt;&gt;Отменён"),"")</f>
        <v/>
      </c>
    </row>
    <row r="180" spans="1:11">
      <c r="A180" t="str">
        <f>IF(B180="","","VIS_"&amp;(YEAR(B180)*10000+MONTH(B180)*100+DAY(B180))&amp;"_"&amp;IF(COUNTIF($B$5:B180,B180)&lt;10,"00"&amp;COUNTIF($B$5:B180,B180),IF(COUNTIF($B$5:B180,B180)&lt;100,"0"&amp;COUNTIF($B$5:B180,B180),COUNTIF($B$5:B180,B180))))</f>
        <v>VIS_20260610_001</v>
      </c>
      <c r="B180" s="40">
        <v>46183</v>
      </c>
      <c r="C180" s="47" t="str">
        <f t="shared" si="4"/>
        <v>Ср</v>
      </c>
      <c r="D180" t="s">
        <v>28</v>
      </c>
      <c r="E180" t="s">
        <v>34</v>
      </c>
      <c r="F180" t="s">
        <v>30</v>
      </c>
      <c r="G180" t="s">
        <v>31</v>
      </c>
      <c r="I180" s="46">
        <v>557</v>
      </c>
      <c r="J180" s="39">
        <f t="shared" si="5"/>
        <v>46183</v>
      </c>
      <c r="K180" t="str">
        <f ca="1">IF(AND(B180&gt;='План недели'!$B$4,B180&lt;'План недели'!$D$4,D180&lt;&gt;"",G180&lt;&gt;"Отменён"),COUNTIFS($B$5:B180,"&gt;="&amp;'План недели'!$B$4,$B$5:B180,"&lt;"&amp;'План недели'!$D$4,$D$5:D180,"&lt;&gt;",$G$5:G180,"&lt;&gt;Отменён"),"")</f>
        <v/>
      </c>
    </row>
    <row r="181" spans="1:11">
      <c r="A181" t="str">
        <f>IF(B181="","","VIS_"&amp;(YEAR(B181)*10000+MONTH(B181)*100+DAY(B181))&amp;"_"&amp;IF(COUNTIF($B$5:B181,B181)&lt;10,"00"&amp;COUNTIF($B$5:B181,B181),IF(COUNTIF($B$5:B181,B181)&lt;100,"0"&amp;COUNTIF($B$5:B181,B181),COUNTIF($B$5:B181,B181))))</f>
        <v>VIS_20260611_001</v>
      </c>
      <c r="B181" s="40">
        <v>46184</v>
      </c>
      <c r="C181" s="47" t="str">
        <f t="shared" si="4"/>
        <v>Чт</v>
      </c>
      <c r="D181" t="s">
        <v>38</v>
      </c>
      <c r="E181" t="s">
        <v>34</v>
      </c>
      <c r="F181" t="s">
        <v>30</v>
      </c>
      <c r="G181" t="s">
        <v>31</v>
      </c>
      <c r="H181" t="s">
        <v>39</v>
      </c>
      <c r="I181" s="46">
        <v>15</v>
      </c>
      <c r="J181" s="39">
        <f t="shared" si="5"/>
        <v>46183</v>
      </c>
      <c r="K181" t="str">
        <f ca="1">IF(AND(B181&gt;='План недели'!$B$4,B181&lt;'План недели'!$D$4,D181&lt;&gt;"",G181&lt;&gt;"Отменён"),COUNTIFS($B$5:B181,"&gt;="&amp;'План недели'!$B$4,$B$5:B181,"&lt;"&amp;'План недели'!$D$4,$D$5:D181,"&lt;&gt;",$G$5:G181,"&lt;&gt;Отменён"),"")</f>
        <v/>
      </c>
    </row>
    <row r="182" spans="1:11">
      <c r="A182" t="str">
        <f>IF(B182="","","VIS_"&amp;(YEAR(B182)*10000+MONTH(B182)*100+DAY(B182))&amp;"_"&amp;IF(COUNTIF($B$5:B182,B182)&lt;10,"00"&amp;COUNTIF($B$5:B182,B182),IF(COUNTIF($B$5:B182,B182)&lt;100,"0"&amp;COUNTIF($B$5:B182,B182),COUNTIF($B$5:B182,B182))))</f>
        <v>VIS_20260611_002</v>
      </c>
      <c r="B182" s="40">
        <v>46184</v>
      </c>
      <c r="C182" s="47" t="str">
        <f t="shared" si="4"/>
        <v>Чт</v>
      </c>
      <c r="D182" t="s">
        <v>40</v>
      </c>
      <c r="E182" t="s">
        <v>34</v>
      </c>
      <c r="F182" t="s">
        <v>30</v>
      </c>
      <c r="G182" t="s">
        <v>31</v>
      </c>
      <c r="H182" t="s">
        <v>39</v>
      </c>
      <c r="I182" s="46">
        <v>24</v>
      </c>
      <c r="J182" s="39">
        <f t="shared" si="5"/>
        <v>46183</v>
      </c>
      <c r="K182" t="str">
        <f ca="1">IF(AND(B182&gt;='План недели'!$B$4,B182&lt;'План недели'!$D$4,D182&lt;&gt;"",G182&lt;&gt;"Отменён"),COUNTIFS($B$5:B182,"&gt;="&amp;'План недели'!$B$4,$B$5:B182,"&lt;"&amp;'План недели'!$D$4,$D$5:D182,"&lt;&gt;",$G$5:G182,"&lt;&gt;Отменён"),"")</f>
        <v/>
      </c>
    </row>
    <row r="183" spans="1:11">
      <c r="A183" t="str">
        <f>IF(B183="","","VIS_"&amp;(YEAR(B183)*10000+MONTH(B183)*100+DAY(B183))&amp;"_"&amp;IF(COUNTIF($B$5:B183,B183)&lt;10,"00"&amp;COUNTIF($B$5:B183,B183),IF(COUNTIF($B$5:B183,B183)&lt;100,"0"&amp;COUNTIF($B$5:B183,B183),COUNTIF($B$5:B183,B183))))</f>
        <v>VIS_20260611_003</v>
      </c>
      <c r="B183" s="40">
        <v>46184</v>
      </c>
      <c r="C183" s="47" t="str">
        <f t="shared" si="4"/>
        <v>Чт</v>
      </c>
      <c r="D183" t="s">
        <v>41</v>
      </c>
      <c r="E183" t="s">
        <v>34</v>
      </c>
      <c r="F183" t="s">
        <v>30</v>
      </c>
      <c r="G183" t="s">
        <v>31</v>
      </c>
      <c r="H183" t="s">
        <v>39</v>
      </c>
      <c r="I183" s="46">
        <v>22</v>
      </c>
      <c r="J183" s="39">
        <f t="shared" si="5"/>
        <v>46183</v>
      </c>
      <c r="K183" t="str">
        <f ca="1">IF(AND(B183&gt;='План недели'!$B$4,B183&lt;'План недели'!$D$4,D183&lt;&gt;"",G183&lt;&gt;"Отменён"),COUNTIFS($B$5:B183,"&gt;="&amp;'План недели'!$B$4,$B$5:B183,"&lt;"&amp;'План недели'!$D$4,$D$5:D183,"&lt;&gt;",$G$5:G183,"&lt;&gt;Отменён"),"")</f>
        <v/>
      </c>
    </row>
    <row r="184" spans="1:11">
      <c r="A184" t="str">
        <f>IF(B184="","","VIS_"&amp;(YEAR(B184)*10000+MONTH(B184)*100+DAY(B184))&amp;"_"&amp;IF(COUNTIF($B$5:B184,B184)&lt;10,"00"&amp;COUNTIF($B$5:B184,B184),IF(COUNTIF($B$5:B184,B184)&lt;100,"0"&amp;COUNTIF($B$5:B184,B184),COUNTIF($B$5:B184,B184))))</f>
        <v>VIS_20260611_004</v>
      </c>
      <c r="B184" s="40">
        <v>46184</v>
      </c>
      <c r="C184" s="47" t="str">
        <f t="shared" si="4"/>
        <v>Чт</v>
      </c>
      <c r="D184" t="s">
        <v>42</v>
      </c>
      <c r="E184" t="s">
        <v>34</v>
      </c>
      <c r="F184" t="s">
        <v>30</v>
      </c>
      <c r="G184" t="s">
        <v>31</v>
      </c>
      <c r="H184" t="s">
        <v>39</v>
      </c>
      <c r="I184" s="46">
        <v>16</v>
      </c>
      <c r="J184" s="39">
        <f t="shared" si="5"/>
        <v>46183</v>
      </c>
      <c r="K184" t="str">
        <f ca="1">IF(AND(B184&gt;='План недели'!$B$4,B184&lt;'План недели'!$D$4,D184&lt;&gt;"",G184&lt;&gt;"Отменён"),COUNTIFS($B$5:B184,"&gt;="&amp;'План недели'!$B$4,$B$5:B184,"&lt;"&amp;'План недели'!$D$4,$D$5:D184,"&lt;&gt;",$G$5:G184,"&lt;&gt;Отменён"),"")</f>
        <v/>
      </c>
    </row>
    <row r="185" spans="1:11">
      <c r="A185" t="str">
        <f>IF(B185="","","VIS_"&amp;(YEAR(B185)*10000+MONTH(B185)*100+DAY(B185))&amp;"_"&amp;IF(COUNTIF($B$5:B185,B185)&lt;10,"00"&amp;COUNTIF($B$5:B185,B185),IF(COUNTIF($B$5:B185,B185)&lt;100,"0"&amp;COUNTIF($B$5:B185,B185),COUNTIF($B$5:B185,B185))))</f>
        <v>VIS_20260611_005</v>
      </c>
      <c r="B185" s="40">
        <v>46184</v>
      </c>
      <c r="C185" s="47" t="str">
        <f t="shared" si="4"/>
        <v>Чт</v>
      </c>
      <c r="D185" t="s">
        <v>43</v>
      </c>
      <c r="E185" t="s">
        <v>34</v>
      </c>
      <c r="F185" t="s">
        <v>30</v>
      </c>
      <c r="G185" t="s">
        <v>31</v>
      </c>
      <c r="H185" t="s">
        <v>39</v>
      </c>
      <c r="I185" s="46">
        <v>24</v>
      </c>
      <c r="J185" s="39">
        <f t="shared" si="5"/>
        <v>46183</v>
      </c>
      <c r="K185" t="str">
        <f ca="1">IF(AND(B185&gt;='План недели'!$B$4,B185&lt;'План недели'!$D$4,D185&lt;&gt;"",G185&lt;&gt;"Отменён"),COUNTIFS($B$5:B185,"&gt;="&amp;'План недели'!$B$4,$B$5:B185,"&lt;"&amp;'План недели'!$D$4,$D$5:D185,"&lt;&gt;",$G$5:G185,"&lt;&gt;Отменён"),"")</f>
        <v/>
      </c>
    </row>
    <row r="186" spans="1:11">
      <c r="A186" t="str">
        <f>IF(B186="","","VIS_"&amp;(YEAR(B186)*10000+MONTH(B186)*100+DAY(B186))&amp;"_"&amp;IF(COUNTIF($B$5:B186,B186)&lt;10,"00"&amp;COUNTIF($B$5:B186,B186),IF(COUNTIF($B$5:B186,B186)&lt;100,"0"&amp;COUNTIF($B$5:B186,B186),COUNTIF($B$5:B186,B186))))</f>
        <v>VIS_20260611_006</v>
      </c>
      <c r="B186" s="40">
        <v>46184</v>
      </c>
      <c r="C186" s="47" t="str">
        <f t="shared" si="4"/>
        <v>Чт</v>
      </c>
      <c r="D186" t="s">
        <v>44</v>
      </c>
      <c r="E186" t="s">
        <v>34</v>
      </c>
      <c r="F186" t="s">
        <v>30</v>
      </c>
      <c r="G186" t="s">
        <v>31</v>
      </c>
      <c r="H186" t="s">
        <v>39</v>
      </c>
      <c r="I186" s="46">
        <v>19</v>
      </c>
      <c r="J186" s="39">
        <f t="shared" si="5"/>
        <v>46183</v>
      </c>
      <c r="K186" t="str">
        <f ca="1">IF(AND(B186&gt;='План недели'!$B$4,B186&lt;'План недели'!$D$4,D186&lt;&gt;"",G186&lt;&gt;"Отменён"),COUNTIFS($B$5:B186,"&gt;="&amp;'План недели'!$B$4,$B$5:B186,"&lt;"&amp;'План недели'!$D$4,$D$5:D186,"&lt;&gt;",$G$5:G186,"&lt;&gt;Отменён"),"")</f>
        <v/>
      </c>
    </row>
    <row r="187" spans="1:11">
      <c r="A187" t="str">
        <f>IF(B187="","","VIS_"&amp;(YEAR(B187)*10000+MONTH(B187)*100+DAY(B187))&amp;"_"&amp;IF(COUNTIF($B$5:B187,B187)&lt;10,"00"&amp;COUNTIF($B$5:B187,B187),IF(COUNTIF($B$5:B187,B187)&lt;100,"0"&amp;COUNTIF($B$5:B187,B187),COUNTIF($B$5:B187,B187))))</f>
        <v>VIS_20260611_007</v>
      </c>
      <c r="B187" s="40">
        <v>46184</v>
      </c>
      <c r="C187" s="47" t="str">
        <f t="shared" si="4"/>
        <v>Чт</v>
      </c>
      <c r="D187" t="s">
        <v>45</v>
      </c>
      <c r="E187" t="s">
        <v>34</v>
      </c>
      <c r="F187" t="s">
        <v>30</v>
      </c>
      <c r="G187" t="s">
        <v>31</v>
      </c>
      <c r="H187" t="s">
        <v>39</v>
      </c>
      <c r="I187" s="46">
        <v>31</v>
      </c>
      <c r="J187" s="39">
        <f t="shared" si="5"/>
        <v>46183</v>
      </c>
      <c r="K187" t="str">
        <f ca="1">IF(AND(B187&gt;='План недели'!$B$4,B187&lt;'План недели'!$D$4,D187&lt;&gt;"",G187&lt;&gt;"Отменён"),COUNTIFS($B$5:B187,"&gt;="&amp;'План недели'!$B$4,$B$5:B187,"&lt;"&amp;'План недели'!$D$4,$D$5:D187,"&lt;&gt;",$G$5:G187,"&lt;&gt;Отменён"),"")</f>
        <v/>
      </c>
    </row>
    <row r="188" spans="1:11">
      <c r="A188" t="str">
        <f>IF(B188="","","VIS_"&amp;(YEAR(B188)*10000+MONTH(B188)*100+DAY(B188))&amp;"_"&amp;IF(COUNTIF($B$5:B188,B188)&lt;10,"00"&amp;COUNTIF($B$5:B188,B188),IF(COUNTIF($B$5:B188,B188)&lt;100,"0"&amp;COUNTIF($B$5:B188,B188),COUNTIF($B$5:B188,B188))))</f>
        <v>VIS_20260612_001</v>
      </c>
      <c r="B188" s="42">
        <v>46185</v>
      </c>
      <c r="C188" s="49" t="str">
        <f t="shared" si="4"/>
        <v>Пт</v>
      </c>
      <c r="I188" s="46"/>
      <c r="J188" s="39">
        <f t="shared" si="5"/>
        <v>46183</v>
      </c>
      <c r="K188" t="str">
        <f ca="1">IF(AND(B188&gt;='План недели'!$B$4,B188&lt;'План недели'!$D$4,D188&lt;&gt;"",G188&lt;&gt;"Отменён"),COUNTIFS($B$5:B188,"&gt;="&amp;'План недели'!$B$4,$B$5:B188,"&lt;"&amp;'План недели'!$D$4,$D$5:D188,"&lt;&gt;",$G$5:G188,"&lt;&gt;Отменён"),"")</f>
        <v/>
      </c>
    </row>
    <row r="189" spans="1:11">
      <c r="A189" t="str">
        <f>IF(B189="","","VIS_"&amp;(YEAR(B189)*10000+MONTH(B189)*100+DAY(B189))&amp;"_"&amp;IF(COUNTIF($B$5:B189,B189)&lt;10,"00"&amp;COUNTIF($B$5:B189,B189),IF(COUNTIF($B$5:B189,B189)&lt;100,"0"&amp;COUNTIF($B$5:B189,B189),COUNTIF($B$5:B189,B189))))</f>
        <v>VIS_20260613_001</v>
      </c>
      <c r="B189" s="42">
        <v>46186</v>
      </c>
      <c r="C189" s="49" t="str">
        <f t="shared" si="4"/>
        <v>Сб</v>
      </c>
      <c r="I189" s="46"/>
      <c r="J189" s="39">
        <f t="shared" si="5"/>
        <v>46183</v>
      </c>
      <c r="K189" t="str">
        <f ca="1">IF(AND(B189&gt;='План недели'!$B$4,B189&lt;'План недели'!$D$4,D189&lt;&gt;"",G189&lt;&gt;"Отменён"),COUNTIFS($B$5:B189,"&gt;="&amp;'План недели'!$B$4,$B$5:B189,"&lt;"&amp;'План недели'!$D$4,$D$5:D189,"&lt;&gt;",$G$5:G189,"&lt;&gt;Отменён"),"")</f>
        <v/>
      </c>
    </row>
    <row r="190" spans="1:11">
      <c r="A190" t="str">
        <f>IF(B190="","","VIS_"&amp;(YEAR(B190)*10000+MONTH(B190)*100+DAY(B190))&amp;"_"&amp;IF(COUNTIF($B$5:B190,B190)&lt;10,"00"&amp;COUNTIF($B$5:B190,B190),IF(COUNTIF($B$5:B190,B190)&lt;100,"0"&amp;COUNTIF($B$5:B190,B190),COUNTIF($B$5:B190,B190))))</f>
        <v>VIS_20260614_001</v>
      </c>
      <c r="B190" s="42">
        <v>46187</v>
      </c>
      <c r="C190" s="49" t="str">
        <f t="shared" si="4"/>
        <v>Вс</v>
      </c>
      <c r="I190" s="46"/>
      <c r="J190" s="39">
        <f t="shared" si="5"/>
        <v>46183</v>
      </c>
      <c r="K190" t="str">
        <f ca="1">IF(AND(B190&gt;='План недели'!$B$4,B190&lt;'План недели'!$D$4,D190&lt;&gt;"",G190&lt;&gt;"Отменён"),COUNTIFS($B$5:B190,"&gt;="&amp;'План недели'!$B$4,$B$5:B190,"&lt;"&amp;'План недели'!$D$4,$D$5:D190,"&lt;&gt;",$G$5:G190,"&lt;&gt;Отменён"),"")</f>
        <v/>
      </c>
    </row>
    <row r="191" spans="1:11">
      <c r="A191" t="str">
        <f>IF(B191="","","VIS_"&amp;(YEAR(B191)*10000+MONTH(B191)*100+DAY(B191))&amp;"_"&amp;IF(COUNTIF($B$5:B191,B191)&lt;10,"00"&amp;COUNTIF($B$5:B191,B191),IF(COUNTIF($B$5:B191,B191)&lt;100,"0"&amp;COUNTIF($B$5:B191,B191),COUNTIF($B$5:B191,B191))))</f>
        <v>VIS_20260615_001</v>
      </c>
      <c r="B191" s="40">
        <v>46188</v>
      </c>
      <c r="C191" s="47" t="str">
        <f t="shared" si="4"/>
        <v>Пн</v>
      </c>
      <c r="I191" s="46"/>
      <c r="J191" s="39">
        <f t="shared" si="5"/>
        <v>46183</v>
      </c>
      <c r="K191" t="str">
        <f ca="1">IF(AND(B191&gt;='План недели'!$B$4,B191&lt;'План недели'!$D$4,D191&lt;&gt;"",G191&lt;&gt;"Отменён"),COUNTIFS($B$5:B191,"&gt;="&amp;'План недели'!$B$4,$B$5:B191,"&lt;"&amp;'План недели'!$D$4,$D$5:D191,"&lt;&gt;",$G$5:G191,"&lt;&gt;Отменён"),"")</f>
        <v/>
      </c>
    </row>
    <row r="192" spans="1:11">
      <c r="A192" t="str">
        <f>IF(B192="","","VIS_"&amp;(YEAR(B192)*10000+MONTH(B192)*100+DAY(B192))&amp;"_"&amp;IF(COUNTIF($B$5:B192,B192)&lt;10,"00"&amp;COUNTIF($B$5:B192,B192),IF(COUNTIF($B$5:B192,B192)&lt;100,"0"&amp;COUNTIF($B$5:B192,B192),COUNTIF($B$5:B192,B192))))</f>
        <v>VIS_20260616_001</v>
      </c>
      <c r="B192" s="40">
        <v>46189</v>
      </c>
      <c r="C192" s="47" t="str">
        <f t="shared" si="4"/>
        <v>Вт</v>
      </c>
      <c r="D192" t="s">
        <v>32</v>
      </c>
      <c r="E192" t="s">
        <v>34</v>
      </c>
      <c r="F192" t="s">
        <v>30</v>
      </c>
      <c r="G192" t="s">
        <v>31</v>
      </c>
      <c r="I192" s="46">
        <v>445</v>
      </c>
      <c r="J192" s="39">
        <f t="shared" si="5"/>
        <v>46183</v>
      </c>
      <c r="K192" t="str">
        <f ca="1">IF(AND(B192&gt;='План недели'!$B$4,B192&lt;'План недели'!$D$4,D192&lt;&gt;"",G192&lt;&gt;"Отменён"),COUNTIFS($B$5:B192,"&gt;="&amp;'План недели'!$B$4,$B$5:B192,"&lt;"&amp;'План недели'!$D$4,$D$5:D192,"&lt;&gt;",$G$5:G192,"&lt;&gt;Отменён"),"")</f>
        <v/>
      </c>
    </row>
    <row r="193" spans="1:11">
      <c r="A193" t="str">
        <f>IF(B193="","","VIS_"&amp;(YEAR(B193)*10000+MONTH(B193)*100+DAY(B193))&amp;"_"&amp;IF(COUNTIF($B$5:B193,B193)&lt;10,"00"&amp;COUNTIF($B$5:B193,B193),IF(COUNTIF($B$5:B193,B193)&lt;100,"0"&amp;COUNTIF($B$5:B193,B193),COUNTIF($B$5:B193,B193))))</f>
        <v>VIS_20260617_001</v>
      </c>
      <c r="B193" s="40">
        <v>46190</v>
      </c>
      <c r="C193" s="47" t="str">
        <f t="shared" si="4"/>
        <v>Ср</v>
      </c>
      <c r="D193" t="s">
        <v>35</v>
      </c>
      <c r="E193" t="s">
        <v>34</v>
      </c>
      <c r="F193" t="s">
        <v>30</v>
      </c>
      <c r="G193" t="s">
        <v>31</v>
      </c>
      <c r="I193" s="46">
        <v>200</v>
      </c>
      <c r="J193" s="39">
        <f t="shared" si="5"/>
        <v>46190</v>
      </c>
      <c r="K193" t="str">
        <f ca="1">IF(AND(B193&gt;='План недели'!$B$4,B193&lt;'План недели'!$D$4,D193&lt;&gt;"",G193&lt;&gt;"Отменён"),COUNTIFS($B$5:B193,"&gt;="&amp;'План недели'!$B$4,$B$5:B193,"&lt;"&amp;'План недели'!$D$4,$D$5:D193,"&lt;&gt;",$G$5:G193,"&lt;&gt;Отменён"),"")</f>
        <v/>
      </c>
    </row>
    <row r="194" spans="1:11">
      <c r="A194" t="str">
        <f>IF(B194="","","VIS_"&amp;(YEAR(B194)*10000+MONTH(B194)*100+DAY(B194))&amp;"_"&amp;IF(COUNTIF($B$5:B194,B194)&lt;10,"00"&amp;COUNTIF($B$5:B194,B194),IF(COUNTIF($B$5:B194,B194)&lt;100,"0"&amp;COUNTIF($B$5:B194,B194),COUNTIF($B$5:B194,B194))))</f>
        <v>VIS_20260618_001</v>
      </c>
      <c r="B194" s="40">
        <v>46191</v>
      </c>
      <c r="C194" s="47" t="str">
        <f t="shared" si="4"/>
        <v>Чт</v>
      </c>
      <c r="D194" t="s">
        <v>33</v>
      </c>
      <c r="E194" t="s">
        <v>34</v>
      </c>
      <c r="F194" t="s">
        <v>30</v>
      </c>
      <c r="G194" t="s">
        <v>31</v>
      </c>
      <c r="I194" s="46">
        <v>355</v>
      </c>
      <c r="J194" s="39">
        <f t="shared" si="5"/>
        <v>46190</v>
      </c>
      <c r="K194" t="str">
        <f ca="1">IF(AND(B194&gt;='План недели'!$B$4,B194&lt;'План недели'!$D$4,D194&lt;&gt;"",G194&lt;&gt;"Отменён"),COUNTIFS($B$5:B194,"&gt;="&amp;'План недели'!$B$4,$B$5:B194,"&lt;"&amp;'План недели'!$D$4,$D$5:D194,"&lt;&gt;",$G$5:G194,"&lt;&gt;Отменён"),"")</f>
        <v/>
      </c>
    </row>
    <row r="195" spans="1:11">
      <c r="A195" t="str">
        <f>IF(B195="","","VIS_"&amp;(YEAR(B195)*10000+MONTH(B195)*100+DAY(B195))&amp;"_"&amp;IF(COUNTIF($B$5:B195,B195)&lt;10,"00"&amp;COUNTIF($B$5:B195,B195),IF(COUNTIF($B$5:B195,B195)&lt;100,"0"&amp;COUNTIF($B$5:B195,B195),COUNTIF($B$5:B195,B195))))</f>
        <v>VIS_20260619_001</v>
      </c>
      <c r="B195" s="40">
        <v>46192</v>
      </c>
      <c r="C195" s="47" t="str">
        <f t="shared" si="4"/>
        <v>Пт</v>
      </c>
      <c r="D195" t="s">
        <v>28</v>
      </c>
      <c r="E195" t="s">
        <v>34</v>
      </c>
      <c r="F195" t="s">
        <v>30</v>
      </c>
      <c r="G195" t="s">
        <v>31</v>
      </c>
      <c r="I195" s="46">
        <v>557</v>
      </c>
      <c r="J195" s="39">
        <f t="shared" si="5"/>
        <v>46190</v>
      </c>
      <c r="K195" t="str">
        <f ca="1">IF(AND(B195&gt;='План недели'!$B$4,B195&lt;'План недели'!$D$4,D195&lt;&gt;"",G195&lt;&gt;"Отменён"),COUNTIFS($B$5:B195,"&gt;="&amp;'План недели'!$B$4,$B$5:B195,"&lt;"&amp;'План недели'!$D$4,$D$5:D195,"&lt;&gt;",$G$5:G195,"&lt;&gt;Отменён"),"")</f>
        <v/>
      </c>
    </row>
    <row r="196" spans="1:11">
      <c r="A196" t="str">
        <f>IF(B196="","","VIS_"&amp;(YEAR(B196)*10000+MONTH(B196)*100+DAY(B196))&amp;"_"&amp;IF(COUNTIF($B$5:B196,B196)&lt;10,"00"&amp;COUNTIF($B$5:B196,B196),IF(COUNTIF($B$5:B196,B196)&lt;100,"0"&amp;COUNTIF($B$5:B196,B196),COUNTIF($B$5:B196,B196))))</f>
        <v>VIS_20260620_001</v>
      </c>
      <c r="B196" s="42">
        <v>46193</v>
      </c>
      <c r="C196" s="49" t="str">
        <f t="shared" si="4"/>
        <v>Сб</v>
      </c>
      <c r="I196" s="46"/>
      <c r="J196" s="39">
        <f t="shared" si="5"/>
        <v>46190</v>
      </c>
      <c r="K196" t="str">
        <f ca="1">IF(AND(B196&gt;='План недели'!$B$4,B196&lt;'План недели'!$D$4,D196&lt;&gt;"",G196&lt;&gt;"Отменён"),COUNTIFS($B$5:B196,"&gt;="&amp;'План недели'!$B$4,$B$5:B196,"&lt;"&amp;'План недели'!$D$4,$D$5:D196,"&lt;&gt;",$G$5:G196,"&lt;&gt;Отменён"),"")</f>
        <v/>
      </c>
    </row>
    <row r="197" spans="1:11">
      <c r="A197" t="str">
        <f>IF(B197="","","VIS_"&amp;(YEAR(B197)*10000+MONTH(B197)*100+DAY(B197))&amp;"_"&amp;IF(COUNTIF($B$5:B197,B197)&lt;10,"00"&amp;COUNTIF($B$5:B197,B197),IF(COUNTIF($B$5:B197,B197)&lt;100,"0"&amp;COUNTIF($B$5:B197,B197),COUNTIF($B$5:B197,B197))))</f>
        <v>VIS_20260621_001</v>
      </c>
      <c r="B197" s="42">
        <v>46194</v>
      </c>
      <c r="C197" s="49" t="str">
        <f t="shared" ref="C197:C260" si="6">IF(B197="","",CHOOSE(WEEKDAY(B197,2),"Пн","Вт","Ср","Чт","Пт","Сб","Вс"))</f>
        <v>Вс</v>
      </c>
      <c r="I197" s="46"/>
      <c r="J197" s="39">
        <f t="shared" ref="J197:J260" si="7">IF(B197="","",B197-MOD(WEEKDAY(B197,2)-3,7))</f>
        <v>46190</v>
      </c>
      <c r="K197" t="str">
        <f ca="1">IF(AND(B197&gt;='План недели'!$B$4,B197&lt;'План недели'!$D$4,D197&lt;&gt;"",G197&lt;&gt;"Отменён"),COUNTIFS($B$5:B197,"&gt;="&amp;'План недели'!$B$4,$B$5:B197,"&lt;"&amp;'План недели'!$D$4,$D$5:D197,"&lt;&gt;",$G$5:G197,"&lt;&gt;Отменён"),"")</f>
        <v/>
      </c>
    </row>
    <row r="198" spans="1:11">
      <c r="A198" t="str">
        <f>IF(B198="","","VIS_"&amp;(YEAR(B198)*10000+MONTH(B198)*100+DAY(B198))&amp;"_"&amp;IF(COUNTIF($B$5:B198,B198)&lt;10,"00"&amp;COUNTIF($B$5:B198,B198),IF(COUNTIF($B$5:B198,B198)&lt;100,"0"&amp;COUNTIF($B$5:B198,B198),COUNTIF($B$5:B198,B198))))</f>
        <v>VIS_20260622_001</v>
      </c>
      <c r="B198" s="40">
        <v>46195</v>
      </c>
      <c r="C198" s="47" t="str">
        <f t="shared" si="6"/>
        <v>Пн</v>
      </c>
      <c r="D198" t="s">
        <v>32</v>
      </c>
      <c r="E198" t="s">
        <v>34</v>
      </c>
      <c r="F198" t="s">
        <v>30</v>
      </c>
      <c r="G198" t="s">
        <v>31</v>
      </c>
      <c r="I198" s="46">
        <v>445</v>
      </c>
      <c r="J198" s="39">
        <f t="shared" si="7"/>
        <v>46190</v>
      </c>
      <c r="K198" t="str">
        <f ca="1">IF(AND(B198&gt;='План недели'!$B$4,B198&lt;'План недели'!$D$4,D198&lt;&gt;"",G198&lt;&gt;"Отменён"),COUNTIFS($B$5:B198,"&gt;="&amp;'План недели'!$B$4,$B$5:B198,"&lt;"&amp;'План недели'!$D$4,$D$5:D198,"&lt;&gt;",$G$5:G198,"&lt;&gt;Отменён"),"")</f>
        <v/>
      </c>
    </row>
    <row r="199" spans="1:11">
      <c r="A199" t="str">
        <f>IF(B199="","","VIS_"&amp;(YEAR(B199)*10000+MONTH(B199)*100+DAY(B199))&amp;"_"&amp;IF(COUNTIF($B$5:B199,B199)&lt;10,"00"&amp;COUNTIF($B$5:B199,B199),IF(COUNTIF($B$5:B199,B199)&lt;100,"0"&amp;COUNTIF($B$5:B199,B199),COUNTIF($B$5:B199,B199))))</f>
        <v>VIS_20260623_001</v>
      </c>
      <c r="B199" s="40">
        <v>46196</v>
      </c>
      <c r="C199" s="47" t="str">
        <f t="shared" si="6"/>
        <v>Вт</v>
      </c>
      <c r="D199" t="s">
        <v>37</v>
      </c>
      <c r="E199" t="s">
        <v>34</v>
      </c>
      <c r="F199" t="s">
        <v>30</v>
      </c>
      <c r="G199" t="s">
        <v>31</v>
      </c>
      <c r="I199" s="46">
        <v>366</v>
      </c>
      <c r="J199" s="39">
        <f t="shared" si="7"/>
        <v>46190</v>
      </c>
      <c r="K199" t="str">
        <f ca="1">IF(AND(B199&gt;='План недели'!$B$4,B199&lt;'План недели'!$D$4,D199&lt;&gt;"",G199&lt;&gt;"Отменён"),COUNTIFS($B$5:B199,"&gt;="&amp;'План недели'!$B$4,$B$5:B199,"&lt;"&amp;'План недели'!$D$4,$D$5:D199,"&lt;&gt;",$G$5:G199,"&lt;&gt;Отменён"),"")</f>
        <v/>
      </c>
    </row>
    <row r="200" spans="1:11">
      <c r="A200" t="str">
        <f>IF(B200="","","VIS_"&amp;(YEAR(B200)*10000+MONTH(B200)*100+DAY(B200))&amp;"_"&amp;IF(COUNTIF($B$5:B200,B200)&lt;10,"00"&amp;COUNTIF($B$5:B200,B200),IF(COUNTIF($B$5:B200,B200)&lt;100,"0"&amp;COUNTIF($B$5:B200,B200),COUNTIF($B$5:B200,B200))))</f>
        <v>VIS_20260623_002</v>
      </c>
      <c r="B200" s="40">
        <v>46196</v>
      </c>
      <c r="C200" s="47" t="str">
        <f t="shared" si="6"/>
        <v>Вт</v>
      </c>
      <c r="D200" t="s">
        <v>38</v>
      </c>
      <c r="E200" t="s">
        <v>34</v>
      </c>
      <c r="F200" t="s">
        <v>30</v>
      </c>
      <c r="G200" t="s">
        <v>31</v>
      </c>
      <c r="I200" s="46">
        <v>15</v>
      </c>
      <c r="J200" s="39">
        <f t="shared" si="7"/>
        <v>46190</v>
      </c>
      <c r="K200" t="str">
        <f ca="1">IF(AND(B200&gt;='План недели'!$B$4,B200&lt;'План недели'!$D$4,D200&lt;&gt;"",G200&lt;&gt;"Отменён"),COUNTIFS($B$5:B200,"&gt;="&amp;'План недели'!$B$4,$B$5:B200,"&lt;"&amp;'План недели'!$D$4,$D$5:D200,"&lt;&gt;",$G$5:G200,"&lt;&gt;Отменён"),"")</f>
        <v/>
      </c>
    </row>
    <row r="201" spans="1:11">
      <c r="A201" t="str">
        <f>IF(B201="","","VIS_"&amp;(YEAR(B201)*10000+MONTH(B201)*100+DAY(B201))&amp;"_"&amp;IF(COUNTIF($B$5:B201,B201)&lt;10,"00"&amp;COUNTIF($B$5:B201,B201),IF(COUNTIF($B$5:B201,B201)&lt;100,"0"&amp;COUNTIF($B$5:B201,B201),COUNTIF($B$5:B201,B201))))</f>
        <v>VIS_20260624_001</v>
      </c>
      <c r="B201" s="40">
        <v>46197</v>
      </c>
      <c r="C201" s="47" t="str">
        <f t="shared" si="6"/>
        <v>Ср</v>
      </c>
      <c r="D201" t="s">
        <v>36</v>
      </c>
      <c r="E201" t="s">
        <v>34</v>
      </c>
      <c r="F201" t="s">
        <v>30</v>
      </c>
      <c r="G201" t="s">
        <v>31</v>
      </c>
      <c r="I201" s="46">
        <v>194</v>
      </c>
      <c r="J201" s="39">
        <f t="shared" si="7"/>
        <v>46197</v>
      </c>
      <c r="K201" t="str">
        <f ca="1">IF(AND(B201&gt;='План недели'!$B$4,B201&lt;'План недели'!$D$4,D201&lt;&gt;"",G201&lt;&gt;"Отменён"),COUNTIFS($B$5:B201,"&gt;="&amp;'План недели'!$B$4,$B$5:B201,"&lt;"&amp;'План недели'!$D$4,$D$5:D201,"&lt;&gt;",$G$5:G201,"&lt;&gt;Отменён"),"")</f>
        <v/>
      </c>
    </row>
    <row r="202" spans="1:11">
      <c r="A202" t="str">
        <f>IF(B202="","","VIS_"&amp;(YEAR(B202)*10000+MONTH(B202)*100+DAY(B202))&amp;"_"&amp;IF(COUNTIF($B$5:B202,B202)&lt;10,"00"&amp;COUNTIF($B$5:B202,B202),IF(COUNTIF($B$5:B202,B202)&lt;100,"0"&amp;COUNTIF($B$5:B202,B202),COUNTIF($B$5:B202,B202))))</f>
        <v>VIS_20260625_001</v>
      </c>
      <c r="B202" s="40">
        <v>46198</v>
      </c>
      <c r="C202" s="47" t="str">
        <f t="shared" si="6"/>
        <v>Чт</v>
      </c>
      <c r="D202" t="s">
        <v>35</v>
      </c>
      <c r="E202" t="s">
        <v>34</v>
      </c>
      <c r="F202" t="s">
        <v>30</v>
      </c>
      <c r="G202" t="s">
        <v>31</v>
      </c>
      <c r="I202" s="46">
        <v>200</v>
      </c>
      <c r="J202" s="39">
        <f t="shared" si="7"/>
        <v>46197</v>
      </c>
      <c r="K202" t="str">
        <f ca="1">IF(AND(B202&gt;='План недели'!$B$4,B202&lt;'План недели'!$D$4,D202&lt;&gt;"",G202&lt;&gt;"Отменён"),COUNTIFS($B$5:B202,"&gt;="&amp;'План недели'!$B$4,$B$5:B202,"&lt;"&amp;'План недели'!$D$4,$D$5:D202,"&lt;&gt;",$G$5:G202,"&lt;&gt;Отменён"),"")</f>
        <v/>
      </c>
    </row>
    <row r="203" spans="1:11">
      <c r="A203" t="str">
        <f>IF(B203="","","VIS_"&amp;(YEAR(B203)*10000+MONTH(B203)*100+DAY(B203))&amp;"_"&amp;IF(COUNTIF($B$5:B203,B203)&lt;10,"00"&amp;COUNTIF($B$5:B203,B203),IF(COUNTIF($B$5:B203,B203)&lt;100,"0"&amp;COUNTIF($B$5:B203,B203),COUNTIF($B$5:B203,B203))))</f>
        <v>VIS_20260626_001</v>
      </c>
      <c r="B203" s="40">
        <v>46199</v>
      </c>
      <c r="C203" s="47" t="str">
        <f t="shared" si="6"/>
        <v>Пт</v>
      </c>
      <c r="D203" t="s">
        <v>28</v>
      </c>
      <c r="E203" t="s">
        <v>34</v>
      </c>
      <c r="F203" t="s">
        <v>30</v>
      </c>
      <c r="G203" t="s">
        <v>31</v>
      </c>
      <c r="I203" s="46">
        <v>557</v>
      </c>
      <c r="J203" s="39">
        <f t="shared" si="7"/>
        <v>46197</v>
      </c>
      <c r="K203" t="str">
        <f ca="1">IF(AND(B203&gt;='План недели'!$B$4,B203&lt;'План недели'!$D$4,D203&lt;&gt;"",G203&lt;&gt;"Отменён"),COUNTIFS($B$5:B203,"&gt;="&amp;'План недели'!$B$4,$B$5:B203,"&lt;"&amp;'План недели'!$D$4,$D$5:D203,"&lt;&gt;",$G$5:G203,"&lt;&gt;Отменён"),"")</f>
        <v/>
      </c>
    </row>
    <row r="204" spans="1:11">
      <c r="A204" t="str">
        <f>IF(B204="","","VIS_"&amp;(YEAR(B204)*10000+MONTH(B204)*100+DAY(B204))&amp;"_"&amp;IF(COUNTIF($B$5:B204,B204)&lt;10,"00"&amp;COUNTIF($B$5:B204,B204),IF(COUNTIF($B$5:B204,B204)&lt;100,"0"&amp;COUNTIF($B$5:B204,B204),COUNTIF($B$5:B204,B204))))</f>
        <v>VIS_20260627_001</v>
      </c>
      <c r="B204" s="42">
        <v>46200</v>
      </c>
      <c r="C204" s="49" t="str">
        <f t="shared" si="6"/>
        <v>Сб</v>
      </c>
      <c r="I204" s="46"/>
      <c r="J204" s="39">
        <f t="shared" si="7"/>
        <v>46197</v>
      </c>
      <c r="K204" t="str">
        <f ca="1">IF(AND(B204&gt;='План недели'!$B$4,B204&lt;'План недели'!$D$4,D204&lt;&gt;"",G204&lt;&gt;"Отменён"),COUNTIFS($B$5:B204,"&gt;="&amp;'План недели'!$B$4,$B$5:B204,"&lt;"&amp;'План недели'!$D$4,$D$5:D204,"&lt;&gt;",$G$5:G204,"&lt;&gt;Отменён"),"")</f>
        <v/>
      </c>
    </row>
    <row r="205" spans="1:11">
      <c r="A205" t="str">
        <f>IF(B205="","","VIS_"&amp;(YEAR(B205)*10000+MONTH(B205)*100+DAY(B205))&amp;"_"&amp;IF(COUNTIF($B$5:B205,B205)&lt;10,"00"&amp;COUNTIF($B$5:B205,B205),IF(COUNTIF($B$5:B205,B205)&lt;100,"0"&amp;COUNTIF($B$5:B205,B205),COUNTIF($B$5:B205,B205))))</f>
        <v>VIS_20260628_001</v>
      </c>
      <c r="B205" s="42">
        <v>46201</v>
      </c>
      <c r="C205" s="49" t="str">
        <f t="shared" si="6"/>
        <v>Вс</v>
      </c>
      <c r="I205" s="46"/>
      <c r="J205" s="39">
        <f t="shared" si="7"/>
        <v>46197</v>
      </c>
      <c r="K205" t="str">
        <f ca="1">IF(AND(B205&gt;='План недели'!$B$4,B205&lt;'План недели'!$D$4,D205&lt;&gt;"",G205&lt;&gt;"Отменён"),COUNTIFS($B$5:B205,"&gt;="&amp;'План недели'!$B$4,$B$5:B205,"&lt;"&amp;'План недели'!$D$4,$D$5:D205,"&lt;&gt;",$G$5:G205,"&lt;&gt;Отменён"),"")</f>
        <v/>
      </c>
    </row>
    <row r="206" spans="1:11">
      <c r="A206" t="str">
        <f>IF(B206="","","VIS_"&amp;(YEAR(B206)*10000+MONTH(B206)*100+DAY(B206))&amp;"_"&amp;IF(COUNTIF($B$5:B206,B206)&lt;10,"00"&amp;COUNTIF($B$5:B206,B206),IF(COUNTIF($B$5:B206,B206)&lt;100,"0"&amp;COUNTIF($B$5:B206,B206),COUNTIF($B$5:B206,B206))))</f>
        <v>VIS_20260629_001</v>
      </c>
      <c r="B206" s="40">
        <v>46202</v>
      </c>
      <c r="C206" s="47" t="str">
        <f t="shared" si="6"/>
        <v>Пн</v>
      </c>
      <c r="D206" t="s">
        <v>32</v>
      </c>
      <c r="E206" t="s">
        <v>29</v>
      </c>
      <c r="F206" t="s">
        <v>30</v>
      </c>
      <c r="G206" t="s">
        <v>31</v>
      </c>
      <c r="I206" s="46">
        <v>445</v>
      </c>
      <c r="J206" s="39">
        <f t="shared" si="7"/>
        <v>46197</v>
      </c>
      <c r="K206" t="str">
        <f ca="1">IF(AND(B206&gt;='План недели'!$B$4,B206&lt;'План недели'!$D$4,D206&lt;&gt;"",G206&lt;&gt;"Отменён"),COUNTIFS($B$5:B206,"&gt;="&amp;'План недели'!$B$4,$B$5:B206,"&lt;"&amp;'План недели'!$D$4,$D$5:D206,"&lt;&gt;",$G$5:G206,"&lt;&gt;Отменён"),"")</f>
        <v/>
      </c>
    </row>
    <row r="207" spans="1:11">
      <c r="A207" t="str">
        <f>IF(B207="","","VIS_"&amp;(YEAR(B207)*10000+MONTH(B207)*100+DAY(B207))&amp;"_"&amp;IF(COUNTIF($B$5:B207,B207)&lt;10,"00"&amp;COUNTIF($B$5:B207,B207),IF(COUNTIF($B$5:B207,B207)&lt;100,"0"&amp;COUNTIF($B$5:B207,B207),COUNTIF($B$5:B207,B207))))</f>
        <v>VIS_20260630_001</v>
      </c>
      <c r="B207" s="40">
        <v>46203</v>
      </c>
      <c r="C207" s="47" t="str">
        <f t="shared" si="6"/>
        <v>Вт</v>
      </c>
      <c r="D207" t="s">
        <v>38</v>
      </c>
      <c r="E207" t="s">
        <v>29</v>
      </c>
      <c r="F207" t="s">
        <v>30</v>
      </c>
      <c r="G207" t="s">
        <v>31</v>
      </c>
      <c r="H207" t="s">
        <v>39</v>
      </c>
      <c r="I207" s="46">
        <v>15</v>
      </c>
      <c r="J207" s="39">
        <f t="shared" si="7"/>
        <v>46197</v>
      </c>
      <c r="K207" t="str">
        <f ca="1">IF(AND(B207&gt;='План недели'!$B$4,B207&lt;'План недели'!$D$4,D207&lt;&gt;"",G207&lt;&gt;"Отменён"),COUNTIFS($B$5:B207,"&gt;="&amp;'План недели'!$B$4,$B$5:B207,"&lt;"&amp;'План недели'!$D$4,$D$5:D207,"&lt;&gt;",$G$5:G207,"&lt;&gt;Отменён"),"")</f>
        <v/>
      </c>
    </row>
    <row r="208" spans="1:11">
      <c r="A208" t="str">
        <f>IF(B208="","","VIS_"&amp;(YEAR(B208)*10000+MONTH(B208)*100+DAY(B208))&amp;"_"&amp;IF(COUNTIF($B$5:B208,B208)&lt;10,"00"&amp;COUNTIF($B$5:B208,B208),IF(COUNTIF($B$5:B208,B208)&lt;100,"0"&amp;COUNTIF($B$5:B208,B208),COUNTIF($B$5:B208,B208))))</f>
        <v>VIS_20260630_002</v>
      </c>
      <c r="B208" s="40">
        <v>46203</v>
      </c>
      <c r="C208" s="47" t="str">
        <f t="shared" si="6"/>
        <v>Вт</v>
      </c>
      <c r="D208" t="s">
        <v>40</v>
      </c>
      <c r="E208" t="s">
        <v>29</v>
      </c>
      <c r="F208" t="s">
        <v>30</v>
      </c>
      <c r="G208" t="s">
        <v>31</v>
      </c>
      <c r="H208" t="s">
        <v>39</v>
      </c>
      <c r="I208" s="46">
        <v>24</v>
      </c>
      <c r="J208" s="39">
        <f t="shared" si="7"/>
        <v>46197</v>
      </c>
      <c r="K208" t="str">
        <f ca="1">IF(AND(B208&gt;='План недели'!$B$4,B208&lt;'План недели'!$D$4,D208&lt;&gt;"",G208&lt;&gt;"Отменён"),COUNTIFS($B$5:B208,"&gt;="&amp;'План недели'!$B$4,$B$5:B208,"&lt;"&amp;'План недели'!$D$4,$D$5:D208,"&lt;&gt;",$G$5:G208,"&lt;&gt;Отменён"),"")</f>
        <v/>
      </c>
    </row>
    <row r="209" spans="1:11">
      <c r="A209" t="str">
        <f>IF(B209="","","VIS_"&amp;(YEAR(B209)*10000+MONTH(B209)*100+DAY(B209))&amp;"_"&amp;IF(COUNTIF($B$5:B209,B209)&lt;10,"00"&amp;COUNTIF($B$5:B209,B209),IF(COUNTIF($B$5:B209,B209)&lt;100,"0"&amp;COUNTIF($B$5:B209,B209),COUNTIF($B$5:B209,B209))))</f>
        <v>VIS_20260630_003</v>
      </c>
      <c r="B209" s="40">
        <v>46203</v>
      </c>
      <c r="C209" s="47" t="str">
        <f t="shared" si="6"/>
        <v>Вт</v>
      </c>
      <c r="D209" t="s">
        <v>41</v>
      </c>
      <c r="E209" t="s">
        <v>29</v>
      </c>
      <c r="F209" t="s">
        <v>30</v>
      </c>
      <c r="G209" t="s">
        <v>31</v>
      </c>
      <c r="H209" t="s">
        <v>39</v>
      </c>
      <c r="I209" s="46">
        <v>22</v>
      </c>
      <c r="J209" s="39">
        <f t="shared" si="7"/>
        <v>46197</v>
      </c>
      <c r="K209" t="str">
        <f ca="1">IF(AND(B209&gt;='План недели'!$B$4,B209&lt;'План недели'!$D$4,D209&lt;&gt;"",G209&lt;&gt;"Отменён"),COUNTIFS($B$5:B209,"&gt;="&amp;'План недели'!$B$4,$B$5:B209,"&lt;"&amp;'План недели'!$D$4,$D$5:D209,"&lt;&gt;",$G$5:G209,"&lt;&gt;Отменён"),"")</f>
        <v/>
      </c>
    </row>
    <row r="210" spans="1:11">
      <c r="A210" t="str">
        <f>IF(B210="","","VIS_"&amp;(YEAR(B210)*10000+MONTH(B210)*100+DAY(B210))&amp;"_"&amp;IF(COUNTIF($B$5:B210,B210)&lt;10,"00"&amp;COUNTIF($B$5:B210,B210),IF(COUNTIF($B$5:B210,B210)&lt;100,"0"&amp;COUNTIF($B$5:B210,B210),COUNTIF($B$5:B210,B210))))</f>
        <v>VIS_20260630_004</v>
      </c>
      <c r="B210" s="40">
        <v>46203</v>
      </c>
      <c r="C210" s="47" t="str">
        <f t="shared" si="6"/>
        <v>Вт</v>
      </c>
      <c r="D210" t="s">
        <v>42</v>
      </c>
      <c r="E210" t="s">
        <v>29</v>
      </c>
      <c r="F210" t="s">
        <v>30</v>
      </c>
      <c r="G210" t="s">
        <v>31</v>
      </c>
      <c r="H210" t="s">
        <v>39</v>
      </c>
      <c r="I210" s="46">
        <v>16</v>
      </c>
      <c r="J210" s="39">
        <f t="shared" si="7"/>
        <v>46197</v>
      </c>
      <c r="K210" t="str">
        <f ca="1">IF(AND(B210&gt;='План недели'!$B$4,B210&lt;'План недели'!$D$4,D210&lt;&gt;"",G210&lt;&gt;"Отменён"),COUNTIFS($B$5:B210,"&gt;="&amp;'План недели'!$B$4,$B$5:B210,"&lt;"&amp;'План недели'!$D$4,$D$5:D210,"&lt;&gt;",$G$5:G210,"&lt;&gt;Отменён"),"")</f>
        <v/>
      </c>
    </row>
    <row r="211" spans="1:11">
      <c r="A211" t="str">
        <f>IF(B211="","","VIS_"&amp;(YEAR(B211)*10000+MONTH(B211)*100+DAY(B211))&amp;"_"&amp;IF(COUNTIF($B$5:B211,B211)&lt;10,"00"&amp;COUNTIF($B$5:B211,B211),IF(COUNTIF($B$5:B211,B211)&lt;100,"0"&amp;COUNTIF($B$5:B211,B211),COUNTIF($B$5:B211,B211))))</f>
        <v>VIS_20260630_005</v>
      </c>
      <c r="B211" s="40">
        <v>46203</v>
      </c>
      <c r="C211" s="47" t="str">
        <f t="shared" si="6"/>
        <v>Вт</v>
      </c>
      <c r="D211" t="s">
        <v>43</v>
      </c>
      <c r="E211" t="s">
        <v>29</v>
      </c>
      <c r="F211" t="s">
        <v>30</v>
      </c>
      <c r="G211" t="s">
        <v>31</v>
      </c>
      <c r="H211" t="s">
        <v>39</v>
      </c>
      <c r="I211" s="46">
        <v>24</v>
      </c>
      <c r="J211" s="39">
        <f t="shared" si="7"/>
        <v>46197</v>
      </c>
      <c r="K211" t="str">
        <f ca="1">IF(AND(B211&gt;='План недели'!$B$4,B211&lt;'План недели'!$D$4,D211&lt;&gt;"",G211&lt;&gt;"Отменён"),COUNTIFS($B$5:B211,"&gt;="&amp;'План недели'!$B$4,$B$5:B211,"&lt;"&amp;'План недели'!$D$4,$D$5:D211,"&lt;&gt;",$G$5:G211,"&lt;&gt;Отменён"),"")</f>
        <v/>
      </c>
    </row>
    <row r="212" spans="1:11">
      <c r="A212" t="str">
        <f>IF(B212="","","VIS_"&amp;(YEAR(B212)*10000+MONTH(B212)*100+DAY(B212))&amp;"_"&amp;IF(COUNTIF($B$5:B212,B212)&lt;10,"00"&amp;COUNTIF($B$5:B212,B212),IF(COUNTIF($B$5:B212,B212)&lt;100,"0"&amp;COUNTIF($B$5:B212,B212),COUNTIF($B$5:B212,B212))))</f>
        <v>VIS_20260630_006</v>
      </c>
      <c r="B212" s="40">
        <v>46203</v>
      </c>
      <c r="C212" s="47" t="str">
        <f t="shared" si="6"/>
        <v>Вт</v>
      </c>
      <c r="D212" t="s">
        <v>44</v>
      </c>
      <c r="E212" t="s">
        <v>29</v>
      </c>
      <c r="F212" t="s">
        <v>30</v>
      </c>
      <c r="G212" t="s">
        <v>31</v>
      </c>
      <c r="H212" t="s">
        <v>39</v>
      </c>
      <c r="I212" s="46">
        <v>19</v>
      </c>
      <c r="J212" s="39">
        <f t="shared" si="7"/>
        <v>46197</v>
      </c>
      <c r="K212" t="str">
        <f ca="1">IF(AND(B212&gt;='План недели'!$B$4,B212&lt;'План недели'!$D$4,D212&lt;&gt;"",G212&lt;&gt;"Отменён"),COUNTIFS($B$5:B212,"&gt;="&amp;'План недели'!$B$4,$B$5:B212,"&lt;"&amp;'План недели'!$D$4,$D$5:D212,"&lt;&gt;",$G$5:G212,"&lt;&gt;Отменён"),"")</f>
        <v/>
      </c>
    </row>
    <row r="213" spans="1:11">
      <c r="A213" t="str">
        <f>IF(B213="","","VIS_"&amp;(YEAR(B213)*10000+MONTH(B213)*100+DAY(B213))&amp;"_"&amp;IF(COUNTIF($B$5:B213,B213)&lt;10,"00"&amp;COUNTIF($B$5:B213,B213),IF(COUNTIF($B$5:B213,B213)&lt;100,"0"&amp;COUNTIF($B$5:B213,B213),COUNTIF($B$5:B213,B213))))</f>
        <v>VIS_20260630_007</v>
      </c>
      <c r="B213" s="40">
        <v>46203</v>
      </c>
      <c r="C213" s="47" t="str">
        <f t="shared" si="6"/>
        <v>Вт</v>
      </c>
      <c r="D213" t="s">
        <v>45</v>
      </c>
      <c r="E213" t="s">
        <v>29</v>
      </c>
      <c r="F213" t="s">
        <v>30</v>
      </c>
      <c r="G213" t="s">
        <v>31</v>
      </c>
      <c r="H213" t="s">
        <v>39</v>
      </c>
      <c r="I213" s="46">
        <v>31</v>
      </c>
      <c r="J213" s="39">
        <f t="shared" si="7"/>
        <v>46197</v>
      </c>
      <c r="K213" t="str">
        <f ca="1">IF(AND(B213&gt;='План недели'!$B$4,B213&lt;'План недели'!$D$4,D213&lt;&gt;"",G213&lt;&gt;"Отменён"),COUNTIFS($B$5:B213,"&gt;="&amp;'План недели'!$B$4,$B$5:B213,"&lt;"&amp;'План недели'!$D$4,$D$5:D213,"&lt;&gt;",$G$5:G213,"&lt;&gt;Отменён"),"")</f>
        <v/>
      </c>
    </row>
    <row r="214" spans="1:11">
      <c r="A214" t="str">
        <f>IF(B214="","","VIS_"&amp;(YEAR(B214)*10000+MONTH(B214)*100+DAY(B214))&amp;"_"&amp;IF(COUNTIF($B$5:B214,B214)&lt;10,"00"&amp;COUNTIF($B$5:B214,B214),IF(COUNTIF($B$5:B214,B214)&lt;100,"0"&amp;COUNTIF($B$5:B214,B214),COUNTIF($B$5:B214,B214))))</f>
        <v>VIS_20260630_008</v>
      </c>
      <c r="B214" s="40">
        <v>46203</v>
      </c>
      <c r="C214" s="47" t="str">
        <f t="shared" si="6"/>
        <v>Вт</v>
      </c>
      <c r="D214" t="s">
        <v>46</v>
      </c>
      <c r="E214" t="s">
        <v>29</v>
      </c>
      <c r="F214" t="s">
        <v>30</v>
      </c>
      <c r="G214" t="s">
        <v>31</v>
      </c>
      <c r="I214" s="46">
        <v>364</v>
      </c>
      <c r="J214" s="39">
        <f t="shared" si="7"/>
        <v>46197</v>
      </c>
      <c r="K214" t="str">
        <f ca="1">IF(AND(B214&gt;='План недели'!$B$4,B214&lt;'План недели'!$D$4,D214&lt;&gt;"",G214&lt;&gt;"Отменён"),COUNTIFS($B$5:B214,"&gt;="&amp;'План недели'!$B$4,$B$5:B214,"&lt;"&amp;'План недели'!$D$4,$D$5:D214,"&lt;&gt;",$G$5:G214,"&lt;&gt;Отменён"),"")</f>
        <v/>
      </c>
    </row>
    <row r="215" spans="1:11">
      <c r="A215" t="str">
        <f>IF(B215="","","VIS_"&amp;(YEAR(B215)*10000+MONTH(B215)*100+DAY(B215))&amp;"_"&amp;IF(COUNTIF($B$5:B215,B215)&lt;10,"00"&amp;COUNTIF($B$5:B215,B215),IF(COUNTIF($B$5:B215,B215)&lt;100,"0"&amp;COUNTIF($B$5:B215,B215),COUNTIF($B$5:B215,B215))))</f>
        <v>VIS_20260701_001</v>
      </c>
      <c r="B215" s="40">
        <v>46204</v>
      </c>
      <c r="C215" s="47" t="str">
        <f t="shared" si="6"/>
        <v>Ср</v>
      </c>
      <c r="D215" t="s">
        <v>35</v>
      </c>
      <c r="E215" t="s">
        <v>29</v>
      </c>
      <c r="F215" t="s">
        <v>30</v>
      </c>
      <c r="G215" t="s">
        <v>31</v>
      </c>
      <c r="I215" s="46">
        <v>200</v>
      </c>
      <c r="J215" s="39">
        <f t="shared" si="7"/>
        <v>46204</v>
      </c>
      <c r="K215" t="str">
        <f ca="1">IF(AND(B215&gt;='План недели'!$B$4,B215&lt;'План недели'!$D$4,D215&lt;&gt;"",G215&lt;&gt;"Отменён"),COUNTIFS($B$5:B215,"&gt;="&amp;'План недели'!$B$4,$B$5:B215,"&lt;"&amp;'План недели'!$D$4,$D$5:D215,"&lt;&gt;",$G$5:G215,"&lt;&gt;Отменён"),"")</f>
        <v/>
      </c>
    </row>
    <row r="216" spans="1:11">
      <c r="A216" t="str">
        <f>IF(B216="","","VIS_"&amp;(YEAR(B216)*10000+MONTH(B216)*100+DAY(B216))&amp;"_"&amp;IF(COUNTIF($B$5:B216,B216)&lt;10,"00"&amp;COUNTIF($B$5:B216,B216),IF(COUNTIF($B$5:B216,B216)&lt;100,"0"&amp;COUNTIF($B$5:B216,B216),COUNTIF($B$5:B216,B216))))</f>
        <v>VIS_20260701_002</v>
      </c>
      <c r="B216" s="40">
        <v>46204</v>
      </c>
      <c r="C216" s="47" t="str">
        <f t="shared" si="6"/>
        <v>Ср</v>
      </c>
      <c r="D216" t="s">
        <v>47</v>
      </c>
      <c r="E216" t="s">
        <v>29</v>
      </c>
      <c r="F216" t="s">
        <v>30</v>
      </c>
      <c r="G216" t="s">
        <v>31</v>
      </c>
      <c r="I216" s="46">
        <v>334</v>
      </c>
      <c r="J216" s="39">
        <f t="shared" si="7"/>
        <v>46204</v>
      </c>
      <c r="K216" t="str">
        <f ca="1">IF(AND(B216&gt;='План недели'!$B$4,B216&lt;'План недели'!$D$4,D216&lt;&gt;"",G216&lt;&gt;"Отменён"),COUNTIFS($B$5:B216,"&gt;="&amp;'План недели'!$B$4,$B$5:B216,"&lt;"&amp;'План недели'!$D$4,$D$5:D216,"&lt;&gt;",$G$5:G216,"&lt;&gt;Отменён"),"")</f>
        <v/>
      </c>
    </row>
    <row r="217" spans="1:11">
      <c r="A217" t="str">
        <f>IF(B217="","","VIS_"&amp;(YEAR(B217)*10000+MONTH(B217)*100+DAY(B217))&amp;"_"&amp;IF(COUNTIF($B$5:B217,B217)&lt;10,"00"&amp;COUNTIF($B$5:B217,B217),IF(COUNTIF($B$5:B217,B217)&lt;100,"0"&amp;COUNTIF($B$5:B217,B217),COUNTIF($B$5:B217,B217))))</f>
        <v>VIS_20260702_001</v>
      </c>
      <c r="B217" s="40">
        <v>46205</v>
      </c>
      <c r="C217" s="47" t="str">
        <f t="shared" si="6"/>
        <v>Чт</v>
      </c>
      <c r="D217" t="s">
        <v>37</v>
      </c>
      <c r="E217" t="s">
        <v>29</v>
      </c>
      <c r="F217" t="s">
        <v>30</v>
      </c>
      <c r="G217" t="s">
        <v>31</v>
      </c>
      <c r="I217" s="46">
        <v>366</v>
      </c>
      <c r="J217" s="39">
        <f t="shared" si="7"/>
        <v>46204</v>
      </c>
      <c r="K217" t="str">
        <f ca="1">IF(AND(B217&gt;='План недели'!$B$4,B217&lt;'План недели'!$D$4,D217&lt;&gt;"",G217&lt;&gt;"Отменён"),COUNTIFS($B$5:B217,"&gt;="&amp;'План недели'!$B$4,$B$5:B217,"&lt;"&amp;'План недели'!$D$4,$D$5:D217,"&lt;&gt;",$G$5:G217,"&lt;&gt;Отменён"),"")</f>
        <v/>
      </c>
    </row>
    <row r="218" spans="1:11">
      <c r="A218" t="str">
        <f>IF(B218="","","VIS_"&amp;(YEAR(B218)*10000+MONTH(B218)*100+DAY(B218))&amp;"_"&amp;IF(COUNTIF($B$5:B218,B218)&lt;10,"00"&amp;COUNTIF($B$5:B218,B218),IF(COUNTIF($B$5:B218,B218)&lt;100,"0"&amp;COUNTIF($B$5:B218,B218),COUNTIF($B$5:B218,B218))))</f>
        <v>VIS_20260702_002</v>
      </c>
      <c r="B218" s="40">
        <v>46205</v>
      </c>
      <c r="C218" s="47" t="str">
        <f t="shared" si="6"/>
        <v>Чт</v>
      </c>
      <c r="D218" t="s">
        <v>38</v>
      </c>
      <c r="E218" t="s">
        <v>29</v>
      </c>
      <c r="F218" t="s">
        <v>30</v>
      </c>
      <c r="G218" t="s">
        <v>31</v>
      </c>
      <c r="I218" s="46">
        <v>15</v>
      </c>
      <c r="J218" s="39">
        <f t="shared" si="7"/>
        <v>46204</v>
      </c>
      <c r="K218" t="str">
        <f ca="1">IF(AND(B218&gt;='План недели'!$B$4,B218&lt;'План недели'!$D$4,D218&lt;&gt;"",G218&lt;&gt;"Отменён"),COUNTIFS($B$5:B218,"&gt;="&amp;'План недели'!$B$4,$B$5:B218,"&lt;"&amp;'План недели'!$D$4,$D$5:D218,"&lt;&gt;",$G$5:G218,"&lt;&gt;Отменён"),"")</f>
        <v/>
      </c>
    </row>
    <row r="219" spans="1:11">
      <c r="A219" t="str">
        <f>IF(B219="","","VIS_"&amp;(YEAR(B219)*10000+MONTH(B219)*100+DAY(B219))&amp;"_"&amp;IF(COUNTIF($B$5:B219,B219)&lt;10,"00"&amp;COUNTIF($B$5:B219,B219),IF(COUNTIF($B$5:B219,B219)&lt;100,"0"&amp;COUNTIF($B$5:B219,B219),COUNTIF($B$5:B219,B219))))</f>
        <v>VIS_20260702_003</v>
      </c>
      <c r="B219" s="40">
        <v>46205</v>
      </c>
      <c r="C219" s="47" t="str">
        <f t="shared" si="6"/>
        <v>Чт</v>
      </c>
      <c r="D219" t="s">
        <v>48</v>
      </c>
      <c r="E219" t="s">
        <v>29</v>
      </c>
      <c r="F219" t="s">
        <v>30</v>
      </c>
      <c r="G219" t="s">
        <v>31</v>
      </c>
      <c r="I219" s="46">
        <v>350</v>
      </c>
      <c r="J219" s="39">
        <f t="shared" si="7"/>
        <v>46204</v>
      </c>
      <c r="K219" t="str">
        <f ca="1">IF(AND(B219&gt;='План недели'!$B$4,B219&lt;'План недели'!$D$4,D219&lt;&gt;"",G219&lt;&gt;"Отменён"),COUNTIFS($B$5:B219,"&gt;="&amp;'План недели'!$B$4,$B$5:B219,"&lt;"&amp;'План недели'!$D$4,$D$5:D219,"&lt;&gt;",$G$5:G219,"&lt;&gt;Отменён"),"")</f>
        <v/>
      </c>
    </row>
    <row r="220" spans="1:11">
      <c r="A220" t="str">
        <f>IF(B220="","","VIS_"&amp;(YEAR(B220)*10000+MONTH(B220)*100+DAY(B220))&amp;"_"&amp;IF(COUNTIF($B$5:B220,B220)&lt;10,"00"&amp;COUNTIF($B$5:B220,B220),IF(COUNTIF($B$5:B220,B220)&lt;100,"0"&amp;COUNTIF($B$5:B220,B220),COUNTIF($B$5:B220,B220))))</f>
        <v>VIS_20260703_001</v>
      </c>
      <c r="B220" s="40">
        <v>46206</v>
      </c>
      <c r="C220" s="47" t="str">
        <f t="shared" si="6"/>
        <v>Пт</v>
      </c>
      <c r="D220" t="s">
        <v>28</v>
      </c>
      <c r="E220" t="s">
        <v>29</v>
      </c>
      <c r="F220" t="s">
        <v>30</v>
      </c>
      <c r="G220" t="s">
        <v>31</v>
      </c>
      <c r="I220" s="46">
        <v>557</v>
      </c>
      <c r="J220" s="39">
        <f t="shared" si="7"/>
        <v>46204</v>
      </c>
      <c r="K220" t="str">
        <f ca="1">IF(AND(B220&gt;='План недели'!$B$4,B220&lt;'План недели'!$D$4,D220&lt;&gt;"",G220&lt;&gt;"Отменён"),COUNTIFS($B$5:B220,"&gt;="&amp;'План недели'!$B$4,$B$5:B220,"&lt;"&amp;'План недели'!$D$4,$D$5:D220,"&lt;&gt;",$G$5:G220,"&lt;&gt;Отменён"),"")</f>
        <v/>
      </c>
    </row>
    <row r="221" spans="1:11">
      <c r="A221" t="str">
        <f>IF(B221="","","VIS_"&amp;(YEAR(B221)*10000+MONTH(B221)*100+DAY(B221))&amp;"_"&amp;IF(COUNTIF($B$5:B221,B221)&lt;10,"00"&amp;COUNTIF($B$5:B221,B221),IF(COUNTIF($B$5:B221,B221)&lt;100,"0"&amp;COUNTIF($B$5:B221,B221),COUNTIF($B$5:B221,B221))))</f>
        <v>VIS_20260704_001</v>
      </c>
      <c r="B221" s="42">
        <v>46207</v>
      </c>
      <c r="C221" s="49" t="str">
        <f t="shared" si="6"/>
        <v>Сб</v>
      </c>
      <c r="I221" s="46"/>
      <c r="J221" s="39">
        <f t="shared" si="7"/>
        <v>46204</v>
      </c>
      <c r="K221" t="str">
        <f ca="1">IF(AND(B221&gt;='План недели'!$B$4,B221&lt;'План недели'!$D$4,D221&lt;&gt;"",G221&lt;&gt;"Отменён"),COUNTIFS($B$5:B221,"&gt;="&amp;'План недели'!$B$4,$B$5:B221,"&lt;"&amp;'План недели'!$D$4,$D$5:D221,"&lt;&gt;",$G$5:G221,"&lt;&gt;Отменён"),"")</f>
        <v/>
      </c>
    </row>
    <row r="222" spans="1:11">
      <c r="A222" t="str">
        <f>IF(B222="","","VIS_"&amp;(YEAR(B222)*10000+MONTH(B222)*100+DAY(B222))&amp;"_"&amp;IF(COUNTIF($B$5:B222,B222)&lt;10,"00"&amp;COUNTIF($B$5:B222,B222),IF(COUNTIF($B$5:B222,B222)&lt;100,"0"&amp;COUNTIF($B$5:B222,B222),COUNTIF($B$5:B222,B222))))</f>
        <v>VIS_20260705_001</v>
      </c>
      <c r="B222" s="42">
        <v>46208</v>
      </c>
      <c r="C222" s="49" t="str">
        <f t="shared" si="6"/>
        <v>Вс</v>
      </c>
      <c r="I222" s="46"/>
      <c r="J222" s="39">
        <f t="shared" si="7"/>
        <v>46204</v>
      </c>
      <c r="K222" t="str">
        <f ca="1">IF(AND(B222&gt;='План недели'!$B$4,B222&lt;'План недели'!$D$4,D222&lt;&gt;"",G222&lt;&gt;"Отменён"),COUNTIFS($B$5:B222,"&gt;="&amp;'План недели'!$B$4,$B$5:B222,"&lt;"&amp;'План недели'!$D$4,$D$5:D222,"&lt;&gt;",$G$5:G222,"&lt;&gt;Отменён"),"")</f>
        <v/>
      </c>
    </row>
    <row r="223" spans="1:11">
      <c r="A223" t="str">
        <f>IF(B223="","","VIS_"&amp;(YEAR(B223)*10000+MONTH(B223)*100+DAY(B223))&amp;"_"&amp;IF(COUNTIF($B$5:B223,B223)&lt;10,"00"&amp;COUNTIF($B$5:B223,B223),IF(COUNTIF($B$5:B223,B223)&lt;100,"0"&amp;COUNTIF($B$5:B223,B223),COUNTIF($B$5:B223,B223))))</f>
        <v>VIS_20260706_001</v>
      </c>
      <c r="B223" s="40">
        <v>46209</v>
      </c>
      <c r="C223" s="47" t="str">
        <f t="shared" si="6"/>
        <v>Пн</v>
      </c>
      <c r="D223" t="s">
        <v>32</v>
      </c>
      <c r="E223" t="s">
        <v>29</v>
      </c>
      <c r="F223" t="s">
        <v>30</v>
      </c>
      <c r="G223" t="s">
        <v>31</v>
      </c>
      <c r="I223" s="46">
        <v>445</v>
      </c>
      <c r="J223" s="39">
        <f t="shared" si="7"/>
        <v>46204</v>
      </c>
      <c r="K223" t="str">
        <f ca="1">IF(AND(B223&gt;='План недели'!$B$4,B223&lt;'План недели'!$D$4,D223&lt;&gt;"",G223&lt;&gt;"Отменён"),COUNTIFS($B$5:B223,"&gt;="&amp;'План недели'!$B$4,$B$5:B223,"&lt;"&amp;'План недели'!$D$4,$D$5:D223,"&lt;&gt;",$G$5:G223,"&lt;&gt;Отменён"),"")</f>
        <v/>
      </c>
    </row>
    <row r="224" spans="1:11">
      <c r="A224" t="str">
        <f>IF(B224="","","VIS_"&amp;(YEAR(B224)*10000+MONTH(B224)*100+DAY(B224))&amp;"_"&amp;IF(COUNTIF($B$5:B224,B224)&lt;10,"00"&amp;COUNTIF($B$5:B224,B224),IF(COUNTIF($B$5:B224,B224)&lt;100,"0"&amp;COUNTIF($B$5:B224,B224),COUNTIF($B$5:B224,B224))))</f>
        <v>VIS_20260706_002</v>
      </c>
      <c r="B224" s="40">
        <v>46209</v>
      </c>
      <c r="C224" s="47" t="str">
        <f t="shared" si="6"/>
        <v>Пн</v>
      </c>
      <c r="D224" t="s">
        <v>49</v>
      </c>
      <c r="E224" t="s">
        <v>34</v>
      </c>
      <c r="F224" t="s">
        <v>30</v>
      </c>
      <c r="G224" t="s">
        <v>31</v>
      </c>
      <c r="H224" t="s">
        <v>50</v>
      </c>
      <c r="I224" s="46">
        <v>151</v>
      </c>
      <c r="J224" s="39">
        <f t="shared" si="7"/>
        <v>46204</v>
      </c>
      <c r="K224" t="str">
        <f ca="1">IF(AND(B224&gt;='План недели'!$B$4,B224&lt;'План недели'!$D$4,D224&lt;&gt;"",G224&lt;&gt;"Отменён"),COUNTIFS($B$5:B224,"&gt;="&amp;'План недели'!$B$4,$B$5:B224,"&lt;"&amp;'План недели'!$D$4,$D$5:D224,"&lt;&gt;",$G$5:G224,"&lt;&gt;Отменён"),"")</f>
        <v/>
      </c>
    </row>
    <row r="225" spans="1:11">
      <c r="A225" t="str">
        <f>IF(B225="","","VIS_"&amp;(YEAR(B225)*10000+MONTH(B225)*100+DAY(B225))&amp;"_"&amp;IF(COUNTIF($B$5:B225,B225)&lt;10,"00"&amp;COUNTIF($B$5:B225,B225),IF(COUNTIF($B$5:B225,B225)&lt;100,"0"&amp;COUNTIF($B$5:B225,B225),COUNTIF($B$5:B225,B225))))</f>
        <v>VIS_20260707_001</v>
      </c>
      <c r="B225" s="40">
        <v>46210</v>
      </c>
      <c r="C225" s="47" t="str">
        <f t="shared" si="6"/>
        <v>Вт</v>
      </c>
      <c r="D225" t="s">
        <v>37</v>
      </c>
      <c r="E225" t="s">
        <v>29</v>
      </c>
      <c r="F225" t="s">
        <v>30</v>
      </c>
      <c r="G225" t="s">
        <v>31</v>
      </c>
      <c r="I225" s="46">
        <v>366</v>
      </c>
      <c r="J225" s="39">
        <f t="shared" si="7"/>
        <v>46204</v>
      </c>
      <c r="K225" t="str">
        <f ca="1">IF(AND(B225&gt;='План недели'!$B$4,B225&lt;'План недели'!$D$4,D225&lt;&gt;"",G225&lt;&gt;"Отменён"),COUNTIFS($B$5:B225,"&gt;="&amp;'План недели'!$B$4,$B$5:B225,"&lt;"&amp;'План недели'!$D$4,$D$5:D225,"&lt;&gt;",$G$5:G225,"&lt;&gt;Отменён"),"")</f>
        <v/>
      </c>
    </row>
    <row r="226" spans="1:11">
      <c r="A226" t="str">
        <f>IF(B226="","","VIS_"&amp;(YEAR(B226)*10000+MONTH(B226)*100+DAY(B226))&amp;"_"&amp;IF(COUNTIF($B$5:B226,B226)&lt;10,"00"&amp;COUNTIF($B$5:B226,B226),IF(COUNTIF($B$5:B226,B226)&lt;100,"0"&amp;COUNTIF($B$5:B226,B226),COUNTIF($B$5:B226,B226))))</f>
        <v>VIS_20260707_002</v>
      </c>
      <c r="B226" s="40">
        <v>46210</v>
      </c>
      <c r="C226" s="47" t="str">
        <f t="shared" si="6"/>
        <v>Вт</v>
      </c>
      <c r="D226" t="s">
        <v>38</v>
      </c>
      <c r="E226" t="s">
        <v>29</v>
      </c>
      <c r="F226" t="s">
        <v>30</v>
      </c>
      <c r="G226" t="s">
        <v>31</v>
      </c>
      <c r="I226" s="46">
        <v>15</v>
      </c>
      <c r="J226" s="39">
        <f t="shared" si="7"/>
        <v>46204</v>
      </c>
      <c r="K226" t="str">
        <f ca="1">IF(AND(B226&gt;='План недели'!$B$4,B226&lt;'План недели'!$D$4,D226&lt;&gt;"",G226&lt;&gt;"Отменён"),COUNTIFS($B$5:B226,"&gt;="&amp;'План недели'!$B$4,$B$5:B226,"&lt;"&amp;'План недели'!$D$4,$D$5:D226,"&lt;&gt;",$G$5:G226,"&lt;&gt;Отменён"),"")</f>
        <v/>
      </c>
    </row>
    <row r="227" spans="1:11">
      <c r="A227" t="str">
        <f>IF(B227="","","VIS_"&amp;(YEAR(B227)*10000+MONTH(B227)*100+DAY(B227))&amp;"_"&amp;IF(COUNTIF($B$5:B227,B227)&lt;10,"00"&amp;COUNTIF($B$5:B227,B227),IF(COUNTIF($B$5:B227,B227)&lt;100,"0"&amp;COUNTIF($B$5:B227,B227),COUNTIF($B$5:B227,B227))))</f>
        <v>VIS_20260708_001</v>
      </c>
      <c r="B227" s="40">
        <v>46211</v>
      </c>
      <c r="C227" s="47" t="str">
        <f t="shared" si="6"/>
        <v>Ср</v>
      </c>
      <c r="D227" t="s">
        <v>35</v>
      </c>
      <c r="E227" t="s">
        <v>29</v>
      </c>
      <c r="F227" t="s">
        <v>30</v>
      </c>
      <c r="G227" t="s">
        <v>31</v>
      </c>
      <c r="I227" s="46">
        <v>200</v>
      </c>
      <c r="J227" s="39">
        <f t="shared" si="7"/>
        <v>46211</v>
      </c>
      <c r="K227" t="str">
        <f ca="1">IF(AND(B227&gt;='План недели'!$B$4,B227&lt;'План недели'!$D$4,D227&lt;&gt;"",G227&lt;&gt;"Отменён"),COUNTIFS($B$5:B227,"&gt;="&amp;'План недели'!$B$4,$B$5:B227,"&lt;"&amp;'План недели'!$D$4,$D$5:D227,"&lt;&gt;",$G$5:G227,"&lt;&gt;Отменён"),"")</f>
        <v/>
      </c>
    </row>
    <row r="228" spans="1:11">
      <c r="A228" t="str">
        <f>IF(B228="","","VIS_"&amp;(YEAR(B228)*10000+MONTH(B228)*100+DAY(B228))&amp;"_"&amp;IF(COUNTIF($B$5:B228,B228)&lt;10,"00"&amp;COUNTIF($B$5:B228,B228),IF(COUNTIF($B$5:B228,B228)&lt;100,"0"&amp;COUNTIF($B$5:B228,B228),COUNTIF($B$5:B228,B228))))</f>
        <v>VIS_20260708_002</v>
      </c>
      <c r="B228" s="40">
        <v>46211</v>
      </c>
      <c r="C228" s="47" t="str">
        <f t="shared" si="6"/>
        <v>Ср</v>
      </c>
      <c r="D228" t="s">
        <v>49</v>
      </c>
      <c r="E228" t="s">
        <v>34</v>
      </c>
      <c r="F228" t="s">
        <v>30</v>
      </c>
      <c r="G228" t="s">
        <v>31</v>
      </c>
      <c r="H228" t="s">
        <v>50</v>
      </c>
      <c r="I228" s="46">
        <v>151</v>
      </c>
      <c r="J228" s="39">
        <f t="shared" si="7"/>
        <v>46211</v>
      </c>
      <c r="K228" t="str">
        <f ca="1">IF(AND(B228&gt;='План недели'!$B$4,B228&lt;'План недели'!$D$4,D228&lt;&gt;"",G228&lt;&gt;"Отменён"),COUNTIFS($B$5:B228,"&gt;="&amp;'План недели'!$B$4,$B$5:B228,"&lt;"&amp;'План недели'!$D$4,$D$5:D228,"&lt;&gt;",$G$5:G228,"&lt;&gt;Отменён"),"")</f>
        <v/>
      </c>
    </row>
    <row r="229" spans="1:11">
      <c r="A229" t="str">
        <f>IF(B229="","","VIS_"&amp;(YEAR(B229)*10000+MONTH(B229)*100+DAY(B229))&amp;"_"&amp;IF(COUNTIF($B$5:B229,B229)&lt;10,"00"&amp;COUNTIF($B$5:B229,B229),IF(COUNTIF($B$5:B229,B229)&lt;100,"0"&amp;COUNTIF($B$5:B229,B229),COUNTIF($B$5:B229,B229))))</f>
        <v>VIS_20260709_001</v>
      </c>
      <c r="B229" s="40">
        <v>46212</v>
      </c>
      <c r="C229" s="47" t="str">
        <f t="shared" si="6"/>
        <v>Чт</v>
      </c>
      <c r="D229" t="s">
        <v>33</v>
      </c>
      <c r="E229" t="s">
        <v>29</v>
      </c>
      <c r="F229" t="s">
        <v>30</v>
      </c>
      <c r="G229" t="s">
        <v>31</v>
      </c>
      <c r="I229" s="46">
        <v>355</v>
      </c>
      <c r="J229" s="39">
        <f t="shared" si="7"/>
        <v>46211</v>
      </c>
      <c r="K229" t="str">
        <f ca="1">IF(AND(B229&gt;='План недели'!$B$4,B229&lt;'План недели'!$D$4,D229&lt;&gt;"",G229&lt;&gt;"Отменён"),COUNTIFS($B$5:B229,"&gt;="&amp;'План недели'!$B$4,$B$5:B229,"&lt;"&amp;'План недели'!$D$4,$D$5:D229,"&lt;&gt;",$G$5:G229,"&lt;&gt;Отменён"),"")</f>
        <v/>
      </c>
    </row>
    <row r="230" spans="1:11">
      <c r="A230" t="str">
        <f>IF(B230="","","VIS_"&amp;(YEAR(B230)*10000+MONTH(B230)*100+DAY(B230))&amp;"_"&amp;IF(COUNTIF($B$5:B230,B230)&lt;10,"00"&amp;COUNTIF($B$5:B230,B230),IF(COUNTIF($B$5:B230,B230)&lt;100,"0"&amp;COUNTIF($B$5:B230,B230),COUNTIF($B$5:B230,B230))))</f>
        <v>VIS_20260710_001</v>
      </c>
      <c r="B230" s="40">
        <v>46213</v>
      </c>
      <c r="C230" s="47" t="str">
        <f t="shared" si="6"/>
        <v>Пт</v>
      </c>
      <c r="D230" t="s">
        <v>28</v>
      </c>
      <c r="E230" t="s">
        <v>29</v>
      </c>
      <c r="F230" t="s">
        <v>30</v>
      </c>
      <c r="G230" t="s">
        <v>31</v>
      </c>
      <c r="I230" s="46">
        <v>557</v>
      </c>
      <c r="J230" s="39">
        <f t="shared" si="7"/>
        <v>46211</v>
      </c>
      <c r="K230" t="str">
        <f ca="1">IF(AND(B230&gt;='План недели'!$B$4,B230&lt;'План недели'!$D$4,D230&lt;&gt;"",G230&lt;&gt;"Отменён"),COUNTIFS($B$5:B230,"&gt;="&amp;'План недели'!$B$4,$B$5:B230,"&lt;"&amp;'План недели'!$D$4,$D$5:D230,"&lt;&gt;",$G$5:G230,"&lt;&gt;Отменён"),"")</f>
        <v/>
      </c>
    </row>
    <row r="231" spans="1:11">
      <c r="A231" t="str">
        <f>IF(B231="","","VIS_"&amp;(YEAR(B231)*10000+MONTH(B231)*100+DAY(B231))&amp;"_"&amp;IF(COUNTIF($B$5:B231,B231)&lt;10,"00"&amp;COUNTIF($B$5:B231,B231),IF(COUNTIF($B$5:B231,B231)&lt;100,"0"&amp;COUNTIF($B$5:B231,B231),COUNTIF($B$5:B231,B231))))</f>
        <v>VIS_20260710_002</v>
      </c>
      <c r="B231" s="40">
        <v>46213</v>
      </c>
      <c r="C231" s="47" t="str">
        <f t="shared" si="6"/>
        <v>Пт</v>
      </c>
      <c r="D231" t="s">
        <v>49</v>
      </c>
      <c r="E231" t="s">
        <v>34</v>
      </c>
      <c r="F231" t="s">
        <v>30</v>
      </c>
      <c r="G231" t="s">
        <v>31</v>
      </c>
      <c r="H231" t="s">
        <v>50</v>
      </c>
      <c r="I231" s="46">
        <v>151</v>
      </c>
      <c r="J231" s="39">
        <f t="shared" si="7"/>
        <v>46211</v>
      </c>
      <c r="K231" t="str">
        <f ca="1">IF(AND(B231&gt;='План недели'!$B$4,B231&lt;'План недели'!$D$4,D231&lt;&gt;"",G231&lt;&gt;"Отменён"),COUNTIFS($B$5:B231,"&gt;="&amp;'План недели'!$B$4,$B$5:B231,"&lt;"&amp;'План недели'!$D$4,$D$5:D231,"&lt;&gt;",$G$5:G231,"&lt;&gt;Отменён"),"")</f>
        <v/>
      </c>
    </row>
    <row r="232" spans="1:11">
      <c r="A232" t="str">
        <f>IF(B232="","","VIS_"&amp;(YEAR(B232)*10000+MONTH(B232)*100+DAY(B232))&amp;"_"&amp;IF(COUNTIF($B$5:B232,B232)&lt;10,"00"&amp;COUNTIF($B$5:B232,B232),IF(COUNTIF($B$5:B232,B232)&lt;100,"0"&amp;COUNTIF($B$5:B232,B232),COUNTIF($B$5:B232,B232))))</f>
        <v>VIS_20260711_001</v>
      </c>
      <c r="B232" s="42">
        <v>46214</v>
      </c>
      <c r="C232" s="49" t="str">
        <f t="shared" si="6"/>
        <v>Сб</v>
      </c>
      <c r="I232" s="46"/>
      <c r="J232" s="39">
        <f t="shared" si="7"/>
        <v>46211</v>
      </c>
      <c r="K232" t="str">
        <f ca="1">IF(AND(B232&gt;='План недели'!$B$4,B232&lt;'План недели'!$D$4,D232&lt;&gt;"",G232&lt;&gt;"Отменён"),COUNTIFS($B$5:B232,"&gt;="&amp;'План недели'!$B$4,$B$5:B232,"&lt;"&amp;'План недели'!$D$4,$D$5:D232,"&lt;&gt;",$G$5:G232,"&lt;&gt;Отменён"),"")</f>
        <v/>
      </c>
    </row>
    <row r="233" spans="1:11">
      <c r="A233" t="str">
        <f>IF(B233="","","VIS_"&amp;(YEAR(B233)*10000+MONTH(B233)*100+DAY(B233))&amp;"_"&amp;IF(COUNTIF($B$5:B233,B233)&lt;10,"00"&amp;COUNTIF($B$5:B233,B233),IF(COUNTIF($B$5:B233,B233)&lt;100,"0"&amp;COUNTIF($B$5:B233,B233),COUNTIF($B$5:B233,B233))))</f>
        <v>VIS_20260712_001</v>
      </c>
      <c r="B233" s="42">
        <v>46215</v>
      </c>
      <c r="C233" s="49" t="str">
        <f t="shared" si="6"/>
        <v>Вс</v>
      </c>
      <c r="I233" s="46"/>
      <c r="J233" s="39">
        <f t="shared" si="7"/>
        <v>46211</v>
      </c>
      <c r="K233" t="str">
        <f ca="1">IF(AND(B233&gt;='План недели'!$B$4,B233&lt;'План недели'!$D$4,D233&lt;&gt;"",G233&lt;&gt;"Отменён"),COUNTIFS($B$5:B233,"&gt;="&amp;'План недели'!$B$4,$B$5:B233,"&lt;"&amp;'План недели'!$D$4,$D$5:D233,"&lt;&gt;",$G$5:G233,"&lt;&gt;Отменён"),"")</f>
        <v/>
      </c>
    </row>
    <row r="234" spans="1:11">
      <c r="A234" t="str">
        <f>IF(B234="","","VIS_"&amp;(YEAR(B234)*10000+MONTH(B234)*100+DAY(B234))&amp;"_"&amp;IF(COUNTIF($B$5:B234,B234)&lt;10,"00"&amp;COUNTIF($B$5:B234,B234),IF(COUNTIF($B$5:B234,B234)&lt;100,"0"&amp;COUNTIF($B$5:B234,B234),COUNTIF($B$5:B234,B234))))</f>
        <v>VIS_20260713_001</v>
      </c>
      <c r="B234" s="40">
        <v>46216</v>
      </c>
      <c r="C234" s="47" t="str">
        <f t="shared" si="6"/>
        <v>Пн</v>
      </c>
      <c r="D234" t="s">
        <v>32</v>
      </c>
      <c r="E234" t="s">
        <v>29</v>
      </c>
      <c r="F234" t="s">
        <v>30</v>
      </c>
      <c r="G234" t="s">
        <v>31</v>
      </c>
      <c r="I234" s="46">
        <v>445</v>
      </c>
      <c r="J234" s="39">
        <f t="shared" si="7"/>
        <v>46211</v>
      </c>
      <c r="K234" t="str">
        <f ca="1">IF(AND(B234&gt;='План недели'!$B$4,B234&lt;'План недели'!$D$4,D234&lt;&gt;"",G234&lt;&gt;"Отменён"),COUNTIFS($B$5:B234,"&gt;="&amp;'План недели'!$B$4,$B$5:B234,"&lt;"&amp;'План недели'!$D$4,$D$5:D234,"&lt;&gt;",$G$5:G234,"&lt;&gt;Отменён"),"")</f>
        <v/>
      </c>
    </row>
    <row r="235" spans="1:11">
      <c r="A235" t="str">
        <f>IF(B235="","","VIS_"&amp;(YEAR(B235)*10000+MONTH(B235)*100+DAY(B235))&amp;"_"&amp;IF(COUNTIF($B$5:B235,B235)&lt;10,"00"&amp;COUNTIF($B$5:B235,B235),IF(COUNTIF($B$5:B235,B235)&lt;100,"0"&amp;COUNTIF($B$5:B235,B235),COUNTIF($B$5:B235,B235))))</f>
        <v>VIS_20260713_002</v>
      </c>
      <c r="B235" s="40">
        <v>46216</v>
      </c>
      <c r="C235" s="47" t="str">
        <f t="shared" si="6"/>
        <v>Пн</v>
      </c>
      <c r="D235" t="s">
        <v>49</v>
      </c>
      <c r="E235" t="s">
        <v>34</v>
      </c>
      <c r="F235" t="s">
        <v>30</v>
      </c>
      <c r="G235" t="s">
        <v>31</v>
      </c>
      <c r="H235" t="s">
        <v>50</v>
      </c>
      <c r="I235" s="46">
        <v>151</v>
      </c>
      <c r="J235" s="39">
        <f t="shared" si="7"/>
        <v>46211</v>
      </c>
      <c r="K235" t="str">
        <f ca="1">IF(AND(B235&gt;='План недели'!$B$4,B235&lt;'План недели'!$D$4,D235&lt;&gt;"",G235&lt;&gt;"Отменён"),COUNTIFS($B$5:B235,"&gt;="&amp;'План недели'!$B$4,$B$5:B235,"&lt;"&amp;'План недели'!$D$4,$D$5:D235,"&lt;&gt;",$G$5:G235,"&lt;&gt;Отменён"),"")</f>
        <v/>
      </c>
    </row>
    <row r="236" spans="1:11">
      <c r="A236" t="str">
        <f>IF(B236="","","VIS_"&amp;(YEAR(B236)*10000+MONTH(B236)*100+DAY(B236))&amp;"_"&amp;IF(COUNTIF($B$5:B236,B236)&lt;10,"00"&amp;COUNTIF($B$5:B236,B236),IF(COUNTIF($B$5:B236,B236)&lt;100,"0"&amp;COUNTIF($B$5:B236,B236),COUNTIF($B$5:B236,B236))))</f>
        <v>VIS_20260714_001</v>
      </c>
      <c r="B236" s="40">
        <v>46217</v>
      </c>
      <c r="C236" s="47" t="str">
        <f t="shared" si="6"/>
        <v>Вт</v>
      </c>
      <c r="D236" t="s">
        <v>37</v>
      </c>
      <c r="E236" t="s">
        <v>29</v>
      </c>
      <c r="F236" t="s">
        <v>30</v>
      </c>
      <c r="G236" t="s">
        <v>31</v>
      </c>
      <c r="I236" s="46">
        <v>366</v>
      </c>
      <c r="J236" s="39">
        <f t="shared" si="7"/>
        <v>46211</v>
      </c>
      <c r="K236" t="str">
        <f ca="1">IF(AND(B236&gt;='План недели'!$B$4,B236&lt;'План недели'!$D$4,D236&lt;&gt;"",G236&lt;&gt;"Отменён"),COUNTIFS($B$5:B236,"&gt;="&amp;'План недели'!$B$4,$B$5:B236,"&lt;"&amp;'План недели'!$D$4,$D$5:D236,"&lt;&gt;",$G$5:G236,"&lt;&gt;Отменён"),"")</f>
        <v/>
      </c>
    </row>
    <row r="237" spans="1:11">
      <c r="A237" t="str">
        <f>IF(B237="","","VIS_"&amp;(YEAR(B237)*10000+MONTH(B237)*100+DAY(B237))&amp;"_"&amp;IF(COUNTIF($B$5:B237,B237)&lt;10,"00"&amp;COUNTIF($B$5:B237,B237),IF(COUNTIF($B$5:B237,B237)&lt;100,"0"&amp;COUNTIF($B$5:B237,B237),COUNTIF($B$5:B237,B237))))</f>
        <v>VIS_20260714_002</v>
      </c>
      <c r="B237" s="40">
        <v>46217</v>
      </c>
      <c r="C237" s="47" t="str">
        <f t="shared" si="6"/>
        <v>Вт</v>
      </c>
      <c r="D237" t="s">
        <v>38</v>
      </c>
      <c r="E237" t="s">
        <v>29</v>
      </c>
      <c r="F237" t="s">
        <v>30</v>
      </c>
      <c r="G237" t="s">
        <v>31</v>
      </c>
      <c r="I237" s="46">
        <v>15</v>
      </c>
      <c r="J237" s="39">
        <f t="shared" si="7"/>
        <v>46211</v>
      </c>
      <c r="K237" t="str">
        <f ca="1">IF(AND(B237&gt;='План недели'!$B$4,B237&lt;'План недели'!$D$4,D237&lt;&gt;"",G237&lt;&gt;"Отменён"),COUNTIFS($B$5:B237,"&gt;="&amp;'План недели'!$B$4,$B$5:B237,"&lt;"&amp;'План недели'!$D$4,$D$5:D237,"&lt;&gt;",$G$5:G237,"&lt;&gt;Отменён"),"")</f>
        <v/>
      </c>
    </row>
    <row r="238" spans="1:11">
      <c r="A238" t="str">
        <f>IF(B238="","","VIS_"&amp;(YEAR(B238)*10000+MONTH(B238)*100+DAY(B238))&amp;"_"&amp;IF(COUNTIF($B$5:B238,B238)&lt;10,"00"&amp;COUNTIF($B$5:B238,B238),IF(COUNTIF($B$5:B238,B238)&lt;100,"0"&amp;COUNTIF($B$5:B238,B238),COUNTIF($B$5:B238,B238))))</f>
        <v>VIS_20260715_001</v>
      </c>
      <c r="B238" s="40">
        <v>46218</v>
      </c>
      <c r="C238" s="47" t="str">
        <f t="shared" si="6"/>
        <v>Ср</v>
      </c>
      <c r="D238" t="s">
        <v>35</v>
      </c>
      <c r="E238" t="s">
        <v>29</v>
      </c>
      <c r="F238" t="s">
        <v>30</v>
      </c>
      <c r="G238" t="s">
        <v>31</v>
      </c>
      <c r="I238" s="46">
        <v>200</v>
      </c>
      <c r="J238" s="39">
        <f t="shared" si="7"/>
        <v>46218</v>
      </c>
      <c r="K238" t="str">
        <f ca="1">IF(AND(B238&gt;='План недели'!$B$4,B238&lt;'План недели'!$D$4,D238&lt;&gt;"",G238&lt;&gt;"Отменён"),COUNTIFS($B$5:B238,"&gt;="&amp;'План недели'!$B$4,$B$5:B238,"&lt;"&amp;'План недели'!$D$4,$D$5:D238,"&lt;&gt;",$G$5:G238,"&lt;&gt;Отменён"),"")</f>
        <v/>
      </c>
    </row>
    <row r="239" spans="1:11">
      <c r="A239" t="str">
        <f>IF(B239="","","VIS_"&amp;(YEAR(B239)*10000+MONTH(B239)*100+DAY(B239))&amp;"_"&amp;IF(COUNTIF($B$5:B239,B239)&lt;10,"00"&amp;COUNTIF($B$5:B239,B239),IF(COUNTIF($B$5:B239,B239)&lt;100,"0"&amp;COUNTIF($B$5:B239,B239),COUNTIF($B$5:B239,B239))))</f>
        <v>VIS_20260715_002</v>
      </c>
      <c r="B239" s="40">
        <v>46218</v>
      </c>
      <c r="C239" s="47" t="str">
        <f t="shared" si="6"/>
        <v>Ср</v>
      </c>
      <c r="D239" t="s">
        <v>49</v>
      </c>
      <c r="E239" t="s">
        <v>34</v>
      </c>
      <c r="F239" t="s">
        <v>30</v>
      </c>
      <c r="G239" t="s">
        <v>31</v>
      </c>
      <c r="H239" t="s">
        <v>50</v>
      </c>
      <c r="I239" s="46">
        <v>151</v>
      </c>
      <c r="J239" s="39">
        <f t="shared" si="7"/>
        <v>46218</v>
      </c>
      <c r="K239" t="str">
        <f ca="1">IF(AND(B239&gt;='План недели'!$B$4,B239&lt;'План недели'!$D$4,D239&lt;&gt;"",G239&lt;&gt;"Отменён"),COUNTIFS($B$5:B239,"&gt;="&amp;'План недели'!$B$4,$B$5:B239,"&lt;"&amp;'План недели'!$D$4,$D$5:D239,"&lt;&gt;",$G$5:G239,"&lt;&gt;Отменён"),"")</f>
        <v/>
      </c>
    </row>
    <row r="240" spans="1:11">
      <c r="A240" t="str">
        <f>IF(B240="","","VIS_"&amp;(YEAR(B240)*10000+MONTH(B240)*100+DAY(B240))&amp;"_"&amp;IF(COUNTIF($B$5:B240,B240)&lt;10,"00"&amp;COUNTIF($B$5:B240,B240),IF(COUNTIF($B$5:B240,B240)&lt;100,"0"&amp;COUNTIF($B$5:B240,B240),COUNTIF($B$5:B240,B240))))</f>
        <v>VIS_20260716_001</v>
      </c>
      <c r="B240" s="40">
        <v>46219</v>
      </c>
      <c r="C240" s="47" t="str">
        <f t="shared" si="6"/>
        <v>Чт</v>
      </c>
      <c r="D240" t="s">
        <v>36</v>
      </c>
      <c r="E240" t="s">
        <v>29</v>
      </c>
      <c r="F240" t="s">
        <v>30</v>
      </c>
      <c r="G240" t="s">
        <v>31</v>
      </c>
      <c r="I240" s="46">
        <v>194</v>
      </c>
      <c r="J240" s="39">
        <f t="shared" si="7"/>
        <v>46218</v>
      </c>
      <c r="K240" t="str">
        <f ca="1">IF(AND(B240&gt;='План недели'!$B$4,B240&lt;'План недели'!$D$4,D240&lt;&gt;"",G240&lt;&gt;"Отменён"),COUNTIFS($B$5:B240,"&gt;="&amp;'План недели'!$B$4,$B$5:B240,"&lt;"&amp;'План недели'!$D$4,$D$5:D240,"&lt;&gt;",$G$5:G240,"&lt;&gt;Отменён"),"")</f>
        <v/>
      </c>
    </row>
    <row r="241" spans="1:11">
      <c r="A241" t="str">
        <f>IF(B241="","","VIS_"&amp;(YEAR(B241)*10000+MONTH(B241)*100+DAY(B241))&amp;"_"&amp;IF(COUNTIF($B$5:B241,B241)&lt;10,"00"&amp;COUNTIF($B$5:B241,B241),IF(COUNTIF($B$5:B241,B241)&lt;100,"0"&amp;COUNTIF($B$5:B241,B241),COUNTIF($B$5:B241,B241))))</f>
        <v>VIS_20260716_002</v>
      </c>
      <c r="B241" s="40">
        <v>46219</v>
      </c>
      <c r="C241" s="47" t="str">
        <f t="shared" si="6"/>
        <v>Чт</v>
      </c>
      <c r="D241" t="s">
        <v>51</v>
      </c>
      <c r="E241" t="s">
        <v>34</v>
      </c>
      <c r="F241" t="s">
        <v>52</v>
      </c>
      <c r="G241" t="s">
        <v>31</v>
      </c>
      <c r="H241" t="s">
        <v>53</v>
      </c>
      <c r="I241" s="46"/>
      <c r="J241" s="39">
        <f t="shared" si="7"/>
        <v>46218</v>
      </c>
      <c r="K241" t="str">
        <f ca="1">IF(AND(B241&gt;='План недели'!$B$4,B241&lt;'План недели'!$D$4,D241&lt;&gt;"",G241&lt;&gt;"Отменён"),COUNTIFS($B$5:B241,"&gt;="&amp;'План недели'!$B$4,$B$5:B241,"&lt;"&amp;'План недели'!$D$4,$D$5:D241,"&lt;&gt;",$G$5:G241,"&lt;&gt;Отменён"),"")</f>
        <v/>
      </c>
    </row>
    <row r="242" spans="1:11">
      <c r="A242" t="str">
        <f>IF(B242="","","VIS_"&amp;(YEAR(B242)*10000+MONTH(B242)*100+DAY(B242))&amp;"_"&amp;IF(COUNTIF($B$5:B242,B242)&lt;10,"00"&amp;COUNTIF($B$5:B242,B242),IF(COUNTIF($B$5:B242,B242)&lt;100,"0"&amp;COUNTIF($B$5:B242,B242),COUNTIF($B$5:B242,B242))))</f>
        <v>VIS_20260717_001</v>
      </c>
      <c r="B242" s="40">
        <v>46220</v>
      </c>
      <c r="C242" s="47" t="str">
        <f t="shared" si="6"/>
        <v>Пт</v>
      </c>
      <c r="D242" t="s">
        <v>54</v>
      </c>
      <c r="E242" t="s">
        <v>29</v>
      </c>
      <c r="F242" t="s">
        <v>52</v>
      </c>
      <c r="G242" t="s">
        <v>31</v>
      </c>
      <c r="H242" t="s">
        <v>53</v>
      </c>
      <c r="I242" s="46"/>
      <c r="J242" s="39">
        <f t="shared" si="7"/>
        <v>46218</v>
      </c>
      <c r="K242" t="str">
        <f ca="1">IF(AND(B242&gt;='План недели'!$B$4,B242&lt;'План недели'!$D$4,D242&lt;&gt;"",G242&lt;&gt;"Отменён"),COUNTIFS($B$5:B242,"&gt;="&amp;'План недели'!$B$4,$B$5:B242,"&lt;"&amp;'План недели'!$D$4,$D$5:D242,"&lt;&gt;",$G$5:G242,"&lt;&gt;Отменён"),"")</f>
        <v/>
      </c>
    </row>
    <row r="243" spans="1:11">
      <c r="A243" t="str">
        <f>IF(B243="","","VIS_"&amp;(YEAR(B243)*10000+MONTH(B243)*100+DAY(B243))&amp;"_"&amp;IF(COUNTIF($B$5:B243,B243)&lt;10,"00"&amp;COUNTIF($B$5:B243,B243),IF(COUNTIF($B$5:B243,B243)&lt;100,"0"&amp;COUNTIF($B$5:B243,B243),COUNTIF($B$5:B243,B243))))</f>
        <v>VIS_20260718_001</v>
      </c>
      <c r="B243" s="42">
        <v>46221</v>
      </c>
      <c r="C243" s="49" t="str">
        <f t="shared" si="6"/>
        <v>Сб</v>
      </c>
      <c r="I243" s="46"/>
      <c r="J243" s="39">
        <f t="shared" si="7"/>
        <v>46218</v>
      </c>
      <c r="K243" t="str">
        <f ca="1">IF(AND(B243&gt;='План недели'!$B$4,B243&lt;'План недели'!$D$4,D243&lt;&gt;"",G243&lt;&gt;"Отменён"),COUNTIFS($B$5:B243,"&gt;="&amp;'План недели'!$B$4,$B$5:B243,"&lt;"&amp;'План недели'!$D$4,$D$5:D243,"&lt;&gt;",$G$5:G243,"&lt;&gt;Отменён"),"")</f>
        <v/>
      </c>
    </row>
    <row r="244" spans="1:11">
      <c r="A244" t="str">
        <f>IF(B244="","","VIS_"&amp;(YEAR(B244)*10000+MONTH(B244)*100+DAY(B244))&amp;"_"&amp;IF(COUNTIF($B$5:B244,B244)&lt;10,"00"&amp;COUNTIF($B$5:B244,B244),IF(COUNTIF($B$5:B244,B244)&lt;100,"0"&amp;COUNTIF($B$5:B244,B244),COUNTIF($B$5:B244,B244))))</f>
        <v>VIS_20260719_001</v>
      </c>
      <c r="B244" s="42">
        <v>46222</v>
      </c>
      <c r="C244" s="49" t="str">
        <f t="shared" si="6"/>
        <v>Вс</v>
      </c>
      <c r="I244" s="46"/>
      <c r="J244" s="39">
        <f t="shared" si="7"/>
        <v>46218</v>
      </c>
      <c r="K244" t="str">
        <f ca="1">IF(AND(B244&gt;='План недели'!$B$4,B244&lt;'План недели'!$D$4,D244&lt;&gt;"",G244&lt;&gt;"Отменён"),COUNTIFS($B$5:B244,"&gt;="&amp;'План недели'!$B$4,$B$5:B244,"&lt;"&amp;'План недели'!$D$4,$D$5:D244,"&lt;&gt;",$G$5:G244,"&lt;&gt;Отменён"),"")</f>
        <v/>
      </c>
    </row>
    <row r="245" spans="1:11">
      <c r="A245" t="str">
        <f>IF(B245="","","VIS_"&amp;(YEAR(B245)*10000+MONTH(B245)*100+DAY(B245))&amp;"_"&amp;IF(COUNTIF($B$5:B245,B245)&lt;10,"00"&amp;COUNTIF($B$5:B245,B245),IF(COUNTIF($B$5:B245,B245)&lt;100,"0"&amp;COUNTIF($B$5:B245,B245),COUNTIF($B$5:B245,B245))))</f>
        <v>VIS_20260720_001</v>
      </c>
      <c r="B245" s="40">
        <v>46223</v>
      </c>
      <c r="C245" s="47" t="str">
        <f t="shared" si="6"/>
        <v>Пн</v>
      </c>
      <c r="D245" t="s">
        <v>32</v>
      </c>
      <c r="E245" t="s">
        <v>29</v>
      </c>
      <c r="F245" t="s">
        <v>30</v>
      </c>
      <c r="G245" t="s">
        <v>31</v>
      </c>
      <c r="I245" s="46">
        <v>445</v>
      </c>
      <c r="J245" s="39">
        <f t="shared" si="7"/>
        <v>46218</v>
      </c>
      <c r="K245" t="str">
        <f ca="1">IF(AND(B245&gt;='План недели'!$B$4,B245&lt;'План недели'!$D$4,D245&lt;&gt;"",G245&lt;&gt;"Отменён"),COUNTIFS($B$5:B245,"&gt;="&amp;'План недели'!$B$4,$B$5:B245,"&lt;"&amp;'План недели'!$D$4,$D$5:D245,"&lt;&gt;",$G$5:G245,"&lt;&gt;Отменён"),"")</f>
        <v/>
      </c>
    </row>
    <row r="246" spans="1:11">
      <c r="A246" t="str">
        <f>IF(B246="","","VIS_"&amp;(YEAR(B246)*10000+MONTH(B246)*100+DAY(B246))&amp;"_"&amp;IF(COUNTIF($B$5:B246,B246)&lt;10,"00"&amp;COUNTIF($B$5:B246,B246),IF(COUNTIF($B$5:B246,B246)&lt;100,"0"&amp;COUNTIF($B$5:B246,B246),COUNTIF($B$5:B246,B246))))</f>
        <v>VIS_20260720_002</v>
      </c>
      <c r="B246" s="40">
        <v>46223</v>
      </c>
      <c r="C246" s="47" t="str">
        <f t="shared" si="6"/>
        <v>Пн</v>
      </c>
      <c r="D246" t="s">
        <v>49</v>
      </c>
      <c r="E246" t="s">
        <v>34</v>
      </c>
      <c r="F246" t="s">
        <v>30</v>
      </c>
      <c r="G246" t="s">
        <v>31</v>
      </c>
      <c r="H246" t="s">
        <v>50</v>
      </c>
      <c r="I246" s="46">
        <v>151</v>
      </c>
      <c r="J246" s="39">
        <f t="shared" si="7"/>
        <v>46218</v>
      </c>
      <c r="K246" t="str">
        <f ca="1">IF(AND(B246&gt;='План недели'!$B$4,B246&lt;'План недели'!$D$4,D246&lt;&gt;"",G246&lt;&gt;"Отменён"),COUNTIFS($B$5:B246,"&gt;="&amp;'План недели'!$B$4,$B$5:B246,"&lt;"&amp;'План недели'!$D$4,$D$5:D246,"&lt;&gt;",$G$5:G246,"&lt;&gt;Отменён"),"")</f>
        <v/>
      </c>
    </row>
    <row r="247" spans="1:11">
      <c r="A247" t="str">
        <f>IF(B247="","","VIS_"&amp;(YEAR(B247)*10000+MONTH(B247)*100+DAY(B247))&amp;"_"&amp;IF(COUNTIF($B$5:B247,B247)&lt;10,"00"&amp;COUNTIF($B$5:B247,B247),IF(COUNTIF($B$5:B247,B247)&lt;100,"0"&amp;COUNTIF($B$5:B247,B247),COUNTIF($B$5:B247,B247))))</f>
        <v>VIS_20260721_001</v>
      </c>
      <c r="B247" s="40">
        <v>46224</v>
      </c>
      <c r="C247" s="47" t="str">
        <f t="shared" si="6"/>
        <v>Вт</v>
      </c>
      <c r="D247" t="s">
        <v>37</v>
      </c>
      <c r="E247" t="s">
        <v>29</v>
      </c>
      <c r="F247" t="s">
        <v>30</v>
      </c>
      <c r="G247" t="s">
        <v>31</v>
      </c>
      <c r="I247" s="46">
        <v>366</v>
      </c>
      <c r="J247" s="39">
        <f t="shared" si="7"/>
        <v>46218</v>
      </c>
      <c r="K247" t="str">
        <f ca="1">IF(AND(B247&gt;='План недели'!$B$4,B247&lt;'План недели'!$D$4,D247&lt;&gt;"",G247&lt;&gt;"Отменён"),COUNTIFS($B$5:B247,"&gt;="&amp;'План недели'!$B$4,$B$5:B247,"&lt;"&amp;'План недели'!$D$4,$D$5:D247,"&lt;&gt;",$G$5:G247,"&lt;&gt;Отменён"),"")</f>
        <v/>
      </c>
    </row>
    <row r="248" spans="1:11">
      <c r="A248" t="str">
        <f>IF(B248="","","VIS_"&amp;(YEAR(B248)*10000+MONTH(B248)*100+DAY(B248))&amp;"_"&amp;IF(COUNTIF($B$5:B248,B248)&lt;10,"00"&amp;COUNTIF($B$5:B248,B248),IF(COUNTIF($B$5:B248,B248)&lt;100,"0"&amp;COUNTIF($B$5:B248,B248),COUNTIF($B$5:B248,B248))))</f>
        <v>VIS_20260721_002</v>
      </c>
      <c r="B248" s="40">
        <v>46224</v>
      </c>
      <c r="C248" s="47" t="str">
        <f t="shared" si="6"/>
        <v>Вт</v>
      </c>
      <c r="D248" t="s">
        <v>38</v>
      </c>
      <c r="E248" t="s">
        <v>34</v>
      </c>
      <c r="F248" t="s">
        <v>30</v>
      </c>
      <c r="G248" t="s">
        <v>31</v>
      </c>
      <c r="I248" s="46">
        <v>15</v>
      </c>
      <c r="J248" s="39">
        <f t="shared" si="7"/>
        <v>46218</v>
      </c>
      <c r="K248" t="str">
        <f ca="1">IF(AND(B248&gt;='План недели'!$B$4,B248&lt;'План недели'!$D$4,D248&lt;&gt;"",G248&lt;&gt;"Отменён"),COUNTIFS($B$5:B248,"&gt;="&amp;'План недели'!$B$4,$B$5:B248,"&lt;"&amp;'План недели'!$D$4,$D$5:D248,"&lt;&gt;",$G$5:G248,"&lt;&gt;Отменён"),"")</f>
        <v/>
      </c>
    </row>
    <row r="249" spans="1:11">
      <c r="A249" t="str">
        <f>IF(B249="","","VIS_"&amp;(YEAR(B249)*10000+MONTH(B249)*100+DAY(B249))&amp;"_"&amp;IF(COUNTIF($B$5:B249,B249)&lt;10,"00"&amp;COUNTIF($B$5:B249,B249),IF(COUNTIF($B$5:B249,B249)&lt;100,"0"&amp;COUNTIF($B$5:B249,B249),COUNTIF($B$5:B249,B249))))</f>
        <v>VIS_20260722_001</v>
      </c>
      <c r="B249" s="40">
        <v>46225</v>
      </c>
      <c r="C249" s="47" t="str">
        <f t="shared" si="6"/>
        <v>Ср</v>
      </c>
      <c r="D249" t="s">
        <v>35</v>
      </c>
      <c r="E249" t="s">
        <v>29</v>
      </c>
      <c r="F249" t="s">
        <v>30</v>
      </c>
      <c r="G249" t="s">
        <v>31</v>
      </c>
      <c r="I249" s="46">
        <v>200</v>
      </c>
      <c r="J249" s="39">
        <f t="shared" si="7"/>
        <v>46225</v>
      </c>
      <c r="K249">
        <f ca="1">IF(AND(B249&gt;='План недели'!$B$4,B249&lt;'План недели'!$D$4,D249&lt;&gt;"",G249&lt;&gt;"Отменён"),COUNTIFS($B$5:B249,"&gt;="&amp;'План недели'!$B$4,$B$5:B249,"&lt;"&amp;'План недели'!$D$4,$D$5:D249,"&lt;&gt;",$G$5:G249,"&lt;&gt;Отменён"),"")</f>
        <v>1</v>
      </c>
    </row>
    <row r="250" spans="1:11">
      <c r="A250" t="str">
        <f>IF(B250="","","VIS_"&amp;(YEAR(B250)*10000+MONTH(B250)*100+DAY(B250))&amp;"_"&amp;IF(COUNTIF($B$5:B250,B250)&lt;10,"00"&amp;COUNTIF($B$5:B250,B250),IF(COUNTIF($B$5:B250,B250)&lt;100,"0"&amp;COUNTIF($B$5:B250,B250),COUNTIF($B$5:B250,B250))))</f>
        <v>VIS_20260722_002</v>
      </c>
      <c r="B250" s="40">
        <v>46225</v>
      </c>
      <c r="C250" s="47" t="str">
        <f t="shared" si="6"/>
        <v>Ср</v>
      </c>
      <c r="D250" t="s">
        <v>49</v>
      </c>
      <c r="E250" t="s">
        <v>34</v>
      </c>
      <c r="F250" t="s">
        <v>30</v>
      </c>
      <c r="G250" t="s">
        <v>31</v>
      </c>
      <c r="H250" t="s">
        <v>50</v>
      </c>
      <c r="I250" s="46">
        <v>151</v>
      </c>
      <c r="J250" s="39">
        <f t="shared" si="7"/>
        <v>46225</v>
      </c>
      <c r="K250">
        <f ca="1">IF(AND(B250&gt;='План недели'!$B$4,B250&lt;'План недели'!$D$4,D250&lt;&gt;"",G250&lt;&gt;"Отменён"),COUNTIFS($B$5:B250,"&gt;="&amp;'План недели'!$B$4,$B$5:B250,"&lt;"&amp;'План недели'!$D$4,$D$5:D250,"&lt;&gt;",$G$5:G250,"&lt;&gt;Отменён"),"")</f>
        <v>2</v>
      </c>
    </row>
    <row r="251" spans="1:11">
      <c r="A251" t="str">
        <f>IF(B251="","","VIS_"&amp;(YEAR(B251)*10000+MONTH(B251)*100+DAY(B251))&amp;"_"&amp;IF(COUNTIF($B$5:B251,B251)&lt;10,"00"&amp;COUNTIF($B$5:B251,B251),IF(COUNTIF($B$5:B251,B251)&lt;100,"0"&amp;COUNTIF($B$5:B251,B251),COUNTIF($B$5:B251,B251))))</f>
        <v>VIS_20260723_001</v>
      </c>
      <c r="B251" s="40">
        <v>46226</v>
      </c>
      <c r="C251" s="47" t="str">
        <f t="shared" si="6"/>
        <v>Чт</v>
      </c>
      <c r="D251" t="s">
        <v>55</v>
      </c>
      <c r="E251" t="s">
        <v>34</v>
      </c>
      <c r="F251" t="s">
        <v>30</v>
      </c>
      <c r="G251" t="s">
        <v>31</v>
      </c>
      <c r="H251" t="s">
        <v>39</v>
      </c>
      <c r="I251" s="46">
        <v>526</v>
      </c>
      <c r="J251" s="39">
        <f t="shared" si="7"/>
        <v>46225</v>
      </c>
      <c r="K251">
        <f ca="1">IF(AND(B251&gt;='План недели'!$B$4,B251&lt;'План недели'!$D$4,D251&lt;&gt;"",G251&lt;&gt;"Отменён"),COUNTIFS($B$5:B251,"&gt;="&amp;'План недели'!$B$4,$B$5:B251,"&lt;"&amp;'План недели'!$D$4,$D$5:D251,"&lt;&gt;",$G$5:G251,"&lt;&gt;Отменён"),"")</f>
        <v>3</v>
      </c>
    </row>
    <row r="252" spans="1:11">
      <c r="A252" t="str">
        <f>IF(B252="","","VIS_"&amp;(YEAR(B252)*10000+MONTH(B252)*100+DAY(B252))&amp;"_"&amp;IF(COUNTIF($B$5:B252,B252)&lt;10,"00"&amp;COUNTIF($B$5:B252,B252),IF(COUNTIF($B$5:B252,B252)&lt;100,"0"&amp;COUNTIF($B$5:B252,B252),COUNTIF($B$5:B252,B252))))</f>
        <v>VIS_20260723_002</v>
      </c>
      <c r="B252" s="40">
        <v>46226</v>
      </c>
      <c r="C252" s="47" t="str">
        <f t="shared" si="6"/>
        <v>Чт</v>
      </c>
      <c r="D252" t="s">
        <v>40</v>
      </c>
      <c r="E252" t="s">
        <v>34</v>
      </c>
      <c r="F252" t="s">
        <v>30</v>
      </c>
      <c r="G252" t="s">
        <v>56</v>
      </c>
      <c r="H252" t="s">
        <v>39</v>
      </c>
      <c r="I252" s="46">
        <v>24</v>
      </c>
      <c r="J252" s="39">
        <f t="shared" si="7"/>
        <v>46225</v>
      </c>
      <c r="K252" t="str">
        <f ca="1">IF(AND(B252&gt;='План недели'!$B$4,B252&lt;'План недели'!$D$4,D252&lt;&gt;"",G252&lt;&gt;"Отменён"),COUNTIFS($B$5:B252,"&gt;="&amp;'План недели'!$B$4,$B$5:B252,"&lt;"&amp;'План недели'!$D$4,$D$5:D252,"&lt;&gt;",$G$5:G252,"&lt;&gt;Отменён"),"")</f>
        <v/>
      </c>
    </row>
    <row r="253" spans="1:11">
      <c r="A253" t="str">
        <f>IF(B253="","","VIS_"&amp;(YEAR(B253)*10000+MONTH(B253)*100+DAY(B253))&amp;"_"&amp;IF(COUNTIF($B$5:B253,B253)&lt;10,"00"&amp;COUNTIF($B$5:B253,B253),IF(COUNTIF($B$5:B253,B253)&lt;100,"0"&amp;COUNTIF($B$5:B253,B253),COUNTIF($B$5:B253,B253))))</f>
        <v>VIS_20260723_003</v>
      </c>
      <c r="B253" s="40">
        <v>46226</v>
      </c>
      <c r="C253" s="47" t="str">
        <f t="shared" si="6"/>
        <v>Чт</v>
      </c>
      <c r="D253" t="s">
        <v>41</v>
      </c>
      <c r="E253" t="s">
        <v>34</v>
      </c>
      <c r="F253" t="s">
        <v>30</v>
      </c>
      <c r="G253" t="s">
        <v>56</v>
      </c>
      <c r="H253" t="s">
        <v>39</v>
      </c>
      <c r="I253" s="46">
        <v>22</v>
      </c>
      <c r="J253" s="39">
        <f t="shared" si="7"/>
        <v>46225</v>
      </c>
      <c r="K253" t="str">
        <f ca="1">IF(AND(B253&gt;='План недели'!$B$4,B253&lt;'План недели'!$D$4,D253&lt;&gt;"",G253&lt;&gt;"Отменён"),COUNTIFS($B$5:B253,"&gt;="&amp;'План недели'!$B$4,$B$5:B253,"&lt;"&amp;'План недели'!$D$4,$D$5:D253,"&lt;&gt;",$G$5:G253,"&lt;&gt;Отменён"),"")</f>
        <v/>
      </c>
    </row>
    <row r="254" spans="1:11">
      <c r="A254" t="str">
        <f>IF(B254="","","VIS_"&amp;(YEAR(B254)*10000+MONTH(B254)*100+DAY(B254))&amp;"_"&amp;IF(COUNTIF($B$5:B254,B254)&lt;10,"00"&amp;COUNTIF($B$5:B254,B254),IF(COUNTIF($B$5:B254,B254)&lt;100,"0"&amp;COUNTIF($B$5:B254,B254),COUNTIF($B$5:B254,B254))))</f>
        <v>VIS_20260723_004</v>
      </c>
      <c r="B254" s="40">
        <v>46226</v>
      </c>
      <c r="C254" s="47" t="str">
        <f t="shared" si="6"/>
        <v>Чт</v>
      </c>
      <c r="D254" t="s">
        <v>42</v>
      </c>
      <c r="E254" t="s">
        <v>34</v>
      </c>
      <c r="F254" t="s">
        <v>30</v>
      </c>
      <c r="G254" t="s">
        <v>56</v>
      </c>
      <c r="H254" t="s">
        <v>39</v>
      </c>
      <c r="I254" s="46">
        <v>16</v>
      </c>
      <c r="J254" s="39">
        <f t="shared" si="7"/>
        <v>46225</v>
      </c>
      <c r="K254" t="str">
        <f ca="1">IF(AND(B254&gt;='План недели'!$B$4,B254&lt;'План недели'!$D$4,D254&lt;&gt;"",G254&lt;&gt;"Отменён"),COUNTIFS($B$5:B254,"&gt;="&amp;'План недели'!$B$4,$B$5:B254,"&lt;"&amp;'План недели'!$D$4,$D$5:D254,"&lt;&gt;",$G$5:G254,"&lt;&gt;Отменён"),"")</f>
        <v/>
      </c>
    </row>
    <row r="255" spans="1:11">
      <c r="A255" t="str">
        <f>IF(B255="","","VIS_"&amp;(YEAR(B255)*10000+MONTH(B255)*100+DAY(B255))&amp;"_"&amp;IF(COUNTIF($B$5:B255,B255)&lt;10,"00"&amp;COUNTIF($B$5:B255,B255),IF(COUNTIF($B$5:B255,B255)&lt;100,"0"&amp;COUNTIF($B$5:B255,B255),COUNTIF($B$5:B255,B255))))</f>
        <v>VIS_20260723_005</v>
      </c>
      <c r="B255" s="40">
        <v>46226</v>
      </c>
      <c r="C255" s="47" t="str">
        <f t="shared" si="6"/>
        <v>Чт</v>
      </c>
      <c r="D255" t="s">
        <v>43</v>
      </c>
      <c r="E255" t="s">
        <v>34</v>
      </c>
      <c r="F255" t="s">
        <v>30</v>
      </c>
      <c r="G255" t="s">
        <v>56</v>
      </c>
      <c r="H255" t="s">
        <v>39</v>
      </c>
      <c r="I255" s="46">
        <v>24</v>
      </c>
      <c r="J255" s="39">
        <f t="shared" si="7"/>
        <v>46225</v>
      </c>
      <c r="K255" t="str">
        <f ca="1">IF(AND(B255&gt;='План недели'!$B$4,B255&lt;'План недели'!$D$4,D255&lt;&gt;"",G255&lt;&gt;"Отменён"),COUNTIFS($B$5:B255,"&gt;="&amp;'План недели'!$B$4,$B$5:B255,"&lt;"&amp;'План недели'!$D$4,$D$5:D255,"&lt;&gt;",$G$5:G255,"&lt;&gt;Отменён"),"")</f>
        <v/>
      </c>
    </row>
    <row r="256" spans="1:11">
      <c r="A256" t="str">
        <f>IF(B256="","","VIS_"&amp;(YEAR(B256)*10000+MONTH(B256)*100+DAY(B256))&amp;"_"&amp;IF(COUNTIF($B$5:B256,B256)&lt;10,"00"&amp;COUNTIF($B$5:B256,B256),IF(COUNTIF($B$5:B256,B256)&lt;100,"0"&amp;COUNTIF($B$5:B256,B256),COUNTIF($B$5:B256,B256))))</f>
        <v>VIS_20260723_006</v>
      </c>
      <c r="B256" s="40">
        <v>46226</v>
      </c>
      <c r="C256" s="47" t="str">
        <f t="shared" si="6"/>
        <v>Чт</v>
      </c>
      <c r="D256" t="s">
        <v>44</v>
      </c>
      <c r="E256" t="s">
        <v>34</v>
      </c>
      <c r="F256" t="s">
        <v>30</v>
      </c>
      <c r="G256" t="s">
        <v>56</v>
      </c>
      <c r="H256" t="s">
        <v>39</v>
      </c>
      <c r="I256" s="46">
        <v>19</v>
      </c>
      <c r="J256" s="39">
        <f t="shared" si="7"/>
        <v>46225</v>
      </c>
      <c r="K256" t="str">
        <f ca="1">IF(AND(B256&gt;='План недели'!$B$4,B256&lt;'План недели'!$D$4,D256&lt;&gt;"",G256&lt;&gt;"Отменён"),COUNTIFS($B$5:B256,"&gt;="&amp;'План недели'!$B$4,$B$5:B256,"&lt;"&amp;'План недели'!$D$4,$D$5:D256,"&lt;&gt;",$G$5:G256,"&lt;&gt;Отменён"),"")</f>
        <v/>
      </c>
    </row>
    <row r="257" spans="1:11">
      <c r="A257" t="str">
        <f>IF(B257="","","VIS_"&amp;(YEAR(B257)*10000+MONTH(B257)*100+DAY(B257))&amp;"_"&amp;IF(COUNTIF($B$5:B257,B257)&lt;10,"00"&amp;COUNTIF($B$5:B257,B257),IF(COUNTIF($B$5:B257,B257)&lt;100,"0"&amp;COUNTIF($B$5:B257,B257),COUNTIF($B$5:B257,B257))))</f>
        <v>VIS_20260723_007</v>
      </c>
      <c r="B257" s="40">
        <v>46226</v>
      </c>
      <c r="C257" s="47" t="str">
        <f t="shared" si="6"/>
        <v>Чт</v>
      </c>
      <c r="D257" t="s">
        <v>45</v>
      </c>
      <c r="E257" t="s">
        <v>34</v>
      </c>
      <c r="F257" t="s">
        <v>30</v>
      </c>
      <c r="G257" t="s">
        <v>56</v>
      </c>
      <c r="H257" t="s">
        <v>39</v>
      </c>
      <c r="I257" s="46">
        <v>31</v>
      </c>
      <c r="J257" s="39">
        <f t="shared" si="7"/>
        <v>46225</v>
      </c>
      <c r="K257" t="str">
        <f ca="1">IF(AND(B257&gt;='План недели'!$B$4,B257&lt;'План недели'!$D$4,D257&lt;&gt;"",G257&lt;&gt;"Отменён"),COUNTIFS($B$5:B257,"&gt;="&amp;'План недели'!$B$4,$B$5:B257,"&lt;"&amp;'План недели'!$D$4,$D$5:D257,"&lt;&gt;",$G$5:G257,"&lt;&gt;Отменён"),"")</f>
        <v/>
      </c>
    </row>
    <row r="258" spans="1:11">
      <c r="A258" t="str">
        <f>IF(B258="","","VIS_"&amp;(YEAR(B258)*10000+MONTH(B258)*100+DAY(B258))&amp;"_"&amp;IF(COUNTIF($B$5:B258,B258)&lt;10,"00"&amp;COUNTIF($B$5:B258,B258),IF(COUNTIF($B$5:B258,B258)&lt;100,"0"&amp;COUNTIF($B$5:B258,B258),COUNTIF($B$5:B258,B258))))</f>
        <v>VIS_20260724_001</v>
      </c>
      <c r="B258" s="40">
        <v>46227</v>
      </c>
      <c r="C258" s="47" t="str">
        <f t="shared" si="6"/>
        <v>Пт</v>
      </c>
      <c r="D258" t="s">
        <v>28</v>
      </c>
      <c r="E258" t="s">
        <v>29</v>
      </c>
      <c r="F258" t="s">
        <v>30</v>
      </c>
      <c r="G258" t="s">
        <v>187</v>
      </c>
      <c r="I258" s="46">
        <v>557</v>
      </c>
      <c r="J258" s="39">
        <f t="shared" si="7"/>
        <v>46225</v>
      </c>
      <c r="K258" t="str">
        <f ca="1">IF(AND(B258&gt;='План недели'!$B$4,B258&lt;'План недели'!$D$4,D258&lt;&gt;"",G258&lt;&gt;"Отменён"),COUNTIFS($B$5:B258,"&gt;="&amp;'План недели'!$B$4,$B$5:B258,"&lt;"&amp;'План недели'!$D$4,$D$5:D258,"&lt;&gt;",$G$5:G258,"&lt;&gt;Отменён"),"")</f>
        <v/>
      </c>
    </row>
    <row r="259" spans="1:11">
      <c r="A259" t="str">
        <f>IF(B259="","","VIS_"&amp;(YEAR(B259)*10000+MONTH(B259)*100+DAY(B259))&amp;"_"&amp;IF(COUNTIF($B$5:B259,B259)&lt;10,"00"&amp;COUNTIF($B$5:B259,B259),IF(COUNTIF($B$5:B259,B259)&lt;100,"0"&amp;COUNTIF($B$5:B259,B259),COUNTIF($B$5:B259,B259))))</f>
        <v>VIS_20260724_002</v>
      </c>
      <c r="B259" s="40">
        <v>46227</v>
      </c>
      <c r="C259" s="47" t="str">
        <f t="shared" si="6"/>
        <v>Пт</v>
      </c>
      <c r="D259" t="s">
        <v>49</v>
      </c>
      <c r="E259" t="s">
        <v>34</v>
      </c>
      <c r="F259" t="s">
        <v>30</v>
      </c>
      <c r="G259" t="s">
        <v>31</v>
      </c>
      <c r="H259" t="s">
        <v>50</v>
      </c>
      <c r="I259" s="46">
        <v>151</v>
      </c>
      <c r="J259" s="39">
        <f t="shared" si="7"/>
        <v>46225</v>
      </c>
      <c r="K259">
        <f ca="1">IF(AND(B259&gt;='План недели'!$B$4,B259&lt;'План недели'!$D$4,D259&lt;&gt;"",G259&lt;&gt;"Отменён"),COUNTIFS($B$5:B259,"&gt;="&amp;'План недели'!$B$4,$B$5:B259,"&lt;"&amp;'План недели'!$D$4,$D$5:D259,"&lt;&gt;",$G$5:G259,"&lt;&gt;Отменён"),"")</f>
        <v>4</v>
      </c>
    </row>
    <row r="260" spans="1:11">
      <c r="A260" t="str">
        <f>IF(B260="","","VIS_"&amp;(YEAR(B260)*10000+MONTH(B260)*100+DAY(B260))&amp;"_"&amp;IF(COUNTIF($B$5:B260,B260)&lt;10,"00"&amp;COUNTIF($B$5:B260,B260),IF(COUNTIF($B$5:B260,B260)&lt;100,"0"&amp;COUNTIF($B$5:B260,B260),COUNTIF($B$5:B260,B260))))</f>
        <v>VIS_20260724_003</v>
      </c>
      <c r="B260" s="40">
        <v>46227</v>
      </c>
      <c r="C260" s="47" t="str">
        <f t="shared" si="6"/>
        <v>Пт</v>
      </c>
      <c r="D260" t="s">
        <v>46</v>
      </c>
      <c r="E260" t="s">
        <v>34</v>
      </c>
      <c r="F260" t="s">
        <v>30</v>
      </c>
      <c r="G260" t="s">
        <v>56</v>
      </c>
      <c r="I260" s="46">
        <v>364</v>
      </c>
      <c r="J260" s="39">
        <f t="shared" si="7"/>
        <v>46225</v>
      </c>
      <c r="K260" t="str">
        <f ca="1">IF(AND(B260&gt;='План недели'!$B$4,B260&lt;'План недели'!$D$4,D260&lt;&gt;"",G260&lt;&gt;"Отменён"),COUNTIFS($B$5:B260,"&gt;="&amp;'План недели'!$B$4,$B$5:B260,"&lt;"&amp;'План недели'!$D$4,$D$5:D260,"&lt;&gt;",$G$5:G260,"&lt;&gt;Отменён"),"")</f>
        <v/>
      </c>
    </row>
    <row r="261" spans="1:11">
      <c r="A261" t="str">
        <f>IF(B261="","","VIS_"&amp;(YEAR(B261)*10000+MONTH(B261)*100+DAY(B261))&amp;"_"&amp;IF(COUNTIF($B$5:B261,B261)&lt;10,"00"&amp;COUNTIF($B$5:B261,B261),IF(COUNTIF($B$5:B261,B261)&lt;100,"0"&amp;COUNTIF($B$5:B261,B261),COUNTIF($B$5:B261,B261))))</f>
        <v>VIS_20260725_001</v>
      </c>
      <c r="B261" s="42">
        <v>46228</v>
      </c>
      <c r="C261" s="49" t="str">
        <f t="shared" ref="C261:C324" si="8">IF(B261="","",CHOOSE(WEEKDAY(B261,2),"Пн","Вт","Ср","Чт","Пт","Сб","Вс"))</f>
        <v>Сб</v>
      </c>
      <c r="I261" s="46"/>
      <c r="J261" s="39">
        <f t="shared" ref="J261:J324" si="9">IF(B261="","",B261-MOD(WEEKDAY(B261,2)-3,7))</f>
        <v>46225</v>
      </c>
      <c r="K261" t="str">
        <f ca="1">IF(AND(B261&gt;='План недели'!$B$4,B261&lt;'План недели'!$D$4,D261&lt;&gt;"",G261&lt;&gt;"Отменён"),COUNTIFS($B$5:B261,"&gt;="&amp;'План недели'!$B$4,$B$5:B261,"&lt;"&amp;'План недели'!$D$4,$D$5:D261,"&lt;&gt;",$G$5:G261,"&lt;&gt;Отменён"),"")</f>
        <v/>
      </c>
    </row>
    <row r="262" spans="1:11">
      <c r="A262" t="str">
        <f>IF(B262="","","VIS_"&amp;(YEAR(B262)*10000+MONTH(B262)*100+DAY(B262))&amp;"_"&amp;IF(COUNTIF($B$5:B262,B262)&lt;10,"00"&amp;COUNTIF($B$5:B262,B262),IF(COUNTIF($B$5:B262,B262)&lt;100,"0"&amp;COUNTIF($B$5:B262,B262),COUNTIF($B$5:B262,B262))))</f>
        <v>VIS_20260726_001</v>
      </c>
      <c r="B262" s="42">
        <v>46229</v>
      </c>
      <c r="C262" s="49" t="str">
        <f t="shared" si="8"/>
        <v>Вс</v>
      </c>
      <c r="I262" s="46"/>
      <c r="J262" s="39">
        <f t="shared" si="9"/>
        <v>46225</v>
      </c>
      <c r="K262" t="str">
        <f ca="1">IF(AND(B262&gt;='План недели'!$B$4,B262&lt;'План недели'!$D$4,D262&lt;&gt;"",G262&lt;&gt;"Отменён"),COUNTIFS($B$5:B262,"&gt;="&amp;'План недели'!$B$4,$B$5:B262,"&lt;"&amp;'План недели'!$D$4,$D$5:D262,"&lt;&gt;",$G$5:G262,"&lt;&gt;Отменён"),"")</f>
        <v/>
      </c>
    </row>
    <row r="263" spans="1:11">
      <c r="A263" t="str">
        <f>IF(B263="","","VIS_"&amp;(YEAR(B263)*10000+MONTH(B263)*100+DAY(B263))&amp;"_"&amp;IF(COUNTIF($B$5:B263,B263)&lt;10,"00"&amp;COUNTIF($B$5:B263,B263),IF(COUNTIF($B$5:B263,B263)&lt;100,"0"&amp;COUNTIF($B$5:B263,B263),COUNTIF($B$5:B263,B263))))</f>
        <v>VIS_20260727_001</v>
      </c>
      <c r="B263" s="40">
        <v>46230</v>
      </c>
      <c r="C263" s="47" t="str">
        <f t="shared" si="8"/>
        <v>Пн</v>
      </c>
      <c r="D263" t="s">
        <v>49</v>
      </c>
      <c r="E263" t="s">
        <v>34</v>
      </c>
      <c r="F263" t="s">
        <v>30</v>
      </c>
      <c r="G263" t="s">
        <v>57</v>
      </c>
      <c r="I263" s="46">
        <v>151</v>
      </c>
      <c r="J263" s="39">
        <f t="shared" si="9"/>
        <v>46225</v>
      </c>
      <c r="K263">
        <f ca="1">IF(AND(B263&gt;='План недели'!$B$4,B263&lt;'План недели'!$D$4,D263&lt;&gt;"",G263&lt;&gt;"Отменён"),COUNTIFS($B$5:B263,"&gt;="&amp;'План недели'!$B$4,$B$5:B263,"&lt;"&amp;'План недели'!$D$4,$D$5:D263,"&lt;&gt;",$G$5:G263,"&lt;&gt;Отменён"),"")</f>
        <v>5</v>
      </c>
    </row>
    <row r="264" spans="1:11">
      <c r="A264" t="str">
        <f>IF(B264="","","VIS_"&amp;(YEAR(B264)*10000+MONTH(B264)*100+DAY(B264))&amp;"_"&amp;IF(COUNTIF($B$5:B264,B264)&lt;10,"00"&amp;COUNTIF($B$5:B264,B264),IF(COUNTIF($B$5:B264,B264)&lt;100,"0"&amp;COUNTIF($B$5:B264,B264),COUNTIF($B$5:B264,B264))))</f>
        <v>VIS_20260727_002</v>
      </c>
      <c r="B264" s="40">
        <v>46230</v>
      </c>
      <c r="C264" s="47" t="str">
        <f t="shared" si="8"/>
        <v>Пн</v>
      </c>
      <c r="D264" t="s">
        <v>48</v>
      </c>
      <c r="E264" t="s">
        <v>34</v>
      </c>
      <c r="F264" t="s">
        <v>30</v>
      </c>
      <c r="G264" t="s">
        <v>57</v>
      </c>
      <c r="I264" s="46">
        <f>IF(D264="","",IFERROR(VLOOKUP(D264,Объекты!$B$5:$C$200,2,FALSE),""))</f>
        <v>350</v>
      </c>
      <c r="J264" s="39">
        <f t="shared" si="9"/>
        <v>46225</v>
      </c>
      <c r="K264">
        <f ca="1">IF(AND(B264&gt;='План недели'!$B$4,B264&lt;'План недели'!$D$4,D264&lt;&gt;"",G264&lt;&gt;"Отменён"),COUNTIFS($B$5:B264,"&gt;="&amp;'План недели'!$B$4,$B$5:B264,"&lt;"&amp;'План недели'!$D$4,$D$5:D264,"&lt;&gt;",$G$5:G264,"&lt;&gt;Отменён"),"")</f>
        <v>6</v>
      </c>
    </row>
    <row r="265" spans="1:11">
      <c r="A265" t="str">
        <f>IF(B265="","","VIS_"&amp;(YEAR(B265)*10000+MONTH(B265)*100+DAY(B265))&amp;"_"&amp;IF(COUNTIF($B$5:B265,B265)&lt;10,"00"&amp;COUNTIF($B$5:B265,B265),IF(COUNTIF($B$5:B265,B265)&lt;100,"0"&amp;COUNTIF($B$5:B265,B265),COUNTIF($B$5:B265,B265))))</f>
        <v>VIS_20260728_001</v>
      </c>
      <c r="B265" s="40">
        <v>46231</v>
      </c>
      <c r="C265" s="47" t="str">
        <f t="shared" si="8"/>
        <v>Вт</v>
      </c>
      <c r="D265" t="s">
        <v>37</v>
      </c>
      <c r="E265" t="s">
        <v>34</v>
      </c>
      <c r="F265" t="s">
        <v>30</v>
      </c>
      <c r="G265" t="s">
        <v>57</v>
      </c>
      <c r="I265" s="46">
        <v>366</v>
      </c>
      <c r="J265" s="39">
        <f t="shared" si="9"/>
        <v>46225</v>
      </c>
      <c r="K265">
        <f ca="1">IF(AND(B265&gt;='План недели'!$B$4,B265&lt;'План недели'!$D$4,D265&lt;&gt;"",G265&lt;&gt;"Отменён"),COUNTIFS($B$5:B265,"&gt;="&amp;'План недели'!$B$4,$B$5:B265,"&lt;"&amp;'План недели'!$D$4,$D$5:D265,"&lt;&gt;",$G$5:G265,"&lt;&gt;Отменён"),"")</f>
        <v>7</v>
      </c>
    </row>
    <row r="266" spans="1:11">
      <c r="A266" t="str">
        <f>IF(B266="","","VIS_"&amp;(YEAR(B266)*10000+MONTH(B266)*100+DAY(B266))&amp;"_"&amp;IF(COUNTIF($B$5:B266,B266)&lt;10,"00"&amp;COUNTIF($B$5:B266,B266),IF(COUNTIF($B$5:B266,B266)&lt;100,"0"&amp;COUNTIF($B$5:B266,B266),COUNTIF($B$5:B266,B266))))</f>
        <v>VIS_20260729_001</v>
      </c>
      <c r="B266" s="40">
        <v>46232</v>
      </c>
      <c r="C266" s="47" t="str">
        <f t="shared" si="8"/>
        <v>Ср</v>
      </c>
      <c r="D266" t="s">
        <v>49</v>
      </c>
      <c r="E266" t="s">
        <v>34</v>
      </c>
      <c r="F266" t="s">
        <v>30</v>
      </c>
      <c r="G266" t="s">
        <v>57</v>
      </c>
      <c r="I266" s="46">
        <f>IF(D266="","",IFERROR(VLOOKUP(D266,Объекты!$B$5:$C$200,2,FALSE),""))</f>
        <v>151</v>
      </c>
      <c r="J266" s="39">
        <f t="shared" si="9"/>
        <v>46232</v>
      </c>
      <c r="K266" t="str">
        <f ca="1">IF(AND(B266&gt;='План недели'!$B$4,B266&lt;'План недели'!$D$4,D266&lt;&gt;"",G266&lt;&gt;"Отменён"),COUNTIFS($B$5:B266,"&gt;="&amp;'План недели'!$B$4,$B$5:B266,"&lt;"&amp;'План недели'!$D$4,$D$5:D266,"&lt;&gt;",$G$5:G266,"&lt;&gt;Отменён"),"")</f>
        <v/>
      </c>
    </row>
    <row r="267" spans="1:11">
      <c r="A267" t="str">
        <f>IF(B267="","","VIS_"&amp;(YEAR(B267)*10000+MONTH(B267)*100+DAY(B267))&amp;"_"&amp;IF(COUNTIF($B$5:B267,B267)&lt;10,"00"&amp;COUNTIF($B$5:B267,B267),IF(COUNTIF($B$5:B267,B267)&lt;100,"0"&amp;COUNTIF($B$5:B267,B267),COUNTIF($B$5:B267,B267))))</f>
        <v>VIS_20260729_002</v>
      </c>
      <c r="B267" s="40">
        <v>46232</v>
      </c>
      <c r="C267" s="47" t="str">
        <f t="shared" si="8"/>
        <v>Ср</v>
      </c>
      <c r="D267" t="s">
        <v>35</v>
      </c>
      <c r="E267" t="s">
        <v>34</v>
      </c>
      <c r="F267" t="s">
        <v>30</v>
      </c>
      <c r="G267" t="s">
        <v>57</v>
      </c>
      <c r="I267" s="46">
        <v>200</v>
      </c>
      <c r="J267" s="39">
        <f t="shared" si="9"/>
        <v>46232</v>
      </c>
      <c r="K267" t="str">
        <f ca="1">IF(AND(B267&gt;='План недели'!$B$4,B267&lt;'План недели'!$D$4,D267&lt;&gt;"",G267&lt;&gt;"Отменён"),COUNTIFS($B$5:B267,"&gt;="&amp;'План недели'!$B$4,$B$5:B267,"&lt;"&amp;'План недели'!$D$4,$D$5:D267,"&lt;&gt;",$G$5:G267,"&lt;&gt;Отменён"),"")</f>
        <v/>
      </c>
    </row>
    <row r="268" spans="1:11">
      <c r="A268" t="str">
        <f>IF(B268="","","VIS_"&amp;(YEAR(B268)*10000+MONTH(B268)*100+DAY(B268))&amp;"_"&amp;IF(COUNTIF($B$5:B268,B268)&lt;10,"00"&amp;COUNTIF($B$5:B268,B268),IF(COUNTIF($B$5:B268,B268)&lt;100,"0"&amp;COUNTIF($B$5:B268,B268),COUNTIF($B$5:B268,B268))))</f>
        <v>VIS_20260730_001</v>
      </c>
      <c r="B268" s="40">
        <v>46233</v>
      </c>
      <c r="C268" s="47" t="str">
        <f t="shared" si="8"/>
        <v>Чт</v>
      </c>
      <c r="D268" t="s">
        <v>32</v>
      </c>
      <c r="E268" t="s">
        <v>34</v>
      </c>
      <c r="F268" t="s">
        <v>30</v>
      </c>
      <c r="G268" t="s">
        <v>57</v>
      </c>
      <c r="I268" s="46">
        <v>445</v>
      </c>
      <c r="J268" s="39">
        <f t="shared" si="9"/>
        <v>46232</v>
      </c>
      <c r="K268" t="str">
        <f ca="1">IF(AND(B268&gt;='План недели'!$B$4,B268&lt;'План недели'!$D$4,D268&lt;&gt;"",G268&lt;&gt;"Отменён"),COUNTIFS($B$5:B268,"&gt;="&amp;'План недели'!$B$4,$B$5:B268,"&lt;"&amp;'План недели'!$D$4,$D$5:D268,"&lt;&gt;",$G$5:G268,"&lt;&gt;Отменён"),"")</f>
        <v/>
      </c>
    </row>
    <row r="269" spans="1:11">
      <c r="A269" t="str">
        <f>IF(B269="","","VIS_"&amp;(YEAR(B269)*10000+MONTH(B269)*100+DAY(B269))&amp;"_"&amp;IF(COUNTIF($B$5:B269,B269)&lt;10,"00"&amp;COUNTIF($B$5:B269,B269),IF(COUNTIF($B$5:B269,B269)&lt;100,"0"&amp;COUNTIF($B$5:B269,B269),COUNTIF($B$5:B269,B269))))</f>
        <v>VIS_20260731_001</v>
      </c>
      <c r="B269" s="40">
        <v>46234</v>
      </c>
      <c r="C269" s="47" t="str">
        <f t="shared" si="8"/>
        <v>Пт</v>
      </c>
      <c r="D269" t="s">
        <v>49</v>
      </c>
      <c r="E269" t="s">
        <v>34</v>
      </c>
      <c r="F269" t="s">
        <v>30</v>
      </c>
      <c r="G269" t="s">
        <v>57</v>
      </c>
      <c r="I269" s="46">
        <v>151</v>
      </c>
      <c r="J269" s="39">
        <f t="shared" si="9"/>
        <v>46232</v>
      </c>
      <c r="K269" t="str">
        <f ca="1">IF(AND(B269&gt;='План недели'!$B$4,B269&lt;'План недели'!$D$4,D269&lt;&gt;"",G269&lt;&gt;"Отменён"),COUNTIFS($B$5:B269,"&gt;="&amp;'План недели'!$B$4,$B$5:B269,"&lt;"&amp;'План недели'!$D$4,$D$5:D269,"&lt;&gt;",$G$5:G269,"&lt;&gt;Отменён"),"")</f>
        <v/>
      </c>
    </row>
    <row r="270" spans="1:11">
      <c r="A270" t="str">
        <f>IF(B270="","","VIS_"&amp;(YEAR(B270)*10000+MONTH(B270)*100+DAY(B270))&amp;"_"&amp;IF(COUNTIF($B$5:B270,B270)&lt;10,"00"&amp;COUNTIF($B$5:B270,B270),IF(COUNTIF($B$5:B270,B270)&lt;100,"0"&amp;COUNTIF($B$5:B270,B270),COUNTIF($B$5:B270,B270))))</f>
        <v>VIS_20260801_001</v>
      </c>
      <c r="B270" s="42">
        <v>46235</v>
      </c>
      <c r="C270" s="49" t="str">
        <f t="shared" si="8"/>
        <v>Сб</v>
      </c>
      <c r="I270" s="46"/>
      <c r="J270" s="39">
        <f t="shared" si="9"/>
        <v>46232</v>
      </c>
      <c r="K270" t="str">
        <f ca="1">IF(AND(B270&gt;='План недели'!$B$4,B270&lt;'План недели'!$D$4,D270&lt;&gt;"",G270&lt;&gt;"Отменён"),COUNTIFS($B$5:B270,"&gt;="&amp;'План недели'!$B$4,$B$5:B270,"&lt;"&amp;'План недели'!$D$4,$D$5:D270,"&lt;&gt;",$G$5:G270,"&lt;&gt;Отменён"),"")</f>
        <v/>
      </c>
    </row>
    <row r="271" spans="1:11">
      <c r="A271" t="str">
        <f>IF(B271="","","VIS_"&amp;(YEAR(B271)*10000+MONTH(B271)*100+DAY(B271))&amp;"_"&amp;IF(COUNTIF($B$5:B271,B271)&lt;10,"00"&amp;COUNTIF($B$5:B271,B271),IF(COUNTIF($B$5:B271,B271)&lt;100,"0"&amp;COUNTIF($B$5:B271,B271),COUNTIF($B$5:B271,B271))))</f>
        <v>VIS_20260802_001</v>
      </c>
      <c r="B271" s="42">
        <v>46236</v>
      </c>
      <c r="C271" s="49" t="str">
        <f t="shared" si="8"/>
        <v>Вс</v>
      </c>
      <c r="I271" s="46"/>
      <c r="J271" s="39">
        <f t="shared" si="9"/>
        <v>46232</v>
      </c>
      <c r="K271" t="str">
        <f ca="1">IF(AND(B271&gt;='План недели'!$B$4,B271&lt;'План недели'!$D$4,D271&lt;&gt;"",G271&lt;&gt;"Отменён"),COUNTIFS($B$5:B271,"&gt;="&amp;'План недели'!$B$4,$B$5:B271,"&lt;"&amp;'План недели'!$D$4,$D$5:D271,"&lt;&gt;",$G$5:G271,"&lt;&gt;Отменён"),"")</f>
        <v/>
      </c>
    </row>
    <row r="272" spans="1:11">
      <c r="A272" t="str">
        <f>IF(B272="","","VIS_"&amp;(YEAR(B272)*10000+MONTH(B272)*100+DAY(B272))&amp;"_"&amp;IF(COUNTIF($B$5:B272,B272)&lt;10,"00"&amp;COUNTIF($B$5:B272,B272),IF(COUNTIF($B$5:B272,B272)&lt;100,"0"&amp;COUNTIF($B$5:B272,B272),COUNTIF($B$5:B272,B272))))</f>
        <v>VIS_20260803_001</v>
      </c>
      <c r="B272" s="40">
        <v>46237</v>
      </c>
      <c r="C272" s="47" t="str">
        <f t="shared" si="8"/>
        <v>Пн</v>
      </c>
      <c r="D272" t="s">
        <v>48</v>
      </c>
      <c r="E272" s="54" t="s">
        <v>34</v>
      </c>
      <c r="F272" s="54" t="s">
        <v>30</v>
      </c>
      <c r="G272" s="54" t="s">
        <v>57</v>
      </c>
      <c r="I272" s="46"/>
      <c r="J272" s="39">
        <f t="shared" si="9"/>
        <v>46232</v>
      </c>
      <c r="K272" t="str">
        <f ca="1">IF(AND(B272&gt;='План недели'!$B$4,B272&lt;'План недели'!$D$4,D272&lt;&gt;"",G272&lt;&gt;"Отменён"),COUNTIFS($B$5:B272,"&gt;="&amp;'План недели'!$B$4,$B$5:B272,"&lt;"&amp;'План недели'!$D$4,$D$5:D272,"&lt;&gt;",$G$5:G272,"&lt;&gt;Отменён"),"")</f>
        <v/>
      </c>
    </row>
    <row r="273" spans="1:11">
      <c r="A273" t="str">
        <f>IF(B273="","","VIS_"&amp;(YEAR(B273)*10000+MONTH(B273)*100+DAY(B273))&amp;"_"&amp;IF(COUNTIF($B$5:B273,B273)&lt;10,"00"&amp;COUNTIF($B$5:B273,B273),IF(COUNTIF($B$5:B273,B273)&lt;100,"0"&amp;COUNTIF($B$5:B273,B273),COUNTIF($B$5:B273,B273))))</f>
        <v>VIS_20260804_001</v>
      </c>
      <c r="B273" s="40">
        <v>46238</v>
      </c>
      <c r="C273" s="47" t="str">
        <f t="shared" si="8"/>
        <v>Вт</v>
      </c>
      <c r="D273" t="s">
        <v>37</v>
      </c>
      <c r="E273" s="54" t="s">
        <v>34</v>
      </c>
      <c r="F273" s="54" t="s">
        <v>30</v>
      </c>
      <c r="G273" s="54" t="s">
        <v>57</v>
      </c>
      <c r="I273" s="46"/>
      <c r="J273" s="39">
        <f t="shared" si="9"/>
        <v>46232</v>
      </c>
      <c r="K273" t="str">
        <f ca="1">IF(AND(B273&gt;='План недели'!$B$4,B273&lt;'План недели'!$D$4,D273&lt;&gt;"",G273&lt;&gt;"Отменён"),COUNTIFS($B$5:B273,"&gt;="&amp;'План недели'!$B$4,$B$5:B273,"&lt;"&amp;'План недели'!$D$4,$D$5:D273,"&lt;&gt;",$G$5:G273,"&lt;&gt;Отменён"),"")</f>
        <v/>
      </c>
    </row>
    <row r="274" spans="1:11">
      <c r="A274" t="str">
        <f>IF(B274="","","VIS_"&amp;(YEAR(B274)*10000+MONTH(B274)*100+DAY(B274))&amp;"_"&amp;IF(COUNTIF($B$5:B274,B274)&lt;10,"00"&amp;COUNTIF($B$5:B274,B274),IF(COUNTIF($B$5:B274,B274)&lt;100,"0"&amp;COUNTIF($B$5:B274,B274),COUNTIF($B$5:B274,B274))))</f>
        <v>VIS_20260805_001</v>
      </c>
      <c r="B274" s="40">
        <v>46239</v>
      </c>
      <c r="C274" s="47" t="str">
        <f t="shared" si="8"/>
        <v>Ср</v>
      </c>
      <c r="D274" t="s">
        <v>35</v>
      </c>
      <c r="E274" s="54" t="s">
        <v>34</v>
      </c>
      <c r="F274" s="54" t="s">
        <v>30</v>
      </c>
      <c r="G274" s="54" t="s">
        <v>57</v>
      </c>
      <c r="I274" s="46"/>
      <c r="J274" s="39">
        <f t="shared" si="9"/>
        <v>46239</v>
      </c>
      <c r="K274" t="str">
        <f ca="1">IF(AND(B274&gt;='План недели'!$B$4,B274&lt;'План недели'!$D$4,D274&lt;&gt;"",G274&lt;&gt;"Отменён"),COUNTIFS($B$5:B274,"&gt;="&amp;'План недели'!$B$4,$B$5:B274,"&lt;"&amp;'План недели'!$D$4,$D$5:D274,"&lt;&gt;",$G$5:G274,"&lt;&gt;Отменён"),"")</f>
        <v/>
      </c>
    </row>
    <row r="275" spans="1:11">
      <c r="A275" t="str">
        <f>IF(B275="","","VIS_"&amp;(YEAR(B275)*10000+MONTH(B275)*100+DAY(B275))&amp;"_"&amp;IF(COUNTIF($B$5:B275,B275)&lt;10,"00"&amp;COUNTIF($B$5:B275,B275),IF(COUNTIF($B$5:B275,B275)&lt;100,"0"&amp;COUNTIF($B$5:B275,B275),COUNTIF($B$5:B275,B275))))</f>
        <v>VIS_20260806_001</v>
      </c>
      <c r="B275" s="40">
        <v>46240</v>
      </c>
      <c r="C275" s="47" t="str">
        <f t="shared" si="8"/>
        <v>Чт</v>
      </c>
      <c r="D275" t="s">
        <v>32</v>
      </c>
      <c r="E275" s="54" t="s">
        <v>34</v>
      </c>
      <c r="F275" s="54" t="s">
        <v>30</v>
      </c>
      <c r="G275" s="54" t="s">
        <v>57</v>
      </c>
      <c r="I275" s="46"/>
      <c r="J275" s="39">
        <f t="shared" si="9"/>
        <v>46239</v>
      </c>
      <c r="K275" t="str">
        <f ca="1">IF(AND(B275&gt;='План недели'!$B$4,B275&lt;'План недели'!$D$4,D275&lt;&gt;"",G275&lt;&gt;"Отменён"),COUNTIFS($B$5:B275,"&gt;="&amp;'План недели'!$B$4,$B$5:B275,"&lt;"&amp;'План недели'!$D$4,$D$5:D275,"&lt;&gt;",$G$5:G275,"&lt;&gt;Отменён"),"")</f>
        <v/>
      </c>
    </row>
    <row r="276" spans="1:11">
      <c r="A276" t="str">
        <f>IF(B276="","","VIS_"&amp;(YEAR(B276)*10000+MONTH(B276)*100+DAY(B276))&amp;"_"&amp;IF(COUNTIF($B$5:B276,B276)&lt;10,"00"&amp;COUNTIF($B$5:B276,B276),IF(COUNTIF($B$5:B276,B276)&lt;100,"0"&amp;COUNTIF($B$5:B276,B276),COUNTIF($B$5:B276,B276))))</f>
        <v>VIS_20260807_001</v>
      </c>
      <c r="B276" s="40">
        <v>46241</v>
      </c>
      <c r="C276" s="47" t="str">
        <f t="shared" si="8"/>
        <v>Пт</v>
      </c>
      <c r="D276" t="s">
        <v>54</v>
      </c>
      <c r="E276" s="54" t="s">
        <v>34</v>
      </c>
      <c r="F276" s="54" t="s">
        <v>30</v>
      </c>
      <c r="G276" s="54" t="s">
        <v>57</v>
      </c>
      <c r="I276" s="46"/>
      <c r="J276" s="39">
        <f t="shared" si="9"/>
        <v>46239</v>
      </c>
      <c r="K276" t="str">
        <f ca="1">IF(AND(B276&gt;='План недели'!$B$4,B276&lt;'План недели'!$D$4,D276&lt;&gt;"",G276&lt;&gt;"Отменён"),COUNTIFS($B$5:B276,"&gt;="&amp;'План недели'!$B$4,$B$5:B276,"&lt;"&amp;'План недели'!$D$4,$D$5:D276,"&lt;&gt;",$G$5:G276,"&lt;&gt;Отменён"),"")</f>
        <v/>
      </c>
    </row>
    <row r="277" spans="1:11">
      <c r="A277" t="str">
        <f>IF(B277="","","VIS_"&amp;(YEAR(B277)*10000+MONTH(B277)*100+DAY(B277))&amp;"_"&amp;IF(COUNTIF($B$5:B277,B277)&lt;10,"00"&amp;COUNTIF($B$5:B277,B277),IF(COUNTIF($B$5:B277,B277)&lt;100,"0"&amp;COUNTIF($B$5:B277,B277),COUNTIF($B$5:B277,B277))))</f>
        <v>VIS_20260808_001</v>
      </c>
      <c r="B277" s="42">
        <v>46242</v>
      </c>
      <c r="C277" s="49" t="str">
        <f t="shared" si="8"/>
        <v>Сб</v>
      </c>
      <c r="I277" s="46"/>
      <c r="J277" s="39">
        <f t="shared" si="9"/>
        <v>46239</v>
      </c>
      <c r="K277" t="str">
        <f ca="1">IF(AND(B277&gt;='План недели'!$B$4,B277&lt;'План недели'!$D$4,D277&lt;&gt;"",G277&lt;&gt;"Отменён"),COUNTIFS($B$5:B277,"&gt;="&amp;'План недели'!$B$4,$B$5:B277,"&lt;"&amp;'План недели'!$D$4,$D$5:D277,"&lt;&gt;",$G$5:G277,"&lt;&gt;Отменён"),"")</f>
        <v/>
      </c>
    </row>
    <row r="278" spans="1:11">
      <c r="A278" t="str">
        <f>IF(B278="","","VIS_"&amp;(YEAR(B278)*10000+MONTH(B278)*100+DAY(B278))&amp;"_"&amp;IF(COUNTIF($B$5:B278,B278)&lt;10,"00"&amp;COUNTIF($B$5:B278,B278),IF(COUNTIF($B$5:B278,B278)&lt;100,"0"&amp;COUNTIF($B$5:B278,B278),COUNTIF($B$5:B278,B278))))</f>
        <v>VIS_20260809_001</v>
      </c>
      <c r="B278" s="42">
        <v>46243</v>
      </c>
      <c r="C278" s="49" t="str">
        <f t="shared" si="8"/>
        <v>Вс</v>
      </c>
      <c r="I278" s="46"/>
      <c r="J278" s="39">
        <f t="shared" si="9"/>
        <v>46239</v>
      </c>
      <c r="K278" t="str">
        <f ca="1">IF(AND(B278&gt;='План недели'!$B$4,B278&lt;'План недели'!$D$4,D278&lt;&gt;"",G278&lt;&gt;"Отменён"),COUNTIFS($B$5:B278,"&gt;="&amp;'План недели'!$B$4,$B$5:B278,"&lt;"&amp;'План недели'!$D$4,$D$5:D278,"&lt;&gt;",$G$5:G278,"&lt;&gt;Отменён"),"")</f>
        <v/>
      </c>
    </row>
    <row r="279" spans="1:11">
      <c r="A279" t="str">
        <f>IF(B279="","","VIS_"&amp;(YEAR(B279)*10000+MONTH(B279)*100+DAY(B279))&amp;"_"&amp;IF(COUNTIF($B$5:B279,B279)&lt;10,"00"&amp;COUNTIF($B$5:B279,B279),IF(COUNTIF($B$5:B279,B279)&lt;100,"0"&amp;COUNTIF($B$5:B279,B279),COUNTIF($B$5:B279,B279))))</f>
        <v>VIS_20260810_001</v>
      </c>
      <c r="B279" s="40">
        <v>46244</v>
      </c>
      <c r="C279" s="47" t="str">
        <f t="shared" si="8"/>
        <v>Пн</v>
      </c>
      <c r="D279" s="54" t="s">
        <v>48</v>
      </c>
      <c r="E279" s="54" t="s">
        <v>34</v>
      </c>
      <c r="F279" s="54" t="s">
        <v>30</v>
      </c>
      <c r="G279" s="54" t="s">
        <v>57</v>
      </c>
      <c r="I279" s="46"/>
      <c r="J279" s="39">
        <f t="shared" si="9"/>
        <v>46239</v>
      </c>
      <c r="K279" t="str">
        <f ca="1">IF(AND(B279&gt;='План недели'!$B$4,B279&lt;'План недели'!$D$4,D279&lt;&gt;"",G279&lt;&gt;"Отменён"),COUNTIFS($B$5:B279,"&gt;="&amp;'План недели'!$B$4,$B$5:B279,"&lt;"&amp;'План недели'!$D$4,$D$5:D279,"&lt;&gt;",$G$5:G279,"&lt;&gt;Отменён"),"")</f>
        <v/>
      </c>
    </row>
    <row r="280" spans="1:11">
      <c r="A280" t="str">
        <f>IF(B280="","","VIS_"&amp;(YEAR(B280)*10000+MONTH(B280)*100+DAY(B280))&amp;"_"&amp;IF(COUNTIF($B$5:B280,B280)&lt;10,"00"&amp;COUNTIF($B$5:B280,B280),IF(COUNTIF($B$5:B280,B280)&lt;100,"0"&amp;COUNTIF($B$5:B280,B280),COUNTIF($B$5:B280,B280))))</f>
        <v>VIS_20260811_001</v>
      </c>
      <c r="B280" s="40">
        <v>46245</v>
      </c>
      <c r="C280" s="47" t="str">
        <f t="shared" si="8"/>
        <v>Вт</v>
      </c>
      <c r="D280" s="54" t="s">
        <v>37</v>
      </c>
      <c r="E280" s="54" t="s">
        <v>34</v>
      </c>
      <c r="F280" s="54" t="s">
        <v>30</v>
      </c>
      <c r="G280" s="54" t="s">
        <v>57</v>
      </c>
      <c r="I280" s="46"/>
      <c r="J280" s="39">
        <f t="shared" si="9"/>
        <v>46239</v>
      </c>
      <c r="K280" t="str">
        <f ca="1">IF(AND(B280&gt;='План недели'!$B$4,B280&lt;'План недели'!$D$4,D280&lt;&gt;"",G280&lt;&gt;"Отменён"),COUNTIFS($B$5:B280,"&gt;="&amp;'План недели'!$B$4,$B$5:B280,"&lt;"&amp;'План недели'!$D$4,$D$5:D280,"&lt;&gt;",$G$5:G280,"&lt;&gt;Отменён"),"")</f>
        <v/>
      </c>
    </row>
    <row r="281" spans="1:11">
      <c r="A281" t="str">
        <f>IF(B281="","","VIS_"&amp;(YEAR(B281)*10000+MONTH(B281)*100+DAY(B281))&amp;"_"&amp;IF(COUNTIF($B$5:B281,B281)&lt;10,"00"&amp;COUNTIF($B$5:B281,B281),IF(COUNTIF($B$5:B281,B281)&lt;100,"0"&amp;COUNTIF($B$5:B281,B281),COUNTIF($B$5:B281,B281))))</f>
        <v>VIS_20260812_001</v>
      </c>
      <c r="B281" s="40">
        <v>46246</v>
      </c>
      <c r="C281" s="47" t="str">
        <f t="shared" si="8"/>
        <v>Ср</v>
      </c>
      <c r="D281" s="54" t="s">
        <v>35</v>
      </c>
      <c r="E281" s="54" t="s">
        <v>34</v>
      </c>
      <c r="F281" s="54" t="s">
        <v>30</v>
      </c>
      <c r="G281" s="54" t="s">
        <v>57</v>
      </c>
      <c r="I281" s="46"/>
      <c r="J281" s="39">
        <f t="shared" si="9"/>
        <v>46246</v>
      </c>
      <c r="K281" t="str">
        <f ca="1">IF(AND(B281&gt;='План недели'!$B$4,B281&lt;'План недели'!$D$4,D281&lt;&gt;"",G281&lt;&gt;"Отменён"),COUNTIFS($B$5:B281,"&gt;="&amp;'План недели'!$B$4,$B$5:B281,"&lt;"&amp;'План недели'!$D$4,$D$5:D281,"&lt;&gt;",$G$5:G281,"&lt;&gt;Отменён"),"")</f>
        <v/>
      </c>
    </row>
    <row r="282" spans="1:11">
      <c r="A282" t="str">
        <f>IF(B282="","","VIS_"&amp;(YEAR(B282)*10000+MONTH(B282)*100+DAY(B282))&amp;"_"&amp;IF(COUNTIF($B$5:B282,B282)&lt;10,"00"&amp;COUNTIF($B$5:B282,B282),IF(COUNTIF($B$5:B282,B282)&lt;100,"0"&amp;COUNTIF($B$5:B282,B282),COUNTIF($B$5:B282,B282))))</f>
        <v>VIS_20260813_001</v>
      </c>
      <c r="B282" s="40">
        <v>46247</v>
      </c>
      <c r="C282" s="47" t="str">
        <f t="shared" si="8"/>
        <v>Чт</v>
      </c>
      <c r="D282" s="54" t="s">
        <v>32</v>
      </c>
      <c r="E282" s="54" t="s">
        <v>34</v>
      </c>
      <c r="F282" s="54" t="s">
        <v>30</v>
      </c>
      <c r="G282" s="54" t="s">
        <v>57</v>
      </c>
      <c r="I282" s="46"/>
      <c r="J282" s="39">
        <f t="shared" si="9"/>
        <v>46246</v>
      </c>
      <c r="K282" t="str">
        <f ca="1">IF(AND(B282&gt;='План недели'!$B$4,B282&lt;'План недели'!$D$4,D282&lt;&gt;"",G282&lt;&gt;"Отменён"),COUNTIFS($B$5:B282,"&gt;="&amp;'План недели'!$B$4,$B$5:B282,"&lt;"&amp;'План недели'!$D$4,$D$5:D282,"&lt;&gt;",$G$5:G282,"&lt;&gt;Отменён"),"")</f>
        <v/>
      </c>
    </row>
    <row r="283" spans="1:11">
      <c r="A283" t="str">
        <f>IF(B283="","","VIS_"&amp;(YEAR(B283)*10000+MONTH(B283)*100+DAY(B283))&amp;"_"&amp;IF(COUNTIF($B$5:B283,B283)&lt;10,"00"&amp;COUNTIF($B$5:B283,B283),IF(COUNTIF($B$5:B283,B283)&lt;100,"0"&amp;COUNTIF($B$5:B283,B283),COUNTIF($B$5:B283,B283))))</f>
        <v>VIS_20260814_001</v>
      </c>
      <c r="B283" s="40">
        <v>46248</v>
      </c>
      <c r="C283" s="47" t="str">
        <f t="shared" si="8"/>
        <v>Пт</v>
      </c>
      <c r="D283" s="54" t="s">
        <v>36</v>
      </c>
      <c r="E283" s="54" t="s">
        <v>34</v>
      </c>
      <c r="F283" s="54" t="s">
        <v>30</v>
      </c>
      <c r="G283" s="54" t="s">
        <v>57</v>
      </c>
      <c r="I283" s="46"/>
      <c r="J283" s="39">
        <f t="shared" si="9"/>
        <v>46246</v>
      </c>
      <c r="K283" t="str">
        <f ca="1">IF(AND(B283&gt;='План недели'!$B$4,B283&lt;'План недели'!$D$4,D283&lt;&gt;"",G283&lt;&gt;"Отменён"),COUNTIFS($B$5:B283,"&gt;="&amp;'План недели'!$B$4,$B$5:B283,"&lt;"&amp;'План недели'!$D$4,$D$5:D283,"&lt;&gt;",$G$5:G283,"&lt;&gt;Отменён"),"")</f>
        <v/>
      </c>
    </row>
    <row r="284" spans="1:11">
      <c r="A284" t="str">
        <f>IF(B284="","","VIS_"&amp;(YEAR(B284)*10000+MONTH(B284)*100+DAY(B284))&amp;"_"&amp;IF(COUNTIF($B$5:B284,B284)&lt;10,"00"&amp;COUNTIF($B$5:B284,B284),IF(COUNTIF($B$5:B284,B284)&lt;100,"0"&amp;COUNTIF($B$5:B284,B284),COUNTIF($B$5:B284,B284))))</f>
        <v>VIS_20260815_001</v>
      </c>
      <c r="B284" s="42">
        <v>46249</v>
      </c>
      <c r="C284" s="49" t="str">
        <f t="shared" si="8"/>
        <v>Сб</v>
      </c>
      <c r="I284" s="46"/>
      <c r="J284" s="39">
        <f t="shared" si="9"/>
        <v>46246</v>
      </c>
      <c r="K284" t="str">
        <f ca="1">IF(AND(B284&gt;='План недели'!$B$4,B284&lt;'План недели'!$D$4,D284&lt;&gt;"",G284&lt;&gt;"Отменён"),COUNTIFS($B$5:B284,"&gt;="&amp;'План недели'!$B$4,$B$5:B284,"&lt;"&amp;'План недели'!$D$4,$D$5:D284,"&lt;&gt;",$G$5:G284,"&lt;&gt;Отменён"),"")</f>
        <v/>
      </c>
    </row>
    <row r="285" spans="1:11">
      <c r="A285" t="str">
        <f>IF(B285="","","VIS_"&amp;(YEAR(B285)*10000+MONTH(B285)*100+DAY(B285))&amp;"_"&amp;IF(COUNTIF($B$5:B285,B285)&lt;10,"00"&amp;COUNTIF($B$5:B285,B285),IF(COUNTIF($B$5:B285,B285)&lt;100,"0"&amp;COUNTIF($B$5:B285,B285),COUNTIF($B$5:B285,B285))))</f>
        <v>VIS_20260816_001</v>
      </c>
      <c r="B285" s="42">
        <v>46250</v>
      </c>
      <c r="C285" s="49" t="str">
        <f t="shared" si="8"/>
        <v>Вс</v>
      </c>
      <c r="I285" s="46"/>
      <c r="J285" s="39">
        <f t="shared" si="9"/>
        <v>46246</v>
      </c>
      <c r="K285" t="str">
        <f ca="1">IF(AND(B285&gt;='План недели'!$B$4,B285&lt;'План недели'!$D$4,D285&lt;&gt;"",G285&lt;&gt;"Отменён"),COUNTIFS($B$5:B285,"&gt;="&amp;'План недели'!$B$4,$B$5:B285,"&lt;"&amp;'План недели'!$D$4,$D$5:D285,"&lt;&gt;",$G$5:G285,"&lt;&gt;Отменён"),"")</f>
        <v/>
      </c>
    </row>
    <row r="286" spans="1:11">
      <c r="A286" t="str">
        <f>IF(B286="","","VIS_"&amp;(YEAR(B286)*10000+MONTH(B286)*100+DAY(B286))&amp;"_"&amp;IF(COUNTIF($B$5:B286,B286)&lt;10,"00"&amp;COUNTIF($B$5:B286,B286),IF(COUNTIF($B$5:B286,B286)&lt;100,"0"&amp;COUNTIF($B$5:B286,B286),COUNTIF($B$5:B286,B286))))</f>
        <v>VIS_20260817_001</v>
      </c>
      <c r="B286" s="40">
        <v>46251</v>
      </c>
      <c r="C286" s="47" t="str">
        <f t="shared" si="8"/>
        <v>Пн</v>
      </c>
      <c r="D286" s="54" t="s">
        <v>48</v>
      </c>
      <c r="E286" s="54" t="s">
        <v>34</v>
      </c>
      <c r="F286" s="54" t="s">
        <v>30</v>
      </c>
      <c r="G286" s="54" t="s">
        <v>57</v>
      </c>
      <c r="I286" s="46"/>
      <c r="J286" s="39">
        <f t="shared" si="9"/>
        <v>46246</v>
      </c>
      <c r="K286" t="str">
        <f ca="1">IF(AND(B286&gt;='План недели'!$B$4,B286&lt;'План недели'!$D$4,D286&lt;&gt;"",G286&lt;&gt;"Отменён"),COUNTIFS($B$5:B286,"&gt;="&amp;'План недели'!$B$4,$B$5:B286,"&lt;"&amp;'План недели'!$D$4,$D$5:D286,"&lt;&gt;",$G$5:G286,"&lt;&gt;Отменён"),"")</f>
        <v/>
      </c>
    </row>
    <row r="287" spans="1:11">
      <c r="A287" t="str">
        <f>IF(B287="","","VIS_"&amp;(YEAR(B287)*10000+MONTH(B287)*100+DAY(B287))&amp;"_"&amp;IF(COUNTIF($B$5:B287,B287)&lt;10,"00"&amp;COUNTIF($B$5:B287,B287),IF(COUNTIF($B$5:B287,B287)&lt;100,"0"&amp;COUNTIF($B$5:B287,B287),COUNTIF($B$5:B287,B287))))</f>
        <v>VIS_20260818_001</v>
      </c>
      <c r="B287" s="40">
        <v>46252</v>
      </c>
      <c r="C287" s="47" t="str">
        <f t="shared" si="8"/>
        <v>Вт</v>
      </c>
      <c r="D287" s="54" t="s">
        <v>37</v>
      </c>
      <c r="E287" s="54" t="s">
        <v>34</v>
      </c>
      <c r="F287" s="54" t="s">
        <v>30</v>
      </c>
      <c r="G287" s="54" t="s">
        <v>57</v>
      </c>
      <c r="I287" s="46"/>
      <c r="J287" s="39">
        <f t="shared" si="9"/>
        <v>46246</v>
      </c>
      <c r="K287" t="str">
        <f ca="1">IF(AND(B287&gt;='План недели'!$B$4,B287&lt;'План недели'!$D$4,D287&lt;&gt;"",G287&lt;&gt;"Отменён"),COUNTIFS($B$5:B287,"&gt;="&amp;'План недели'!$B$4,$B$5:B287,"&lt;"&amp;'План недели'!$D$4,$D$5:D287,"&lt;&gt;",$G$5:G287,"&lt;&gt;Отменён"),"")</f>
        <v/>
      </c>
    </row>
    <row r="288" spans="1:11">
      <c r="A288" t="str">
        <f>IF(B288="","","VIS_"&amp;(YEAR(B288)*10000+MONTH(B288)*100+DAY(B288))&amp;"_"&amp;IF(COUNTIF($B$5:B288,B288)&lt;10,"00"&amp;COUNTIF($B$5:B288,B288),IF(COUNTIF($B$5:B288,B288)&lt;100,"0"&amp;COUNTIF($B$5:B288,B288),COUNTIF($B$5:B288,B288))))</f>
        <v>VIS_20260819_001</v>
      </c>
      <c r="B288" s="40">
        <v>46253</v>
      </c>
      <c r="C288" s="47" t="str">
        <f t="shared" si="8"/>
        <v>Ср</v>
      </c>
      <c r="D288" s="54" t="s">
        <v>35</v>
      </c>
      <c r="E288" s="54" t="s">
        <v>34</v>
      </c>
      <c r="F288" s="54" t="s">
        <v>30</v>
      </c>
      <c r="G288" s="54" t="s">
        <v>57</v>
      </c>
      <c r="I288" s="46"/>
      <c r="J288" s="39">
        <f t="shared" si="9"/>
        <v>46253</v>
      </c>
      <c r="K288" t="str">
        <f ca="1">IF(AND(B288&gt;='План недели'!$B$4,B288&lt;'План недели'!$D$4,D288&lt;&gt;"",G288&lt;&gt;"Отменён"),COUNTIFS($B$5:B288,"&gt;="&amp;'План недели'!$B$4,$B$5:B288,"&lt;"&amp;'План недели'!$D$4,$D$5:D288,"&lt;&gt;",$G$5:G288,"&lt;&gt;Отменён"),"")</f>
        <v/>
      </c>
    </row>
    <row r="289" spans="1:11">
      <c r="A289" t="str">
        <f>IF(B289="","","VIS_"&amp;(YEAR(B289)*10000+MONTH(B289)*100+DAY(B289))&amp;"_"&amp;IF(COUNTIF($B$5:B289,B289)&lt;10,"00"&amp;COUNTIF($B$5:B289,B289),IF(COUNTIF($B$5:B289,B289)&lt;100,"0"&amp;COUNTIF($B$5:B289,B289),COUNTIF($B$5:B289,B289))))</f>
        <v>VIS_20260820_001</v>
      </c>
      <c r="B289" s="40">
        <v>46254</v>
      </c>
      <c r="C289" s="47" t="str">
        <f t="shared" si="8"/>
        <v>Чт</v>
      </c>
      <c r="D289" s="54" t="s">
        <v>32</v>
      </c>
      <c r="E289" s="54" t="s">
        <v>34</v>
      </c>
      <c r="F289" s="54" t="s">
        <v>30</v>
      </c>
      <c r="G289" s="54" t="s">
        <v>57</v>
      </c>
      <c r="I289" s="46"/>
      <c r="J289" s="39">
        <f t="shared" si="9"/>
        <v>46253</v>
      </c>
      <c r="K289" t="str">
        <f ca="1">IF(AND(B289&gt;='План недели'!$B$4,B289&lt;'План недели'!$D$4,D289&lt;&gt;"",G289&lt;&gt;"Отменён"),COUNTIFS($B$5:B289,"&gt;="&amp;'План недели'!$B$4,$B$5:B289,"&lt;"&amp;'План недели'!$D$4,$D$5:D289,"&lt;&gt;",$G$5:G289,"&lt;&gt;Отменён"),"")</f>
        <v/>
      </c>
    </row>
    <row r="290" spans="1:11">
      <c r="A290" t="str">
        <f>IF(B290="","","VIS_"&amp;(YEAR(B290)*10000+MONTH(B290)*100+DAY(B290))&amp;"_"&amp;IF(COUNTIF($B$5:B290,B290)&lt;10,"00"&amp;COUNTIF($B$5:B290,B290),IF(COUNTIF($B$5:B290,B290)&lt;100,"0"&amp;COUNTIF($B$5:B290,B290),COUNTIF($B$5:B290,B290))))</f>
        <v>VIS_20260821_001</v>
      </c>
      <c r="B290" s="40">
        <v>46255</v>
      </c>
      <c r="C290" s="47" t="str">
        <f t="shared" si="8"/>
        <v>Пт</v>
      </c>
      <c r="D290" s="54" t="s">
        <v>33</v>
      </c>
      <c r="E290" s="54" t="s">
        <v>34</v>
      </c>
      <c r="F290" s="54" t="s">
        <v>30</v>
      </c>
      <c r="G290" s="54" t="s">
        <v>57</v>
      </c>
      <c r="I290" s="46"/>
      <c r="J290" s="39">
        <f t="shared" si="9"/>
        <v>46253</v>
      </c>
      <c r="K290" t="str">
        <f ca="1">IF(AND(B290&gt;='План недели'!$B$4,B290&lt;'План недели'!$D$4,D290&lt;&gt;"",G290&lt;&gt;"Отменён"),COUNTIFS($B$5:B290,"&gt;="&amp;'План недели'!$B$4,$B$5:B290,"&lt;"&amp;'План недели'!$D$4,$D$5:D290,"&lt;&gt;",$G$5:G290,"&lt;&gt;Отменён"),"")</f>
        <v/>
      </c>
    </row>
    <row r="291" spans="1:11">
      <c r="A291" t="str">
        <f>IF(B291="","","VIS_"&amp;(YEAR(B291)*10000+MONTH(B291)*100+DAY(B291))&amp;"_"&amp;IF(COUNTIF($B$5:B291,B291)&lt;10,"00"&amp;COUNTIF($B$5:B291,B291),IF(COUNTIF($B$5:B291,B291)&lt;100,"0"&amp;COUNTIF($B$5:B291,B291),COUNTIF($B$5:B291,B291))))</f>
        <v>VIS_20260822_001</v>
      </c>
      <c r="B291" s="42">
        <v>46256</v>
      </c>
      <c r="C291" s="49" t="str">
        <f t="shared" si="8"/>
        <v>Сб</v>
      </c>
      <c r="I291" s="46"/>
      <c r="J291" s="39">
        <f t="shared" si="9"/>
        <v>46253</v>
      </c>
      <c r="K291" t="str">
        <f ca="1">IF(AND(B291&gt;='План недели'!$B$4,B291&lt;'План недели'!$D$4,D291&lt;&gt;"",G291&lt;&gt;"Отменён"),COUNTIFS($B$5:B291,"&gt;="&amp;'План недели'!$B$4,$B$5:B291,"&lt;"&amp;'План недели'!$D$4,$D$5:D291,"&lt;&gt;",$G$5:G291,"&lt;&gt;Отменён"),"")</f>
        <v/>
      </c>
    </row>
    <row r="292" spans="1:11">
      <c r="A292" t="str">
        <f>IF(B292="","","VIS_"&amp;(YEAR(B292)*10000+MONTH(B292)*100+DAY(B292))&amp;"_"&amp;IF(COUNTIF($B$5:B292,B292)&lt;10,"00"&amp;COUNTIF($B$5:B292,B292),IF(COUNTIF($B$5:B292,B292)&lt;100,"0"&amp;COUNTIF($B$5:B292,B292),COUNTIF($B$5:B292,B292))))</f>
        <v>VIS_20260823_001</v>
      </c>
      <c r="B292" s="42">
        <v>46257</v>
      </c>
      <c r="C292" s="49" t="str">
        <f t="shared" si="8"/>
        <v>Вс</v>
      </c>
      <c r="I292" s="46"/>
      <c r="J292" s="39">
        <f t="shared" si="9"/>
        <v>46253</v>
      </c>
      <c r="K292" t="str">
        <f ca="1">IF(AND(B292&gt;='План недели'!$B$4,B292&lt;'План недели'!$D$4,D292&lt;&gt;"",G292&lt;&gt;"Отменён"),COUNTIFS($B$5:B292,"&gt;="&amp;'План недели'!$B$4,$B$5:B292,"&lt;"&amp;'План недели'!$D$4,$D$5:D292,"&lt;&gt;",$G$5:G292,"&lt;&gt;Отменён"),"")</f>
        <v/>
      </c>
    </row>
    <row r="293" spans="1:11">
      <c r="A293" t="str">
        <f>IF(B293="","","VIS_"&amp;(YEAR(B293)*10000+MONTH(B293)*100+DAY(B293))&amp;"_"&amp;IF(COUNTIF($B$5:B293,B293)&lt;10,"00"&amp;COUNTIF($B$5:B293,B293),IF(COUNTIF($B$5:B293,B293)&lt;100,"0"&amp;COUNTIF($B$5:B293,B293),COUNTIF($B$5:B293,B293))))</f>
        <v>VIS_20260824_001</v>
      </c>
      <c r="B293" s="40">
        <v>46258</v>
      </c>
      <c r="C293" s="47" t="str">
        <f t="shared" si="8"/>
        <v>Пн</v>
      </c>
      <c r="D293" s="54" t="s">
        <v>48</v>
      </c>
      <c r="E293" s="54" t="s">
        <v>34</v>
      </c>
      <c r="F293" s="54" t="s">
        <v>30</v>
      </c>
      <c r="G293" s="54" t="s">
        <v>57</v>
      </c>
      <c r="I293" s="46"/>
      <c r="J293" s="39">
        <f t="shared" si="9"/>
        <v>46253</v>
      </c>
      <c r="K293" t="str">
        <f ca="1">IF(AND(B293&gt;='План недели'!$B$4,B293&lt;'План недели'!$D$4,D293&lt;&gt;"",G293&lt;&gt;"Отменён"),COUNTIFS($B$5:B293,"&gt;="&amp;'План недели'!$B$4,$B$5:B293,"&lt;"&amp;'План недели'!$D$4,$D$5:D293,"&lt;&gt;",$G$5:G293,"&lt;&gt;Отменён"),"")</f>
        <v/>
      </c>
    </row>
    <row r="294" spans="1:11">
      <c r="A294" t="str">
        <f>IF(B294="","","VIS_"&amp;(YEAR(B294)*10000+MONTH(B294)*100+DAY(B294))&amp;"_"&amp;IF(COUNTIF($B$5:B294,B294)&lt;10,"00"&amp;COUNTIF($B$5:B294,B294),IF(COUNTIF($B$5:B294,B294)&lt;100,"0"&amp;COUNTIF($B$5:B294,B294),COUNTIF($B$5:B294,B294))))</f>
        <v>VIS_20260825_001</v>
      </c>
      <c r="B294" s="40">
        <v>46259</v>
      </c>
      <c r="C294" s="47" t="str">
        <f t="shared" si="8"/>
        <v>Вт</v>
      </c>
      <c r="D294" s="54" t="s">
        <v>37</v>
      </c>
      <c r="E294" s="54" t="s">
        <v>34</v>
      </c>
      <c r="F294" s="54" t="s">
        <v>30</v>
      </c>
      <c r="G294" s="54" t="s">
        <v>57</v>
      </c>
      <c r="I294" s="46"/>
      <c r="J294" s="39">
        <f t="shared" si="9"/>
        <v>46253</v>
      </c>
      <c r="K294" t="str">
        <f ca="1">IF(AND(B294&gt;='План недели'!$B$4,B294&lt;'План недели'!$D$4,D294&lt;&gt;"",G294&lt;&gt;"Отменён"),COUNTIFS($B$5:B294,"&gt;="&amp;'План недели'!$B$4,$B$5:B294,"&lt;"&amp;'План недели'!$D$4,$D$5:D294,"&lt;&gt;",$G$5:G294,"&lt;&gt;Отменён"),"")</f>
        <v/>
      </c>
    </row>
    <row r="295" spans="1:11">
      <c r="A295" t="str">
        <f>IF(B295="","","VIS_"&amp;(YEAR(B295)*10000+MONTH(B295)*100+DAY(B295))&amp;"_"&amp;IF(COUNTIF($B$5:B295,B295)&lt;10,"00"&amp;COUNTIF($B$5:B295,B295),IF(COUNTIF($B$5:B295,B295)&lt;100,"0"&amp;COUNTIF($B$5:B295,B295),COUNTIF($B$5:B295,B295))))</f>
        <v>VIS_20260826_001</v>
      </c>
      <c r="B295" s="40">
        <v>46260</v>
      </c>
      <c r="C295" s="47" t="str">
        <f t="shared" si="8"/>
        <v>Ср</v>
      </c>
      <c r="D295" s="54" t="s">
        <v>35</v>
      </c>
      <c r="E295" s="54" t="s">
        <v>34</v>
      </c>
      <c r="F295" s="54" t="s">
        <v>30</v>
      </c>
      <c r="G295" s="54" t="s">
        <v>57</v>
      </c>
      <c r="I295" s="46"/>
      <c r="J295" s="39">
        <f t="shared" si="9"/>
        <v>46260</v>
      </c>
      <c r="K295" t="str">
        <f ca="1">IF(AND(B295&gt;='План недели'!$B$4,B295&lt;'План недели'!$D$4,D295&lt;&gt;"",G295&lt;&gt;"Отменён"),COUNTIFS($B$5:B295,"&gt;="&amp;'План недели'!$B$4,$B$5:B295,"&lt;"&amp;'План недели'!$D$4,$D$5:D295,"&lt;&gt;",$G$5:G295,"&lt;&gt;Отменён"),"")</f>
        <v/>
      </c>
    </row>
    <row r="296" spans="1:11">
      <c r="A296" t="str">
        <f>IF(B296="","","VIS_"&amp;(YEAR(B296)*10000+MONTH(B296)*100+DAY(B296))&amp;"_"&amp;IF(COUNTIF($B$5:B296,B296)&lt;10,"00"&amp;COUNTIF($B$5:B296,B296),IF(COUNTIF($B$5:B296,B296)&lt;100,"0"&amp;COUNTIF($B$5:B296,B296),COUNTIF($B$5:B296,B296))))</f>
        <v>VIS_20260827_001</v>
      </c>
      <c r="B296" s="40">
        <v>46261</v>
      </c>
      <c r="C296" s="47" t="str">
        <f t="shared" si="8"/>
        <v>Чт</v>
      </c>
      <c r="D296" s="54" t="s">
        <v>32</v>
      </c>
      <c r="E296" s="54" t="s">
        <v>34</v>
      </c>
      <c r="F296" s="54" t="s">
        <v>30</v>
      </c>
      <c r="G296" s="54" t="s">
        <v>57</v>
      </c>
      <c r="I296" s="46"/>
      <c r="J296" s="39">
        <f t="shared" si="9"/>
        <v>46260</v>
      </c>
      <c r="K296" t="str">
        <f ca="1">IF(AND(B296&gt;='План недели'!$B$4,B296&lt;'План недели'!$D$4,D296&lt;&gt;"",G296&lt;&gt;"Отменён"),COUNTIFS($B$5:B296,"&gt;="&amp;'План недели'!$B$4,$B$5:B296,"&lt;"&amp;'План недели'!$D$4,$D$5:D296,"&lt;&gt;",$G$5:G296,"&lt;&gt;Отменён"),"")</f>
        <v/>
      </c>
    </row>
    <row r="297" spans="1:11">
      <c r="A297" t="str">
        <f>IF(B297="","","VIS_"&amp;(YEAR(B297)*10000+MONTH(B297)*100+DAY(B297))&amp;"_"&amp;IF(COUNTIF($B$5:B297,B297)&lt;10,"00"&amp;COUNTIF($B$5:B297,B297),IF(COUNTIF($B$5:B297,B297)&lt;100,"0"&amp;COUNTIF($B$5:B297,B297),COUNTIF($B$5:B297,B297))))</f>
        <v>VIS_20260828_001</v>
      </c>
      <c r="B297" s="40">
        <v>46262</v>
      </c>
      <c r="C297" s="47" t="str">
        <f t="shared" si="8"/>
        <v>Пт</v>
      </c>
      <c r="D297" s="54" t="s">
        <v>47</v>
      </c>
      <c r="E297" s="54" t="s">
        <v>34</v>
      </c>
      <c r="F297" s="54" t="s">
        <v>30</v>
      </c>
      <c r="G297" s="54" t="s">
        <v>57</v>
      </c>
      <c r="I297" s="46"/>
      <c r="J297" s="39">
        <f t="shared" si="9"/>
        <v>46260</v>
      </c>
      <c r="K297" t="str">
        <f ca="1">IF(AND(B297&gt;='План недели'!$B$4,B297&lt;'План недели'!$D$4,D297&lt;&gt;"",G297&lt;&gt;"Отменён"),COUNTIFS($B$5:B297,"&gt;="&amp;'План недели'!$B$4,$B$5:B297,"&lt;"&amp;'План недели'!$D$4,$D$5:D297,"&lt;&gt;",$G$5:G297,"&lt;&gt;Отменён"),"")</f>
        <v/>
      </c>
    </row>
    <row r="298" spans="1:11">
      <c r="A298" t="str">
        <f>IF(B298="","","VIS_"&amp;(YEAR(B298)*10000+MONTH(B298)*100+DAY(B298))&amp;"_"&amp;IF(COUNTIF($B$5:B298,B298)&lt;10,"00"&amp;COUNTIF($B$5:B298,B298),IF(COUNTIF($B$5:B298,B298)&lt;100,"0"&amp;COUNTIF($B$5:B298,B298),COUNTIF($B$5:B298,B298))))</f>
        <v>VIS_20260829_001</v>
      </c>
      <c r="B298" s="42">
        <v>46263</v>
      </c>
      <c r="C298" s="49" t="str">
        <f t="shared" si="8"/>
        <v>Сб</v>
      </c>
      <c r="I298" s="46"/>
      <c r="J298" s="39">
        <f t="shared" si="9"/>
        <v>46260</v>
      </c>
      <c r="K298" t="str">
        <f ca="1">IF(AND(B298&gt;='План недели'!$B$4,B298&lt;'План недели'!$D$4,D298&lt;&gt;"",G298&lt;&gt;"Отменён"),COUNTIFS($B$5:B298,"&gt;="&amp;'План недели'!$B$4,$B$5:B298,"&lt;"&amp;'План недели'!$D$4,$D$5:D298,"&lt;&gt;",$G$5:G298,"&lt;&gt;Отменён"),"")</f>
        <v/>
      </c>
    </row>
    <row r="299" spans="1:11">
      <c r="A299" t="str">
        <f>IF(B299="","","VIS_"&amp;(YEAR(B299)*10000+MONTH(B299)*100+DAY(B299))&amp;"_"&amp;IF(COUNTIF($B$5:B299,B299)&lt;10,"00"&amp;COUNTIF($B$5:B299,B299),IF(COUNTIF($B$5:B299,B299)&lt;100,"0"&amp;COUNTIF($B$5:B299,B299),COUNTIF($B$5:B299,B299))))</f>
        <v>VIS_20260830_001</v>
      </c>
      <c r="B299" s="42">
        <v>46264</v>
      </c>
      <c r="C299" s="49" t="str">
        <f t="shared" si="8"/>
        <v>Вс</v>
      </c>
      <c r="I299" s="46"/>
      <c r="J299" s="39">
        <f t="shared" si="9"/>
        <v>46260</v>
      </c>
      <c r="K299" t="str">
        <f ca="1">IF(AND(B299&gt;='План недели'!$B$4,B299&lt;'План недели'!$D$4,D299&lt;&gt;"",G299&lt;&gt;"Отменён"),COUNTIFS($B$5:B299,"&gt;="&amp;'План недели'!$B$4,$B$5:B299,"&lt;"&amp;'План недели'!$D$4,$D$5:D299,"&lt;&gt;",$G$5:G299,"&lt;&gt;Отменён"),"")</f>
        <v/>
      </c>
    </row>
    <row r="300" spans="1:11">
      <c r="A300" t="str">
        <f>IF(B300="","","VIS_"&amp;(YEAR(B300)*10000+MONTH(B300)*100+DAY(B300))&amp;"_"&amp;IF(COUNTIF($B$5:B300,B300)&lt;10,"00"&amp;COUNTIF($B$5:B300,B300),IF(COUNTIF($B$5:B300,B300)&lt;100,"0"&amp;COUNTIF($B$5:B300,B300),COUNTIF($B$5:B300,B300))))</f>
        <v>VIS_20260831_001</v>
      </c>
      <c r="B300" s="40">
        <v>46265</v>
      </c>
      <c r="C300" s="47" t="str">
        <f t="shared" si="8"/>
        <v>Пн</v>
      </c>
      <c r="I300" s="46"/>
      <c r="J300" s="39">
        <f t="shared" si="9"/>
        <v>46260</v>
      </c>
      <c r="K300" t="str">
        <f ca="1">IF(AND(B300&gt;='План недели'!$B$4,B300&lt;'План недели'!$D$4,D300&lt;&gt;"",G300&lt;&gt;"Отменён"),COUNTIFS($B$5:B300,"&gt;="&amp;'План недели'!$B$4,$B$5:B300,"&lt;"&amp;'План недели'!$D$4,$D$5:D300,"&lt;&gt;",$G$5:G300,"&lt;&gt;Отменён"),"")</f>
        <v/>
      </c>
    </row>
    <row r="301" spans="1:11">
      <c r="A301" t="str">
        <f>IF(B301="","","VIS_"&amp;(YEAR(B301)*10000+MONTH(B301)*100+DAY(B301))&amp;"_"&amp;IF(COUNTIF($B$5:B301,B301)&lt;10,"00"&amp;COUNTIF($B$5:B301,B301),IF(COUNTIF($B$5:B301,B301)&lt;100,"0"&amp;COUNTIF($B$5:B301,B301),COUNTIF($B$5:B301,B301))))</f>
        <v>VIS_20260901_001</v>
      </c>
      <c r="B301" s="40">
        <v>46266</v>
      </c>
      <c r="C301" s="47" t="str">
        <f t="shared" si="8"/>
        <v>Вт</v>
      </c>
      <c r="I301" s="46"/>
      <c r="J301" s="39">
        <f t="shared" si="9"/>
        <v>46260</v>
      </c>
      <c r="K301" t="str">
        <f ca="1">IF(AND(B301&gt;='План недели'!$B$4,B301&lt;'План недели'!$D$4,D301&lt;&gt;"",G301&lt;&gt;"Отменён"),COUNTIFS($B$5:B301,"&gt;="&amp;'План недели'!$B$4,$B$5:B301,"&lt;"&amp;'План недели'!$D$4,$D$5:D301,"&lt;&gt;",$G$5:G301,"&lt;&gt;Отменён"),"")</f>
        <v/>
      </c>
    </row>
    <row r="302" spans="1:11">
      <c r="A302" t="str">
        <f>IF(B302="","","VIS_"&amp;(YEAR(B302)*10000+MONTH(B302)*100+DAY(B302))&amp;"_"&amp;IF(COUNTIF($B$5:B302,B302)&lt;10,"00"&amp;COUNTIF($B$5:B302,B302),IF(COUNTIF($B$5:B302,B302)&lt;100,"0"&amp;COUNTIF($B$5:B302,B302),COUNTIF($B$5:B302,B302))))</f>
        <v>VIS_20260902_001</v>
      </c>
      <c r="B302" s="40">
        <v>46267</v>
      </c>
      <c r="C302" s="47" t="str">
        <f t="shared" si="8"/>
        <v>Ср</v>
      </c>
      <c r="I302" s="46"/>
      <c r="J302" s="39">
        <f t="shared" si="9"/>
        <v>46267</v>
      </c>
      <c r="K302" t="str">
        <f ca="1">IF(AND(B302&gt;='План недели'!$B$4,B302&lt;'План недели'!$D$4,D302&lt;&gt;"",G302&lt;&gt;"Отменён"),COUNTIFS($B$5:B302,"&gt;="&amp;'План недели'!$B$4,$B$5:B302,"&lt;"&amp;'План недели'!$D$4,$D$5:D302,"&lt;&gt;",$G$5:G302,"&lt;&gt;Отменён"),"")</f>
        <v/>
      </c>
    </row>
    <row r="303" spans="1:11">
      <c r="A303" t="str">
        <f>IF(B303="","","VIS_"&amp;(YEAR(B303)*10000+MONTH(B303)*100+DAY(B303))&amp;"_"&amp;IF(COUNTIF($B$5:B303,B303)&lt;10,"00"&amp;COUNTIF($B$5:B303,B303),IF(COUNTIF($B$5:B303,B303)&lt;100,"0"&amp;COUNTIF($B$5:B303,B303),COUNTIF($B$5:B303,B303))))</f>
        <v>VIS_20260903_001</v>
      </c>
      <c r="B303" s="40">
        <v>46268</v>
      </c>
      <c r="C303" s="47" t="str">
        <f t="shared" si="8"/>
        <v>Чт</v>
      </c>
      <c r="I303" s="46"/>
      <c r="J303" s="39">
        <f t="shared" si="9"/>
        <v>46267</v>
      </c>
      <c r="K303" t="str">
        <f ca="1">IF(AND(B303&gt;='План недели'!$B$4,B303&lt;'План недели'!$D$4,D303&lt;&gt;"",G303&lt;&gt;"Отменён"),COUNTIFS($B$5:B303,"&gt;="&amp;'План недели'!$B$4,$B$5:B303,"&lt;"&amp;'План недели'!$D$4,$D$5:D303,"&lt;&gt;",$G$5:G303,"&lt;&gt;Отменён"),"")</f>
        <v/>
      </c>
    </row>
    <row r="304" spans="1:11">
      <c r="A304" t="str">
        <f>IF(B304="","","VIS_"&amp;(YEAR(B304)*10000+MONTH(B304)*100+DAY(B304))&amp;"_"&amp;IF(COUNTIF($B$5:B304,B304)&lt;10,"00"&amp;COUNTIF($B$5:B304,B304),IF(COUNTIF($B$5:B304,B304)&lt;100,"0"&amp;COUNTIF($B$5:B304,B304),COUNTIF($B$5:B304,B304))))</f>
        <v>VIS_20260904_001</v>
      </c>
      <c r="B304" s="40">
        <v>46269</v>
      </c>
      <c r="C304" s="47" t="str">
        <f t="shared" si="8"/>
        <v>Пт</v>
      </c>
      <c r="I304" s="46"/>
      <c r="J304" s="39">
        <f t="shared" si="9"/>
        <v>46267</v>
      </c>
      <c r="K304" t="str">
        <f ca="1">IF(AND(B304&gt;='План недели'!$B$4,B304&lt;'План недели'!$D$4,D304&lt;&gt;"",G304&lt;&gt;"Отменён"),COUNTIFS($B$5:B304,"&gt;="&amp;'План недели'!$B$4,$B$5:B304,"&lt;"&amp;'План недели'!$D$4,$D$5:D304,"&lt;&gt;",$G$5:G304,"&lt;&gt;Отменён"),"")</f>
        <v/>
      </c>
    </row>
    <row r="305" spans="1:11">
      <c r="A305" t="str">
        <f>IF(B305="","","VIS_"&amp;(YEAR(B305)*10000+MONTH(B305)*100+DAY(B305))&amp;"_"&amp;IF(COUNTIF($B$5:B305,B305)&lt;10,"00"&amp;COUNTIF($B$5:B305,B305),IF(COUNTIF($B$5:B305,B305)&lt;100,"0"&amp;COUNTIF($B$5:B305,B305),COUNTIF($B$5:B305,B305))))</f>
        <v>VIS_20260905_001</v>
      </c>
      <c r="B305" s="42">
        <v>46270</v>
      </c>
      <c r="C305" s="49" t="str">
        <f t="shared" si="8"/>
        <v>Сб</v>
      </c>
      <c r="I305" s="46"/>
      <c r="J305" s="39">
        <f t="shared" si="9"/>
        <v>46267</v>
      </c>
      <c r="K305" t="str">
        <f ca="1">IF(AND(B305&gt;='План недели'!$B$4,B305&lt;'План недели'!$D$4,D305&lt;&gt;"",G305&lt;&gt;"Отменён"),COUNTIFS($B$5:B305,"&gt;="&amp;'План недели'!$B$4,$B$5:B305,"&lt;"&amp;'План недели'!$D$4,$D$5:D305,"&lt;&gt;",$G$5:G305,"&lt;&gt;Отменён"),"")</f>
        <v/>
      </c>
    </row>
    <row r="306" spans="1:11">
      <c r="A306" t="str">
        <f>IF(B306="","","VIS_"&amp;(YEAR(B306)*10000+MONTH(B306)*100+DAY(B306))&amp;"_"&amp;IF(COUNTIF($B$5:B306,B306)&lt;10,"00"&amp;COUNTIF($B$5:B306,B306),IF(COUNTIF($B$5:B306,B306)&lt;100,"0"&amp;COUNTIF($B$5:B306,B306),COUNTIF($B$5:B306,B306))))</f>
        <v>VIS_20260906_001</v>
      </c>
      <c r="B306" s="42">
        <v>46271</v>
      </c>
      <c r="C306" s="49" t="str">
        <f t="shared" si="8"/>
        <v>Вс</v>
      </c>
      <c r="I306" s="46"/>
      <c r="J306" s="39">
        <f t="shared" si="9"/>
        <v>46267</v>
      </c>
      <c r="K306" t="str">
        <f ca="1">IF(AND(B306&gt;='План недели'!$B$4,B306&lt;'План недели'!$D$4,D306&lt;&gt;"",G306&lt;&gt;"Отменён"),COUNTIFS($B$5:B306,"&gt;="&amp;'План недели'!$B$4,$B$5:B306,"&lt;"&amp;'План недели'!$D$4,$D$5:D306,"&lt;&gt;",$G$5:G306,"&lt;&gt;Отменён"),"")</f>
        <v/>
      </c>
    </row>
    <row r="307" spans="1:11">
      <c r="A307" t="str">
        <f>IF(B307="","","VIS_"&amp;(YEAR(B307)*10000+MONTH(B307)*100+DAY(B307))&amp;"_"&amp;IF(COUNTIF($B$5:B307,B307)&lt;10,"00"&amp;COUNTIF($B$5:B307,B307),IF(COUNTIF($B$5:B307,B307)&lt;100,"0"&amp;COUNTIF($B$5:B307,B307),COUNTIF($B$5:B307,B307))))</f>
        <v>VIS_20260907_001</v>
      </c>
      <c r="B307" s="40">
        <v>46272</v>
      </c>
      <c r="C307" s="47" t="str">
        <f t="shared" si="8"/>
        <v>Пн</v>
      </c>
      <c r="I307" s="46"/>
      <c r="J307" s="39">
        <f t="shared" si="9"/>
        <v>46267</v>
      </c>
      <c r="K307" t="str">
        <f ca="1">IF(AND(B307&gt;='План недели'!$B$4,B307&lt;'План недели'!$D$4,D307&lt;&gt;"",G307&lt;&gt;"Отменён"),COUNTIFS($B$5:B307,"&gt;="&amp;'План недели'!$B$4,$B$5:B307,"&lt;"&amp;'План недели'!$D$4,$D$5:D307,"&lt;&gt;",$G$5:G307,"&lt;&gt;Отменён"),"")</f>
        <v/>
      </c>
    </row>
    <row r="308" spans="1:11">
      <c r="A308" t="str">
        <f>IF(B308="","","VIS_"&amp;(YEAR(B308)*10000+MONTH(B308)*100+DAY(B308))&amp;"_"&amp;IF(COUNTIF($B$5:B308,B308)&lt;10,"00"&amp;COUNTIF($B$5:B308,B308),IF(COUNTIF($B$5:B308,B308)&lt;100,"0"&amp;COUNTIF($B$5:B308,B308),COUNTIF($B$5:B308,B308))))</f>
        <v>VIS_20260908_001</v>
      </c>
      <c r="B308" s="40">
        <v>46273</v>
      </c>
      <c r="C308" s="47" t="str">
        <f t="shared" si="8"/>
        <v>Вт</v>
      </c>
      <c r="I308" s="46"/>
      <c r="J308" s="39">
        <f t="shared" si="9"/>
        <v>46267</v>
      </c>
      <c r="K308" t="str">
        <f ca="1">IF(AND(B308&gt;='План недели'!$B$4,B308&lt;'План недели'!$D$4,D308&lt;&gt;"",G308&lt;&gt;"Отменён"),COUNTIFS($B$5:B308,"&gt;="&amp;'План недели'!$B$4,$B$5:B308,"&lt;"&amp;'План недели'!$D$4,$D$5:D308,"&lt;&gt;",$G$5:G308,"&lt;&gt;Отменён"),"")</f>
        <v/>
      </c>
    </row>
    <row r="309" spans="1:11">
      <c r="A309" t="str">
        <f>IF(B309="","","VIS_"&amp;(YEAR(B309)*10000+MONTH(B309)*100+DAY(B309))&amp;"_"&amp;IF(COUNTIF($B$5:B309,B309)&lt;10,"00"&amp;COUNTIF($B$5:B309,B309),IF(COUNTIF($B$5:B309,B309)&lt;100,"0"&amp;COUNTIF($B$5:B309,B309),COUNTIF($B$5:B309,B309))))</f>
        <v>VIS_20260909_001</v>
      </c>
      <c r="B309" s="40">
        <v>46274</v>
      </c>
      <c r="C309" s="47" t="str">
        <f t="shared" si="8"/>
        <v>Ср</v>
      </c>
      <c r="I309" s="46"/>
      <c r="J309" s="39">
        <f t="shared" si="9"/>
        <v>46274</v>
      </c>
      <c r="K309" t="str">
        <f ca="1">IF(AND(B309&gt;='План недели'!$B$4,B309&lt;'План недели'!$D$4,D309&lt;&gt;"",G309&lt;&gt;"Отменён"),COUNTIFS($B$5:B309,"&gt;="&amp;'План недели'!$B$4,$B$5:B309,"&lt;"&amp;'План недели'!$D$4,$D$5:D309,"&lt;&gt;",$G$5:G309,"&lt;&gt;Отменён"),"")</f>
        <v/>
      </c>
    </row>
    <row r="310" spans="1:11">
      <c r="A310" t="str">
        <f>IF(B310="","","VIS_"&amp;(YEAR(B310)*10000+MONTH(B310)*100+DAY(B310))&amp;"_"&amp;IF(COUNTIF($B$5:B310,B310)&lt;10,"00"&amp;COUNTIF($B$5:B310,B310),IF(COUNTIF($B$5:B310,B310)&lt;100,"0"&amp;COUNTIF($B$5:B310,B310),COUNTIF($B$5:B310,B310))))</f>
        <v>VIS_20260910_001</v>
      </c>
      <c r="B310" s="40">
        <v>46275</v>
      </c>
      <c r="C310" s="47" t="str">
        <f t="shared" si="8"/>
        <v>Чт</v>
      </c>
      <c r="I310" s="46"/>
      <c r="J310" s="39">
        <f t="shared" si="9"/>
        <v>46274</v>
      </c>
      <c r="K310" t="str">
        <f ca="1">IF(AND(B310&gt;='План недели'!$B$4,B310&lt;'План недели'!$D$4,D310&lt;&gt;"",G310&lt;&gt;"Отменён"),COUNTIFS($B$5:B310,"&gt;="&amp;'План недели'!$B$4,$B$5:B310,"&lt;"&amp;'План недели'!$D$4,$D$5:D310,"&lt;&gt;",$G$5:G310,"&lt;&gt;Отменён"),"")</f>
        <v/>
      </c>
    </row>
    <row r="311" spans="1:11">
      <c r="A311" t="str">
        <f>IF(B311="","","VIS_"&amp;(YEAR(B311)*10000+MONTH(B311)*100+DAY(B311))&amp;"_"&amp;IF(COUNTIF($B$5:B311,B311)&lt;10,"00"&amp;COUNTIF($B$5:B311,B311),IF(COUNTIF($B$5:B311,B311)&lt;100,"0"&amp;COUNTIF($B$5:B311,B311),COUNTIF($B$5:B311,B311))))</f>
        <v>VIS_20260911_001</v>
      </c>
      <c r="B311" s="40">
        <v>46276</v>
      </c>
      <c r="C311" s="47" t="str">
        <f t="shared" si="8"/>
        <v>Пт</v>
      </c>
      <c r="I311" s="46"/>
      <c r="J311" s="39">
        <f t="shared" si="9"/>
        <v>46274</v>
      </c>
      <c r="K311" t="str">
        <f ca="1">IF(AND(B311&gt;='План недели'!$B$4,B311&lt;'План недели'!$D$4,D311&lt;&gt;"",G311&lt;&gt;"Отменён"),COUNTIFS($B$5:B311,"&gt;="&amp;'План недели'!$B$4,$B$5:B311,"&lt;"&amp;'План недели'!$D$4,$D$5:D311,"&lt;&gt;",$G$5:G311,"&lt;&gt;Отменён"),"")</f>
        <v/>
      </c>
    </row>
    <row r="312" spans="1:11">
      <c r="A312" t="str">
        <f>IF(B312="","","VIS_"&amp;(YEAR(B312)*10000+MONTH(B312)*100+DAY(B312))&amp;"_"&amp;IF(COUNTIF($B$5:B312,B312)&lt;10,"00"&amp;COUNTIF($B$5:B312,B312),IF(COUNTIF($B$5:B312,B312)&lt;100,"0"&amp;COUNTIF($B$5:B312,B312),COUNTIF($B$5:B312,B312))))</f>
        <v>VIS_20260912_001</v>
      </c>
      <c r="B312" s="42">
        <v>46277</v>
      </c>
      <c r="C312" s="49" t="str">
        <f t="shared" si="8"/>
        <v>Сб</v>
      </c>
      <c r="I312" s="46"/>
      <c r="J312" s="39">
        <f t="shared" si="9"/>
        <v>46274</v>
      </c>
      <c r="K312" t="str">
        <f ca="1">IF(AND(B312&gt;='План недели'!$B$4,B312&lt;'План недели'!$D$4,D312&lt;&gt;"",G312&lt;&gt;"Отменён"),COUNTIFS($B$5:B312,"&gt;="&amp;'План недели'!$B$4,$B$5:B312,"&lt;"&amp;'План недели'!$D$4,$D$5:D312,"&lt;&gt;",$G$5:G312,"&lt;&gt;Отменён"),"")</f>
        <v/>
      </c>
    </row>
    <row r="313" spans="1:11">
      <c r="A313" t="str">
        <f>IF(B313="","","VIS_"&amp;(YEAR(B313)*10000+MONTH(B313)*100+DAY(B313))&amp;"_"&amp;IF(COUNTIF($B$5:B313,B313)&lt;10,"00"&amp;COUNTIF($B$5:B313,B313),IF(COUNTIF($B$5:B313,B313)&lt;100,"0"&amp;COUNTIF($B$5:B313,B313),COUNTIF($B$5:B313,B313))))</f>
        <v>VIS_20260913_001</v>
      </c>
      <c r="B313" s="42">
        <v>46278</v>
      </c>
      <c r="C313" s="49" t="str">
        <f t="shared" si="8"/>
        <v>Вс</v>
      </c>
      <c r="I313" s="46"/>
      <c r="J313" s="39">
        <f t="shared" si="9"/>
        <v>46274</v>
      </c>
      <c r="K313" t="str">
        <f ca="1">IF(AND(B313&gt;='План недели'!$B$4,B313&lt;'План недели'!$D$4,D313&lt;&gt;"",G313&lt;&gt;"Отменён"),COUNTIFS($B$5:B313,"&gt;="&amp;'План недели'!$B$4,$B$5:B313,"&lt;"&amp;'План недели'!$D$4,$D$5:D313,"&lt;&gt;",$G$5:G313,"&lt;&gt;Отменён"),"")</f>
        <v/>
      </c>
    </row>
    <row r="314" spans="1:11">
      <c r="A314" t="str">
        <f>IF(B314="","","VIS_"&amp;(YEAR(B314)*10000+MONTH(B314)*100+DAY(B314))&amp;"_"&amp;IF(COUNTIF($B$5:B314,B314)&lt;10,"00"&amp;COUNTIF($B$5:B314,B314),IF(COUNTIF($B$5:B314,B314)&lt;100,"0"&amp;COUNTIF($B$5:B314,B314),COUNTIF($B$5:B314,B314))))</f>
        <v>VIS_20260914_001</v>
      </c>
      <c r="B314" s="40">
        <v>46279</v>
      </c>
      <c r="C314" s="47" t="str">
        <f t="shared" si="8"/>
        <v>Пн</v>
      </c>
      <c r="I314" s="46"/>
      <c r="J314" s="39">
        <f t="shared" si="9"/>
        <v>46274</v>
      </c>
      <c r="K314" t="str">
        <f ca="1">IF(AND(B314&gt;='План недели'!$B$4,B314&lt;'План недели'!$D$4,D314&lt;&gt;"",G314&lt;&gt;"Отменён"),COUNTIFS($B$5:B314,"&gt;="&amp;'План недели'!$B$4,$B$5:B314,"&lt;"&amp;'План недели'!$D$4,$D$5:D314,"&lt;&gt;",$G$5:G314,"&lt;&gt;Отменён"),"")</f>
        <v/>
      </c>
    </row>
    <row r="315" spans="1:11">
      <c r="A315" t="str">
        <f>IF(B315="","","VIS_"&amp;(YEAR(B315)*10000+MONTH(B315)*100+DAY(B315))&amp;"_"&amp;IF(COUNTIF($B$5:B315,B315)&lt;10,"00"&amp;COUNTIF($B$5:B315,B315),IF(COUNTIF($B$5:B315,B315)&lt;100,"0"&amp;COUNTIF($B$5:B315,B315),COUNTIF($B$5:B315,B315))))</f>
        <v>VIS_20260915_001</v>
      </c>
      <c r="B315" s="40">
        <v>46280</v>
      </c>
      <c r="C315" s="47" t="str">
        <f t="shared" si="8"/>
        <v>Вт</v>
      </c>
      <c r="I315" s="46"/>
      <c r="J315" s="39">
        <f t="shared" si="9"/>
        <v>46274</v>
      </c>
      <c r="K315" t="str">
        <f ca="1">IF(AND(B315&gt;='План недели'!$B$4,B315&lt;'План недели'!$D$4,D315&lt;&gt;"",G315&lt;&gt;"Отменён"),COUNTIFS($B$5:B315,"&gt;="&amp;'План недели'!$B$4,$B$5:B315,"&lt;"&amp;'План недели'!$D$4,$D$5:D315,"&lt;&gt;",$G$5:G315,"&lt;&gt;Отменён"),"")</f>
        <v/>
      </c>
    </row>
    <row r="316" spans="1:11">
      <c r="A316" t="str">
        <f>IF(B316="","","VIS_"&amp;(YEAR(B316)*10000+MONTH(B316)*100+DAY(B316))&amp;"_"&amp;IF(COUNTIF($B$5:B316,B316)&lt;10,"00"&amp;COUNTIF($B$5:B316,B316),IF(COUNTIF($B$5:B316,B316)&lt;100,"0"&amp;COUNTIF($B$5:B316,B316),COUNTIF($B$5:B316,B316))))</f>
        <v>VIS_20260916_001</v>
      </c>
      <c r="B316" s="40">
        <v>46281</v>
      </c>
      <c r="C316" s="47" t="str">
        <f t="shared" si="8"/>
        <v>Ср</v>
      </c>
      <c r="I316" s="46"/>
      <c r="J316" s="39">
        <f t="shared" si="9"/>
        <v>46281</v>
      </c>
      <c r="K316" t="str">
        <f ca="1">IF(AND(B316&gt;='План недели'!$B$4,B316&lt;'План недели'!$D$4,D316&lt;&gt;"",G316&lt;&gt;"Отменён"),COUNTIFS($B$5:B316,"&gt;="&amp;'План недели'!$B$4,$B$5:B316,"&lt;"&amp;'План недели'!$D$4,$D$5:D316,"&lt;&gt;",$G$5:G316,"&lt;&gt;Отменён"),"")</f>
        <v/>
      </c>
    </row>
    <row r="317" spans="1:11">
      <c r="A317" t="str">
        <f>IF(B317="","","VIS_"&amp;(YEAR(B317)*10000+MONTH(B317)*100+DAY(B317))&amp;"_"&amp;IF(COUNTIF($B$5:B317,B317)&lt;10,"00"&amp;COUNTIF($B$5:B317,B317),IF(COUNTIF($B$5:B317,B317)&lt;100,"0"&amp;COUNTIF($B$5:B317,B317),COUNTIF($B$5:B317,B317))))</f>
        <v>VIS_20260917_001</v>
      </c>
      <c r="B317" s="40">
        <v>46282</v>
      </c>
      <c r="C317" s="47" t="str">
        <f t="shared" si="8"/>
        <v>Чт</v>
      </c>
      <c r="I317" s="46"/>
      <c r="J317" s="39">
        <f t="shared" si="9"/>
        <v>46281</v>
      </c>
      <c r="K317" t="str">
        <f ca="1">IF(AND(B317&gt;='План недели'!$B$4,B317&lt;'План недели'!$D$4,D317&lt;&gt;"",G317&lt;&gt;"Отменён"),COUNTIFS($B$5:B317,"&gt;="&amp;'План недели'!$B$4,$B$5:B317,"&lt;"&amp;'План недели'!$D$4,$D$5:D317,"&lt;&gt;",$G$5:G317,"&lt;&gt;Отменён"),"")</f>
        <v/>
      </c>
    </row>
    <row r="318" spans="1:11">
      <c r="A318" t="str">
        <f>IF(B318="","","VIS_"&amp;(YEAR(B318)*10000+MONTH(B318)*100+DAY(B318))&amp;"_"&amp;IF(COUNTIF($B$5:B318,B318)&lt;10,"00"&amp;COUNTIF($B$5:B318,B318),IF(COUNTIF($B$5:B318,B318)&lt;100,"0"&amp;COUNTIF($B$5:B318,B318),COUNTIF($B$5:B318,B318))))</f>
        <v>VIS_20260918_001</v>
      </c>
      <c r="B318" s="40">
        <v>46283</v>
      </c>
      <c r="C318" s="47" t="str">
        <f t="shared" si="8"/>
        <v>Пт</v>
      </c>
      <c r="I318" s="46"/>
      <c r="J318" s="39">
        <f t="shared" si="9"/>
        <v>46281</v>
      </c>
      <c r="K318" t="str">
        <f ca="1">IF(AND(B318&gt;='План недели'!$B$4,B318&lt;'План недели'!$D$4,D318&lt;&gt;"",G318&lt;&gt;"Отменён"),COUNTIFS($B$5:B318,"&gt;="&amp;'План недели'!$B$4,$B$5:B318,"&lt;"&amp;'План недели'!$D$4,$D$5:D318,"&lt;&gt;",$G$5:G318,"&lt;&gt;Отменён"),"")</f>
        <v/>
      </c>
    </row>
    <row r="319" spans="1:11">
      <c r="A319" t="str">
        <f>IF(B319="","","VIS_"&amp;(YEAR(B319)*10000+MONTH(B319)*100+DAY(B319))&amp;"_"&amp;IF(COUNTIF($B$5:B319,B319)&lt;10,"00"&amp;COUNTIF($B$5:B319,B319),IF(COUNTIF($B$5:B319,B319)&lt;100,"0"&amp;COUNTIF($B$5:B319,B319),COUNTIF($B$5:B319,B319))))</f>
        <v>VIS_20260919_001</v>
      </c>
      <c r="B319" s="42">
        <v>46284</v>
      </c>
      <c r="C319" s="49" t="str">
        <f t="shared" si="8"/>
        <v>Сб</v>
      </c>
      <c r="I319" s="46"/>
      <c r="J319" s="39">
        <f t="shared" si="9"/>
        <v>46281</v>
      </c>
      <c r="K319" t="str">
        <f ca="1">IF(AND(B319&gt;='План недели'!$B$4,B319&lt;'План недели'!$D$4,D319&lt;&gt;"",G319&lt;&gt;"Отменён"),COUNTIFS($B$5:B319,"&gt;="&amp;'План недели'!$B$4,$B$5:B319,"&lt;"&amp;'План недели'!$D$4,$D$5:D319,"&lt;&gt;",$G$5:G319,"&lt;&gt;Отменён"),"")</f>
        <v/>
      </c>
    </row>
    <row r="320" spans="1:11">
      <c r="A320" t="str">
        <f>IF(B320="","","VIS_"&amp;(YEAR(B320)*10000+MONTH(B320)*100+DAY(B320))&amp;"_"&amp;IF(COUNTIF($B$5:B320,B320)&lt;10,"00"&amp;COUNTIF($B$5:B320,B320),IF(COUNTIF($B$5:B320,B320)&lt;100,"0"&amp;COUNTIF($B$5:B320,B320),COUNTIF($B$5:B320,B320))))</f>
        <v>VIS_20260920_001</v>
      </c>
      <c r="B320" s="42">
        <v>46285</v>
      </c>
      <c r="C320" s="49" t="str">
        <f t="shared" si="8"/>
        <v>Вс</v>
      </c>
      <c r="I320" s="46"/>
      <c r="J320" s="39">
        <f t="shared" si="9"/>
        <v>46281</v>
      </c>
      <c r="K320" t="str">
        <f ca="1">IF(AND(B320&gt;='План недели'!$B$4,B320&lt;'План недели'!$D$4,D320&lt;&gt;"",G320&lt;&gt;"Отменён"),COUNTIFS($B$5:B320,"&gt;="&amp;'План недели'!$B$4,$B$5:B320,"&lt;"&amp;'План недели'!$D$4,$D$5:D320,"&lt;&gt;",$G$5:G320,"&lt;&gt;Отменён"),"")</f>
        <v/>
      </c>
    </row>
    <row r="321" spans="1:11">
      <c r="A321" t="str">
        <f>IF(B321="","","VIS_"&amp;(YEAR(B321)*10000+MONTH(B321)*100+DAY(B321))&amp;"_"&amp;IF(COUNTIF($B$5:B321,B321)&lt;10,"00"&amp;COUNTIF($B$5:B321,B321),IF(COUNTIF($B$5:B321,B321)&lt;100,"0"&amp;COUNTIF($B$5:B321,B321),COUNTIF($B$5:B321,B321))))</f>
        <v>VIS_20260921_001</v>
      </c>
      <c r="B321" s="40">
        <v>46286</v>
      </c>
      <c r="C321" s="47" t="str">
        <f t="shared" si="8"/>
        <v>Пн</v>
      </c>
      <c r="I321" s="46"/>
      <c r="J321" s="39">
        <f t="shared" si="9"/>
        <v>46281</v>
      </c>
      <c r="K321" t="str">
        <f ca="1">IF(AND(B321&gt;='План недели'!$B$4,B321&lt;'План недели'!$D$4,D321&lt;&gt;"",G321&lt;&gt;"Отменён"),COUNTIFS($B$5:B321,"&gt;="&amp;'План недели'!$B$4,$B$5:B321,"&lt;"&amp;'План недели'!$D$4,$D$5:D321,"&lt;&gt;",$G$5:G321,"&lt;&gt;Отменён"),"")</f>
        <v/>
      </c>
    </row>
    <row r="322" spans="1:11">
      <c r="A322" t="str">
        <f>IF(B322="","","VIS_"&amp;(YEAR(B322)*10000+MONTH(B322)*100+DAY(B322))&amp;"_"&amp;IF(COUNTIF($B$5:B322,B322)&lt;10,"00"&amp;COUNTIF($B$5:B322,B322),IF(COUNTIF($B$5:B322,B322)&lt;100,"0"&amp;COUNTIF($B$5:B322,B322),COUNTIF($B$5:B322,B322))))</f>
        <v>VIS_20260922_001</v>
      </c>
      <c r="B322" s="40">
        <v>46287</v>
      </c>
      <c r="C322" s="47" t="str">
        <f t="shared" si="8"/>
        <v>Вт</v>
      </c>
      <c r="I322" s="46"/>
      <c r="J322" s="39">
        <f t="shared" si="9"/>
        <v>46281</v>
      </c>
      <c r="K322" t="str">
        <f ca="1">IF(AND(B322&gt;='План недели'!$B$4,B322&lt;'План недели'!$D$4,D322&lt;&gt;"",G322&lt;&gt;"Отменён"),COUNTIFS($B$5:B322,"&gt;="&amp;'План недели'!$B$4,$B$5:B322,"&lt;"&amp;'План недели'!$D$4,$D$5:D322,"&lt;&gt;",$G$5:G322,"&lt;&gt;Отменён"),"")</f>
        <v/>
      </c>
    </row>
    <row r="323" spans="1:11">
      <c r="A323" t="str">
        <f>IF(B323="","","VIS_"&amp;(YEAR(B323)*10000+MONTH(B323)*100+DAY(B323))&amp;"_"&amp;IF(COUNTIF($B$5:B323,B323)&lt;10,"00"&amp;COUNTIF($B$5:B323,B323),IF(COUNTIF($B$5:B323,B323)&lt;100,"0"&amp;COUNTIF($B$5:B323,B323),COUNTIF($B$5:B323,B323))))</f>
        <v>VIS_20260923_001</v>
      </c>
      <c r="B323" s="40">
        <v>46288</v>
      </c>
      <c r="C323" s="47" t="str">
        <f t="shared" si="8"/>
        <v>Ср</v>
      </c>
      <c r="I323" s="46"/>
      <c r="J323" s="39">
        <f t="shared" si="9"/>
        <v>46288</v>
      </c>
      <c r="K323" t="str">
        <f ca="1">IF(AND(B323&gt;='План недели'!$B$4,B323&lt;'План недели'!$D$4,D323&lt;&gt;"",G323&lt;&gt;"Отменён"),COUNTIFS($B$5:B323,"&gt;="&amp;'План недели'!$B$4,$B$5:B323,"&lt;"&amp;'План недели'!$D$4,$D$5:D323,"&lt;&gt;",$G$5:G323,"&lt;&gt;Отменён"),"")</f>
        <v/>
      </c>
    </row>
    <row r="324" spans="1:11">
      <c r="A324" t="str">
        <f>IF(B324="","","VIS_"&amp;(YEAR(B324)*10000+MONTH(B324)*100+DAY(B324))&amp;"_"&amp;IF(COUNTIF($B$5:B324,B324)&lt;10,"00"&amp;COUNTIF($B$5:B324,B324),IF(COUNTIF($B$5:B324,B324)&lt;100,"0"&amp;COUNTIF($B$5:B324,B324),COUNTIF($B$5:B324,B324))))</f>
        <v>VIS_20260924_001</v>
      </c>
      <c r="B324" s="40">
        <v>46289</v>
      </c>
      <c r="C324" s="47" t="str">
        <f t="shared" si="8"/>
        <v>Чт</v>
      </c>
      <c r="I324" s="46"/>
      <c r="J324" s="39">
        <f t="shared" si="9"/>
        <v>46288</v>
      </c>
      <c r="K324" t="str">
        <f ca="1">IF(AND(B324&gt;='План недели'!$B$4,B324&lt;'План недели'!$D$4,D324&lt;&gt;"",G324&lt;&gt;"Отменён"),COUNTIFS($B$5:B324,"&gt;="&amp;'План недели'!$B$4,$B$5:B324,"&lt;"&amp;'План недели'!$D$4,$D$5:D324,"&lt;&gt;",$G$5:G324,"&lt;&gt;Отменён"),"")</f>
        <v/>
      </c>
    </row>
    <row r="325" spans="1:11">
      <c r="A325" t="str">
        <f>IF(B325="","","VIS_"&amp;(YEAR(B325)*10000+MONTH(B325)*100+DAY(B325))&amp;"_"&amp;IF(COUNTIF($B$5:B325,B325)&lt;10,"00"&amp;COUNTIF($B$5:B325,B325),IF(COUNTIF($B$5:B325,B325)&lt;100,"0"&amp;COUNTIF($B$5:B325,B325),COUNTIF($B$5:B325,B325))))</f>
        <v>VIS_20260925_001</v>
      </c>
      <c r="B325" s="40">
        <v>46290</v>
      </c>
      <c r="C325" s="47" t="str">
        <f t="shared" ref="C325:C388" si="10">IF(B325="","",CHOOSE(WEEKDAY(B325,2),"Пн","Вт","Ср","Чт","Пт","Сб","Вс"))</f>
        <v>Пт</v>
      </c>
      <c r="I325" s="46"/>
      <c r="J325" s="39">
        <f t="shared" ref="J325:J388" si="11">IF(B325="","",B325-MOD(WEEKDAY(B325,2)-3,7))</f>
        <v>46288</v>
      </c>
      <c r="K325" t="str">
        <f ca="1">IF(AND(B325&gt;='План недели'!$B$4,B325&lt;'План недели'!$D$4,D325&lt;&gt;"",G325&lt;&gt;"Отменён"),COUNTIFS($B$5:B325,"&gt;="&amp;'План недели'!$B$4,$B$5:B325,"&lt;"&amp;'План недели'!$D$4,$D$5:D325,"&lt;&gt;",$G$5:G325,"&lt;&gt;Отменён"),"")</f>
        <v/>
      </c>
    </row>
    <row r="326" spans="1:11">
      <c r="A326" t="str">
        <f>IF(B326="","","VIS_"&amp;(YEAR(B326)*10000+MONTH(B326)*100+DAY(B326))&amp;"_"&amp;IF(COUNTIF($B$5:B326,B326)&lt;10,"00"&amp;COUNTIF($B$5:B326,B326),IF(COUNTIF($B$5:B326,B326)&lt;100,"0"&amp;COUNTIF($B$5:B326,B326),COUNTIF($B$5:B326,B326))))</f>
        <v>VIS_20260926_001</v>
      </c>
      <c r="B326" s="42">
        <v>46291</v>
      </c>
      <c r="C326" s="49" t="str">
        <f t="shared" si="10"/>
        <v>Сб</v>
      </c>
      <c r="I326" s="46"/>
      <c r="J326" s="39">
        <f t="shared" si="11"/>
        <v>46288</v>
      </c>
      <c r="K326" t="str">
        <f ca="1">IF(AND(B326&gt;='План недели'!$B$4,B326&lt;'План недели'!$D$4,D326&lt;&gt;"",G326&lt;&gt;"Отменён"),COUNTIFS($B$5:B326,"&gt;="&amp;'План недели'!$B$4,$B$5:B326,"&lt;"&amp;'План недели'!$D$4,$D$5:D326,"&lt;&gt;",$G$5:G326,"&lt;&gt;Отменён"),"")</f>
        <v/>
      </c>
    </row>
    <row r="327" spans="1:11">
      <c r="A327" t="str">
        <f>IF(B327="","","VIS_"&amp;(YEAR(B327)*10000+MONTH(B327)*100+DAY(B327))&amp;"_"&amp;IF(COUNTIF($B$5:B327,B327)&lt;10,"00"&amp;COUNTIF($B$5:B327,B327),IF(COUNTIF($B$5:B327,B327)&lt;100,"0"&amp;COUNTIF($B$5:B327,B327),COUNTIF($B$5:B327,B327))))</f>
        <v>VIS_20260927_001</v>
      </c>
      <c r="B327" s="42">
        <v>46292</v>
      </c>
      <c r="C327" s="49" t="str">
        <f t="shared" si="10"/>
        <v>Вс</v>
      </c>
      <c r="I327" s="46"/>
      <c r="J327" s="39">
        <f t="shared" si="11"/>
        <v>46288</v>
      </c>
      <c r="K327" t="str">
        <f ca="1">IF(AND(B327&gt;='План недели'!$B$4,B327&lt;'План недели'!$D$4,D327&lt;&gt;"",G327&lt;&gt;"Отменён"),COUNTIFS($B$5:B327,"&gt;="&amp;'План недели'!$B$4,$B$5:B327,"&lt;"&amp;'План недели'!$D$4,$D$5:D327,"&lt;&gt;",$G$5:G327,"&lt;&gt;Отменён"),"")</f>
        <v/>
      </c>
    </row>
    <row r="328" spans="1:11">
      <c r="A328" t="str">
        <f>IF(B328="","","VIS_"&amp;(YEAR(B328)*10000+MONTH(B328)*100+DAY(B328))&amp;"_"&amp;IF(COUNTIF($B$5:B328,B328)&lt;10,"00"&amp;COUNTIF($B$5:B328,B328),IF(COUNTIF($B$5:B328,B328)&lt;100,"0"&amp;COUNTIF($B$5:B328,B328),COUNTIF($B$5:B328,B328))))</f>
        <v>VIS_20260928_001</v>
      </c>
      <c r="B328" s="40">
        <v>46293</v>
      </c>
      <c r="C328" s="47" t="str">
        <f t="shared" si="10"/>
        <v>Пн</v>
      </c>
      <c r="I328" s="46"/>
      <c r="J328" s="39">
        <f t="shared" si="11"/>
        <v>46288</v>
      </c>
      <c r="K328" t="str">
        <f ca="1">IF(AND(B328&gt;='План недели'!$B$4,B328&lt;'План недели'!$D$4,D328&lt;&gt;"",G328&lt;&gt;"Отменён"),COUNTIFS($B$5:B328,"&gt;="&amp;'План недели'!$B$4,$B$5:B328,"&lt;"&amp;'План недели'!$D$4,$D$5:D328,"&lt;&gt;",$G$5:G328,"&lt;&gt;Отменён"),"")</f>
        <v/>
      </c>
    </row>
    <row r="329" spans="1:11">
      <c r="A329" t="str">
        <f>IF(B329="","","VIS_"&amp;(YEAR(B329)*10000+MONTH(B329)*100+DAY(B329))&amp;"_"&amp;IF(COUNTIF($B$5:B329,B329)&lt;10,"00"&amp;COUNTIF($B$5:B329,B329),IF(COUNTIF($B$5:B329,B329)&lt;100,"0"&amp;COUNTIF($B$5:B329,B329),COUNTIF($B$5:B329,B329))))</f>
        <v>VIS_20260929_001</v>
      </c>
      <c r="B329" s="40">
        <v>46294</v>
      </c>
      <c r="C329" s="47" t="str">
        <f t="shared" si="10"/>
        <v>Вт</v>
      </c>
      <c r="I329" s="46"/>
      <c r="J329" s="39">
        <f t="shared" si="11"/>
        <v>46288</v>
      </c>
      <c r="K329" t="str">
        <f ca="1">IF(AND(B329&gt;='План недели'!$B$4,B329&lt;'План недели'!$D$4,D329&lt;&gt;"",G329&lt;&gt;"Отменён"),COUNTIFS($B$5:B329,"&gt;="&amp;'План недели'!$B$4,$B$5:B329,"&lt;"&amp;'План недели'!$D$4,$D$5:D329,"&lt;&gt;",$G$5:G329,"&lt;&gt;Отменён"),"")</f>
        <v/>
      </c>
    </row>
    <row r="330" spans="1:11">
      <c r="A330" t="str">
        <f>IF(B330="","","VIS_"&amp;(YEAR(B330)*10000+MONTH(B330)*100+DAY(B330))&amp;"_"&amp;IF(COUNTIF($B$5:B330,B330)&lt;10,"00"&amp;COUNTIF($B$5:B330,B330),IF(COUNTIF($B$5:B330,B330)&lt;100,"0"&amp;COUNTIF($B$5:B330,B330),COUNTIF($B$5:B330,B330))))</f>
        <v>VIS_20260930_001</v>
      </c>
      <c r="B330" s="40">
        <v>46295</v>
      </c>
      <c r="C330" s="47" t="str">
        <f t="shared" si="10"/>
        <v>Ср</v>
      </c>
      <c r="I330" s="46"/>
      <c r="J330" s="39">
        <f t="shared" si="11"/>
        <v>46295</v>
      </c>
      <c r="K330" t="str">
        <f ca="1">IF(AND(B330&gt;='План недели'!$B$4,B330&lt;'План недели'!$D$4,D330&lt;&gt;"",G330&lt;&gt;"Отменён"),COUNTIFS($B$5:B330,"&gt;="&amp;'План недели'!$B$4,$B$5:B330,"&lt;"&amp;'План недели'!$D$4,$D$5:D330,"&lt;&gt;",$G$5:G330,"&lt;&gt;Отменён"),"")</f>
        <v/>
      </c>
    </row>
    <row r="331" spans="1:11">
      <c r="A331" t="str">
        <f>IF(B331="","","VIS_"&amp;(YEAR(B331)*10000+MONTH(B331)*100+DAY(B331))&amp;"_"&amp;IF(COUNTIF($B$5:B331,B331)&lt;10,"00"&amp;COUNTIF($B$5:B331,B331),IF(COUNTIF($B$5:B331,B331)&lt;100,"0"&amp;COUNTIF($B$5:B331,B331),COUNTIF($B$5:B331,B331))))</f>
        <v>VIS_20261001_001</v>
      </c>
      <c r="B331" s="40">
        <v>46296</v>
      </c>
      <c r="C331" s="47" t="str">
        <f t="shared" si="10"/>
        <v>Чт</v>
      </c>
      <c r="I331" s="46"/>
      <c r="J331" s="39">
        <f t="shared" si="11"/>
        <v>46295</v>
      </c>
      <c r="K331" t="str">
        <f ca="1">IF(AND(B331&gt;='План недели'!$B$4,B331&lt;'План недели'!$D$4,D331&lt;&gt;"",G331&lt;&gt;"Отменён"),COUNTIFS($B$5:B331,"&gt;="&amp;'План недели'!$B$4,$B$5:B331,"&lt;"&amp;'План недели'!$D$4,$D$5:D331,"&lt;&gt;",$G$5:G331,"&lt;&gt;Отменён"),"")</f>
        <v/>
      </c>
    </row>
    <row r="332" spans="1:11">
      <c r="A332" t="str">
        <f>IF(B332="","","VIS_"&amp;(YEAR(B332)*10000+MONTH(B332)*100+DAY(B332))&amp;"_"&amp;IF(COUNTIF($B$5:B332,B332)&lt;10,"00"&amp;COUNTIF($B$5:B332,B332),IF(COUNTIF($B$5:B332,B332)&lt;100,"0"&amp;COUNTIF($B$5:B332,B332),COUNTIF($B$5:B332,B332))))</f>
        <v>VIS_20261002_001</v>
      </c>
      <c r="B332" s="40">
        <v>46297</v>
      </c>
      <c r="C332" s="47" t="str">
        <f t="shared" si="10"/>
        <v>Пт</v>
      </c>
      <c r="I332" s="46"/>
      <c r="J332" s="39">
        <f t="shared" si="11"/>
        <v>46295</v>
      </c>
      <c r="K332" t="str">
        <f ca="1">IF(AND(B332&gt;='План недели'!$B$4,B332&lt;'План недели'!$D$4,D332&lt;&gt;"",G332&lt;&gt;"Отменён"),COUNTIFS($B$5:B332,"&gt;="&amp;'План недели'!$B$4,$B$5:B332,"&lt;"&amp;'План недели'!$D$4,$D$5:D332,"&lt;&gt;",$G$5:G332,"&lt;&gt;Отменён"),"")</f>
        <v/>
      </c>
    </row>
    <row r="333" spans="1:11">
      <c r="A333" t="str">
        <f>IF(B333="","","VIS_"&amp;(YEAR(B333)*10000+MONTH(B333)*100+DAY(B333))&amp;"_"&amp;IF(COUNTIF($B$5:B333,B333)&lt;10,"00"&amp;COUNTIF($B$5:B333,B333),IF(COUNTIF($B$5:B333,B333)&lt;100,"0"&amp;COUNTIF($B$5:B333,B333),COUNTIF($B$5:B333,B333))))</f>
        <v>VIS_20261003_001</v>
      </c>
      <c r="B333" s="42">
        <v>46298</v>
      </c>
      <c r="C333" s="49" t="str">
        <f t="shared" si="10"/>
        <v>Сб</v>
      </c>
      <c r="I333" s="46"/>
      <c r="J333" s="39">
        <f t="shared" si="11"/>
        <v>46295</v>
      </c>
      <c r="K333" t="str">
        <f ca="1">IF(AND(B333&gt;='План недели'!$B$4,B333&lt;'План недели'!$D$4,D333&lt;&gt;"",G333&lt;&gt;"Отменён"),COUNTIFS($B$5:B333,"&gt;="&amp;'План недели'!$B$4,$B$5:B333,"&lt;"&amp;'План недели'!$D$4,$D$5:D333,"&lt;&gt;",$G$5:G333,"&lt;&gt;Отменён"),"")</f>
        <v/>
      </c>
    </row>
    <row r="334" spans="1:11">
      <c r="A334" t="str">
        <f>IF(B334="","","VIS_"&amp;(YEAR(B334)*10000+MONTH(B334)*100+DAY(B334))&amp;"_"&amp;IF(COUNTIF($B$5:B334,B334)&lt;10,"00"&amp;COUNTIF($B$5:B334,B334),IF(COUNTIF($B$5:B334,B334)&lt;100,"0"&amp;COUNTIF($B$5:B334,B334),COUNTIF($B$5:B334,B334))))</f>
        <v>VIS_20261004_001</v>
      </c>
      <c r="B334" s="42">
        <v>46299</v>
      </c>
      <c r="C334" s="49" t="str">
        <f t="shared" si="10"/>
        <v>Вс</v>
      </c>
      <c r="I334" s="46"/>
      <c r="J334" s="39">
        <f t="shared" si="11"/>
        <v>46295</v>
      </c>
      <c r="K334" t="str">
        <f ca="1">IF(AND(B334&gt;='План недели'!$B$4,B334&lt;'План недели'!$D$4,D334&lt;&gt;"",G334&lt;&gt;"Отменён"),COUNTIFS($B$5:B334,"&gt;="&amp;'План недели'!$B$4,$B$5:B334,"&lt;"&amp;'План недели'!$D$4,$D$5:D334,"&lt;&gt;",$G$5:G334,"&lt;&gt;Отменён"),"")</f>
        <v/>
      </c>
    </row>
    <row r="335" spans="1:11">
      <c r="A335" t="str">
        <f>IF(B335="","","VIS_"&amp;(YEAR(B335)*10000+MONTH(B335)*100+DAY(B335))&amp;"_"&amp;IF(COUNTIF($B$5:B335,B335)&lt;10,"00"&amp;COUNTIF($B$5:B335,B335),IF(COUNTIF($B$5:B335,B335)&lt;100,"0"&amp;COUNTIF($B$5:B335,B335),COUNTIF($B$5:B335,B335))))</f>
        <v>VIS_20261005_001</v>
      </c>
      <c r="B335" s="40">
        <v>46300</v>
      </c>
      <c r="C335" s="47" t="str">
        <f t="shared" si="10"/>
        <v>Пн</v>
      </c>
      <c r="I335" s="46"/>
      <c r="J335" s="39">
        <f t="shared" si="11"/>
        <v>46295</v>
      </c>
      <c r="K335" t="str">
        <f ca="1">IF(AND(B335&gt;='План недели'!$B$4,B335&lt;'План недели'!$D$4,D335&lt;&gt;"",G335&lt;&gt;"Отменён"),COUNTIFS($B$5:B335,"&gt;="&amp;'План недели'!$B$4,$B$5:B335,"&lt;"&amp;'План недели'!$D$4,$D$5:D335,"&lt;&gt;",$G$5:G335,"&lt;&gt;Отменён"),"")</f>
        <v/>
      </c>
    </row>
    <row r="336" spans="1:11">
      <c r="A336" t="str">
        <f>IF(B336="","","VIS_"&amp;(YEAR(B336)*10000+MONTH(B336)*100+DAY(B336))&amp;"_"&amp;IF(COUNTIF($B$5:B336,B336)&lt;10,"00"&amp;COUNTIF($B$5:B336,B336),IF(COUNTIF($B$5:B336,B336)&lt;100,"0"&amp;COUNTIF($B$5:B336,B336),COUNTIF($B$5:B336,B336))))</f>
        <v>VIS_20261006_001</v>
      </c>
      <c r="B336" s="40">
        <v>46301</v>
      </c>
      <c r="C336" s="47" t="str">
        <f t="shared" si="10"/>
        <v>Вт</v>
      </c>
      <c r="I336" s="46"/>
      <c r="J336" s="39">
        <f t="shared" si="11"/>
        <v>46295</v>
      </c>
      <c r="K336" t="str">
        <f ca="1">IF(AND(B336&gt;='План недели'!$B$4,B336&lt;'План недели'!$D$4,D336&lt;&gt;"",G336&lt;&gt;"Отменён"),COUNTIFS($B$5:B336,"&gt;="&amp;'План недели'!$B$4,$B$5:B336,"&lt;"&amp;'План недели'!$D$4,$D$5:D336,"&lt;&gt;",$G$5:G336,"&lt;&gt;Отменён"),"")</f>
        <v/>
      </c>
    </row>
    <row r="337" spans="1:11">
      <c r="A337" t="str">
        <f>IF(B337="","","VIS_"&amp;(YEAR(B337)*10000+MONTH(B337)*100+DAY(B337))&amp;"_"&amp;IF(COUNTIF($B$5:B337,B337)&lt;10,"00"&amp;COUNTIF($B$5:B337,B337),IF(COUNTIF($B$5:B337,B337)&lt;100,"0"&amp;COUNTIF($B$5:B337,B337),COUNTIF($B$5:B337,B337))))</f>
        <v>VIS_20261007_001</v>
      </c>
      <c r="B337" s="40">
        <v>46302</v>
      </c>
      <c r="C337" s="47" t="str">
        <f t="shared" si="10"/>
        <v>Ср</v>
      </c>
      <c r="I337" s="46"/>
      <c r="J337" s="39">
        <f t="shared" si="11"/>
        <v>46302</v>
      </c>
      <c r="K337" t="str">
        <f ca="1">IF(AND(B337&gt;='План недели'!$B$4,B337&lt;'План недели'!$D$4,D337&lt;&gt;"",G337&lt;&gt;"Отменён"),COUNTIFS($B$5:B337,"&gt;="&amp;'План недели'!$B$4,$B$5:B337,"&lt;"&amp;'План недели'!$D$4,$D$5:D337,"&lt;&gt;",$G$5:G337,"&lt;&gt;Отменён"),"")</f>
        <v/>
      </c>
    </row>
    <row r="338" spans="1:11">
      <c r="A338" t="str">
        <f>IF(B338="","","VIS_"&amp;(YEAR(B338)*10000+MONTH(B338)*100+DAY(B338))&amp;"_"&amp;IF(COUNTIF($B$5:B338,B338)&lt;10,"00"&amp;COUNTIF($B$5:B338,B338),IF(COUNTIF($B$5:B338,B338)&lt;100,"0"&amp;COUNTIF($B$5:B338,B338),COUNTIF($B$5:B338,B338))))</f>
        <v>VIS_20261008_001</v>
      </c>
      <c r="B338" s="40">
        <v>46303</v>
      </c>
      <c r="C338" s="47" t="str">
        <f t="shared" si="10"/>
        <v>Чт</v>
      </c>
      <c r="I338" s="46"/>
      <c r="J338" s="39">
        <f t="shared" si="11"/>
        <v>46302</v>
      </c>
      <c r="K338" t="str">
        <f ca="1">IF(AND(B338&gt;='План недели'!$B$4,B338&lt;'План недели'!$D$4,D338&lt;&gt;"",G338&lt;&gt;"Отменён"),COUNTIFS($B$5:B338,"&gt;="&amp;'План недели'!$B$4,$B$5:B338,"&lt;"&amp;'План недели'!$D$4,$D$5:D338,"&lt;&gt;",$G$5:G338,"&lt;&gt;Отменён"),"")</f>
        <v/>
      </c>
    </row>
    <row r="339" spans="1:11">
      <c r="A339" t="str">
        <f>IF(B339="","","VIS_"&amp;(YEAR(B339)*10000+MONTH(B339)*100+DAY(B339))&amp;"_"&amp;IF(COUNTIF($B$5:B339,B339)&lt;10,"00"&amp;COUNTIF($B$5:B339,B339),IF(COUNTIF($B$5:B339,B339)&lt;100,"0"&amp;COUNTIF($B$5:B339,B339),COUNTIF($B$5:B339,B339))))</f>
        <v>VIS_20261009_001</v>
      </c>
      <c r="B339" s="40">
        <v>46304</v>
      </c>
      <c r="C339" s="47" t="str">
        <f t="shared" si="10"/>
        <v>Пт</v>
      </c>
      <c r="I339" s="46"/>
      <c r="J339" s="39">
        <f t="shared" si="11"/>
        <v>46302</v>
      </c>
      <c r="K339" t="str">
        <f ca="1">IF(AND(B339&gt;='План недели'!$B$4,B339&lt;'План недели'!$D$4,D339&lt;&gt;"",G339&lt;&gt;"Отменён"),COUNTIFS($B$5:B339,"&gt;="&amp;'План недели'!$B$4,$B$5:B339,"&lt;"&amp;'План недели'!$D$4,$D$5:D339,"&lt;&gt;",$G$5:G339,"&lt;&gt;Отменён"),"")</f>
        <v/>
      </c>
    </row>
    <row r="340" spans="1:11">
      <c r="A340" t="str">
        <f>IF(B340="","","VIS_"&amp;(YEAR(B340)*10000+MONTH(B340)*100+DAY(B340))&amp;"_"&amp;IF(COUNTIF($B$5:B340,B340)&lt;10,"00"&amp;COUNTIF($B$5:B340,B340),IF(COUNTIF($B$5:B340,B340)&lt;100,"0"&amp;COUNTIF($B$5:B340,B340),COUNTIF($B$5:B340,B340))))</f>
        <v>VIS_20261010_001</v>
      </c>
      <c r="B340" s="42">
        <v>46305</v>
      </c>
      <c r="C340" s="49" t="str">
        <f t="shared" si="10"/>
        <v>Сб</v>
      </c>
      <c r="I340" s="46"/>
      <c r="J340" s="39">
        <f t="shared" si="11"/>
        <v>46302</v>
      </c>
      <c r="K340" t="str">
        <f ca="1">IF(AND(B340&gt;='План недели'!$B$4,B340&lt;'План недели'!$D$4,D340&lt;&gt;"",G340&lt;&gt;"Отменён"),COUNTIFS($B$5:B340,"&gt;="&amp;'План недели'!$B$4,$B$5:B340,"&lt;"&amp;'План недели'!$D$4,$D$5:D340,"&lt;&gt;",$G$5:G340,"&lt;&gt;Отменён"),"")</f>
        <v/>
      </c>
    </row>
    <row r="341" spans="1:11">
      <c r="A341" t="str">
        <f>IF(B341="","","VIS_"&amp;(YEAR(B341)*10000+MONTH(B341)*100+DAY(B341))&amp;"_"&amp;IF(COUNTIF($B$5:B341,B341)&lt;10,"00"&amp;COUNTIF($B$5:B341,B341),IF(COUNTIF($B$5:B341,B341)&lt;100,"0"&amp;COUNTIF($B$5:B341,B341),COUNTIF($B$5:B341,B341))))</f>
        <v>VIS_20261011_001</v>
      </c>
      <c r="B341" s="42">
        <v>46306</v>
      </c>
      <c r="C341" s="49" t="str">
        <f t="shared" si="10"/>
        <v>Вс</v>
      </c>
      <c r="I341" s="46"/>
      <c r="J341" s="39">
        <f t="shared" si="11"/>
        <v>46302</v>
      </c>
      <c r="K341" t="str">
        <f ca="1">IF(AND(B341&gt;='План недели'!$B$4,B341&lt;'План недели'!$D$4,D341&lt;&gt;"",G341&lt;&gt;"Отменён"),COUNTIFS($B$5:B341,"&gt;="&amp;'План недели'!$B$4,$B$5:B341,"&lt;"&amp;'План недели'!$D$4,$D$5:D341,"&lt;&gt;",$G$5:G341,"&lt;&gt;Отменён"),"")</f>
        <v/>
      </c>
    </row>
    <row r="342" spans="1:11">
      <c r="A342" t="str">
        <f>IF(B342="","","VIS_"&amp;(YEAR(B342)*10000+MONTH(B342)*100+DAY(B342))&amp;"_"&amp;IF(COUNTIF($B$5:B342,B342)&lt;10,"00"&amp;COUNTIF($B$5:B342,B342),IF(COUNTIF($B$5:B342,B342)&lt;100,"0"&amp;COUNTIF($B$5:B342,B342),COUNTIF($B$5:B342,B342))))</f>
        <v>VIS_20261012_001</v>
      </c>
      <c r="B342" s="40">
        <v>46307</v>
      </c>
      <c r="C342" s="47" t="str">
        <f t="shared" si="10"/>
        <v>Пн</v>
      </c>
      <c r="I342" s="46"/>
      <c r="J342" s="39">
        <f t="shared" si="11"/>
        <v>46302</v>
      </c>
      <c r="K342" t="str">
        <f ca="1">IF(AND(B342&gt;='План недели'!$B$4,B342&lt;'План недели'!$D$4,D342&lt;&gt;"",G342&lt;&gt;"Отменён"),COUNTIFS($B$5:B342,"&gt;="&amp;'План недели'!$B$4,$B$5:B342,"&lt;"&amp;'План недели'!$D$4,$D$5:D342,"&lt;&gt;",$G$5:G342,"&lt;&gt;Отменён"),"")</f>
        <v/>
      </c>
    </row>
    <row r="343" spans="1:11">
      <c r="A343" t="str">
        <f>IF(B343="","","VIS_"&amp;(YEAR(B343)*10000+MONTH(B343)*100+DAY(B343))&amp;"_"&amp;IF(COUNTIF($B$5:B343,B343)&lt;10,"00"&amp;COUNTIF($B$5:B343,B343),IF(COUNTIF($B$5:B343,B343)&lt;100,"0"&amp;COUNTIF($B$5:B343,B343),COUNTIF($B$5:B343,B343))))</f>
        <v>VIS_20261013_001</v>
      </c>
      <c r="B343" s="40">
        <v>46308</v>
      </c>
      <c r="C343" s="47" t="str">
        <f t="shared" si="10"/>
        <v>Вт</v>
      </c>
      <c r="I343" s="46"/>
      <c r="J343" s="39">
        <f t="shared" si="11"/>
        <v>46302</v>
      </c>
      <c r="K343" t="str">
        <f ca="1">IF(AND(B343&gt;='План недели'!$B$4,B343&lt;'План недели'!$D$4,D343&lt;&gt;"",G343&lt;&gt;"Отменён"),COUNTIFS($B$5:B343,"&gt;="&amp;'План недели'!$B$4,$B$5:B343,"&lt;"&amp;'План недели'!$D$4,$D$5:D343,"&lt;&gt;",$G$5:G343,"&lt;&gt;Отменён"),"")</f>
        <v/>
      </c>
    </row>
    <row r="344" spans="1:11">
      <c r="A344" t="str">
        <f>IF(B344="","","VIS_"&amp;(YEAR(B344)*10000+MONTH(B344)*100+DAY(B344))&amp;"_"&amp;IF(COUNTIF($B$5:B344,B344)&lt;10,"00"&amp;COUNTIF($B$5:B344,B344),IF(COUNTIF($B$5:B344,B344)&lt;100,"0"&amp;COUNTIF($B$5:B344,B344),COUNTIF($B$5:B344,B344))))</f>
        <v>VIS_20261014_001</v>
      </c>
      <c r="B344" s="40">
        <v>46309</v>
      </c>
      <c r="C344" s="47" t="str">
        <f t="shared" si="10"/>
        <v>Ср</v>
      </c>
      <c r="I344" s="46"/>
      <c r="J344" s="39">
        <f t="shared" si="11"/>
        <v>46309</v>
      </c>
      <c r="K344" t="str">
        <f ca="1">IF(AND(B344&gt;='План недели'!$B$4,B344&lt;'План недели'!$D$4,D344&lt;&gt;"",G344&lt;&gt;"Отменён"),COUNTIFS($B$5:B344,"&gt;="&amp;'План недели'!$B$4,$B$5:B344,"&lt;"&amp;'План недели'!$D$4,$D$5:D344,"&lt;&gt;",$G$5:G344,"&lt;&gt;Отменён"),"")</f>
        <v/>
      </c>
    </row>
    <row r="345" spans="1:11">
      <c r="A345" t="str">
        <f>IF(B345="","","VIS_"&amp;(YEAR(B345)*10000+MONTH(B345)*100+DAY(B345))&amp;"_"&amp;IF(COUNTIF($B$5:B345,B345)&lt;10,"00"&amp;COUNTIF($B$5:B345,B345),IF(COUNTIF($B$5:B345,B345)&lt;100,"0"&amp;COUNTIF($B$5:B345,B345),COUNTIF($B$5:B345,B345))))</f>
        <v>VIS_20261015_001</v>
      </c>
      <c r="B345" s="40">
        <v>46310</v>
      </c>
      <c r="C345" s="47" t="str">
        <f t="shared" si="10"/>
        <v>Чт</v>
      </c>
      <c r="I345" s="46"/>
      <c r="J345" s="39">
        <f t="shared" si="11"/>
        <v>46309</v>
      </c>
      <c r="K345" t="str">
        <f ca="1">IF(AND(B345&gt;='План недели'!$B$4,B345&lt;'План недели'!$D$4,D345&lt;&gt;"",G345&lt;&gt;"Отменён"),COUNTIFS($B$5:B345,"&gt;="&amp;'План недели'!$B$4,$B$5:B345,"&lt;"&amp;'План недели'!$D$4,$D$5:D345,"&lt;&gt;",$G$5:G345,"&lt;&gt;Отменён"),"")</f>
        <v/>
      </c>
    </row>
    <row r="346" spans="1:11">
      <c r="A346" t="str">
        <f>IF(B346="","","VIS_"&amp;(YEAR(B346)*10000+MONTH(B346)*100+DAY(B346))&amp;"_"&amp;IF(COUNTIF($B$5:B346,B346)&lt;10,"00"&amp;COUNTIF($B$5:B346,B346),IF(COUNTIF($B$5:B346,B346)&lt;100,"0"&amp;COUNTIF($B$5:B346,B346),COUNTIF($B$5:B346,B346))))</f>
        <v>VIS_20261016_001</v>
      </c>
      <c r="B346" s="40">
        <v>46311</v>
      </c>
      <c r="C346" s="47" t="str">
        <f t="shared" si="10"/>
        <v>Пт</v>
      </c>
      <c r="I346" s="46"/>
      <c r="J346" s="39">
        <f t="shared" si="11"/>
        <v>46309</v>
      </c>
      <c r="K346" t="str">
        <f ca="1">IF(AND(B346&gt;='План недели'!$B$4,B346&lt;'План недели'!$D$4,D346&lt;&gt;"",G346&lt;&gt;"Отменён"),COUNTIFS($B$5:B346,"&gt;="&amp;'План недели'!$B$4,$B$5:B346,"&lt;"&amp;'План недели'!$D$4,$D$5:D346,"&lt;&gt;",$G$5:G346,"&lt;&gt;Отменён"),"")</f>
        <v/>
      </c>
    </row>
    <row r="347" spans="1:11">
      <c r="A347" t="str">
        <f>IF(B347="","","VIS_"&amp;(YEAR(B347)*10000+MONTH(B347)*100+DAY(B347))&amp;"_"&amp;IF(COUNTIF($B$5:B347,B347)&lt;10,"00"&amp;COUNTIF($B$5:B347,B347),IF(COUNTIF($B$5:B347,B347)&lt;100,"0"&amp;COUNTIF($B$5:B347,B347),COUNTIF($B$5:B347,B347))))</f>
        <v>VIS_20261017_001</v>
      </c>
      <c r="B347" s="42">
        <v>46312</v>
      </c>
      <c r="C347" s="49" t="str">
        <f t="shared" si="10"/>
        <v>Сб</v>
      </c>
      <c r="I347" s="46"/>
      <c r="J347" s="39">
        <f t="shared" si="11"/>
        <v>46309</v>
      </c>
      <c r="K347" t="str">
        <f ca="1">IF(AND(B347&gt;='План недели'!$B$4,B347&lt;'План недели'!$D$4,D347&lt;&gt;"",G347&lt;&gt;"Отменён"),COUNTIFS($B$5:B347,"&gt;="&amp;'План недели'!$B$4,$B$5:B347,"&lt;"&amp;'План недели'!$D$4,$D$5:D347,"&lt;&gt;",$G$5:G347,"&lt;&gt;Отменён"),"")</f>
        <v/>
      </c>
    </row>
    <row r="348" spans="1:11">
      <c r="A348" t="str">
        <f>IF(B348="","","VIS_"&amp;(YEAR(B348)*10000+MONTH(B348)*100+DAY(B348))&amp;"_"&amp;IF(COUNTIF($B$5:B348,B348)&lt;10,"00"&amp;COUNTIF($B$5:B348,B348),IF(COUNTIF($B$5:B348,B348)&lt;100,"0"&amp;COUNTIF($B$5:B348,B348),COUNTIF($B$5:B348,B348))))</f>
        <v>VIS_20261018_001</v>
      </c>
      <c r="B348" s="42">
        <v>46313</v>
      </c>
      <c r="C348" s="49" t="str">
        <f t="shared" si="10"/>
        <v>Вс</v>
      </c>
      <c r="I348" s="46"/>
      <c r="J348" s="39">
        <f t="shared" si="11"/>
        <v>46309</v>
      </c>
      <c r="K348" t="str">
        <f ca="1">IF(AND(B348&gt;='План недели'!$B$4,B348&lt;'План недели'!$D$4,D348&lt;&gt;"",G348&lt;&gt;"Отменён"),COUNTIFS($B$5:B348,"&gt;="&amp;'План недели'!$B$4,$B$5:B348,"&lt;"&amp;'План недели'!$D$4,$D$5:D348,"&lt;&gt;",$G$5:G348,"&lt;&gt;Отменён"),"")</f>
        <v/>
      </c>
    </row>
    <row r="349" spans="1:11">
      <c r="A349" t="str">
        <f>IF(B349="","","VIS_"&amp;(YEAR(B349)*10000+MONTH(B349)*100+DAY(B349))&amp;"_"&amp;IF(COUNTIF($B$5:B349,B349)&lt;10,"00"&amp;COUNTIF($B$5:B349,B349),IF(COUNTIF($B$5:B349,B349)&lt;100,"0"&amp;COUNTIF($B$5:B349,B349),COUNTIF($B$5:B349,B349))))</f>
        <v>VIS_20261019_001</v>
      </c>
      <c r="B349" s="40">
        <v>46314</v>
      </c>
      <c r="C349" s="47" t="str">
        <f t="shared" si="10"/>
        <v>Пн</v>
      </c>
      <c r="I349" s="46"/>
      <c r="J349" s="39">
        <f t="shared" si="11"/>
        <v>46309</v>
      </c>
      <c r="K349" t="str">
        <f ca="1">IF(AND(B349&gt;='План недели'!$B$4,B349&lt;'План недели'!$D$4,D349&lt;&gt;"",G349&lt;&gt;"Отменён"),COUNTIFS($B$5:B349,"&gt;="&amp;'План недели'!$B$4,$B$5:B349,"&lt;"&amp;'План недели'!$D$4,$D$5:D349,"&lt;&gt;",$G$5:G349,"&lt;&gt;Отменён"),"")</f>
        <v/>
      </c>
    </row>
    <row r="350" spans="1:11">
      <c r="A350" t="str">
        <f>IF(B350="","","VIS_"&amp;(YEAR(B350)*10000+MONTH(B350)*100+DAY(B350))&amp;"_"&amp;IF(COUNTIF($B$5:B350,B350)&lt;10,"00"&amp;COUNTIF($B$5:B350,B350),IF(COUNTIF($B$5:B350,B350)&lt;100,"0"&amp;COUNTIF($B$5:B350,B350),COUNTIF($B$5:B350,B350))))</f>
        <v>VIS_20261020_001</v>
      </c>
      <c r="B350" s="40">
        <v>46315</v>
      </c>
      <c r="C350" s="47" t="str">
        <f t="shared" si="10"/>
        <v>Вт</v>
      </c>
      <c r="I350" s="46"/>
      <c r="J350" s="39">
        <f t="shared" si="11"/>
        <v>46309</v>
      </c>
      <c r="K350" t="str">
        <f ca="1">IF(AND(B350&gt;='План недели'!$B$4,B350&lt;'План недели'!$D$4,D350&lt;&gt;"",G350&lt;&gt;"Отменён"),COUNTIFS($B$5:B350,"&gt;="&amp;'План недели'!$B$4,$B$5:B350,"&lt;"&amp;'План недели'!$D$4,$D$5:D350,"&lt;&gt;",$G$5:G350,"&lt;&gt;Отменён"),"")</f>
        <v/>
      </c>
    </row>
    <row r="351" spans="1:11">
      <c r="A351" t="str">
        <f>IF(B351="","","VIS_"&amp;(YEAR(B351)*10000+MONTH(B351)*100+DAY(B351))&amp;"_"&amp;IF(COUNTIF($B$5:B351,B351)&lt;10,"00"&amp;COUNTIF($B$5:B351,B351),IF(COUNTIF($B$5:B351,B351)&lt;100,"0"&amp;COUNTIF($B$5:B351,B351),COUNTIF($B$5:B351,B351))))</f>
        <v>VIS_20261021_001</v>
      </c>
      <c r="B351" s="40">
        <v>46316</v>
      </c>
      <c r="C351" s="47" t="str">
        <f t="shared" si="10"/>
        <v>Ср</v>
      </c>
      <c r="I351" s="46"/>
      <c r="J351" s="39">
        <f t="shared" si="11"/>
        <v>46316</v>
      </c>
      <c r="K351" t="str">
        <f ca="1">IF(AND(B351&gt;='План недели'!$B$4,B351&lt;'План недели'!$D$4,D351&lt;&gt;"",G351&lt;&gt;"Отменён"),COUNTIFS($B$5:B351,"&gt;="&amp;'План недели'!$B$4,$B$5:B351,"&lt;"&amp;'План недели'!$D$4,$D$5:D351,"&lt;&gt;",$G$5:G351,"&lt;&gt;Отменён"),"")</f>
        <v/>
      </c>
    </row>
    <row r="352" spans="1:11">
      <c r="A352" t="str">
        <f>IF(B352="","","VIS_"&amp;(YEAR(B352)*10000+MONTH(B352)*100+DAY(B352))&amp;"_"&amp;IF(COUNTIF($B$5:B352,B352)&lt;10,"00"&amp;COUNTIF($B$5:B352,B352),IF(COUNTIF($B$5:B352,B352)&lt;100,"0"&amp;COUNTIF($B$5:B352,B352),COUNTIF($B$5:B352,B352))))</f>
        <v>VIS_20261022_001</v>
      </c>
      <c r="B352" s="40">
        <v>46317</v>
      </c>
      <c r="C352" s="47" t="str">
        <f t="shared" si="10"/>
        <v>Чт</v>
      </c>
      <c r="I352" s="46"/>
      <c r="J352" s="39">
        <f t="shared" si="11"/>
        <v>46316</v>
      </c>
      <c r="K352" t="str">
        <f ca="1">IF(AND(B352&gt;='План недели'!$B$4,B352&lt;'План недели'!$D$4,D352&lt;&gt;"",G352&lt;&gt;"Отменён"),COUNTIFS($B$5:B352,"&gt;="&amp;'План недели'!$B$4,$B$5:B352,"&lt;"&amp;'План недели'!$D$4,$D$5:D352,"&lt;&gt;",$G$5:G352,"&lt;&gt;Отменён"),"")</f>
        <v/>
      </c>
    </row>
    <row r="353" spans="1:11">
      <c r="A353" t="str">
        <f>IF(B353="","","VIS_"&amp;(YEAR(B353)*10000+MONTH(B353)*100+DAY(B353))&amp;"_"&amp;IF(COUNTIF($B$5:B353,B353)&lt;10,"00"&amp;COUNTIF($B$5:B353,B353),IF(COUNTIF($B$5:B353,B353)&lt;100,"0"&amp;COUNTIF($B$5:B353,B353),COUNTIF($B$5:B353,B353))))</f>
        <v>VIS_20261023_001</v>
      </c>
      <c r="B353" s="40">
        <v>46318</v>
      </c>
      <c r="C353" s="47" t="str">
        <f t="shared" si="10"/>
        <v>Пт</v>
      </c>
      <c r="I353" s="46"/>
      <c r="J353" s="39">
        <f t="shared" si="11"/>
        <v>46316</v>
      </c>
      <c r="K353" t="str">
        <f ca="1">IF(AND(B353&gt;='План недели'!$B$4,B353&lt;'План недели'!$D$4,D353&lt;&gt;"",G353&lt;&gt;"Отменён"),COUNTIFS($B$5:B353,"&gt;="&amp;'План недели'!$B$4,$B$5:B353,"&lt;"&amp;'План недели'!$D$4,$D$5:D353,"&lt;&gt;",$G$5:G353,"&lt;&gt;Отменён"),"")</f>
        <v/>
      </c>
    </row>
    <row r="354" spans="1:11">
      <c r="A354" t="str">
        <f>IF(B354="","","VIS_"&amp;(YEAR(B354)*10000+MONTH(B354)*100+DAY(B354))&amp;"_"&amp;IF(COUNTIF($B$5:B354,B354)&lt;10,"00"&amp;COUNTIF($B$5:B354,B354),IF(COUNTIF($B$5:B354,B354)&lt;100,"0"&amp;COUNTIF($B$5:B354,B354),COUNTIF($B$5:B354,B354))))</f>
        <v>VIS_20261024_001</v>
      </c>
      <c r="B354" s="42">
        <v>46319</v>
      </c>
      <c r="C354" s="49" t="str">
        <f t="shared" si="10"/>
        <v>Сб</v>
      </c>
      <c r="I354" s="46"/>
      <c r="J354" s="39">
        <f t="shared" si="11"/>
        <v>46316</v>
      </c>
      <c r="K354" t="str">
        <f ca="1">IF(AND(B354&gt;='План недели'!$B$4,B354&lt;'План недели'!$D$4,D354&lt;&gt;"",G354&lt;&gt;"Отменён"),COUNTIFS($B$5:B354,"&gt;="&amp;'План недели'!$B$4,$B$5:B354,"&lt;"&amp;'План недели'!$D$4,$D$5:D354,"&lt;&gt;",$G$5:G354,"&lt;&gt;Отменён"),"")</f>
        <v/>
      </c>
    </row>
    <row r="355" spans="1:11">
      <c r="A355" t="str">
        <f>IF(B355="","","VIS_"&amp;(YEAR(B355)*10000+MONTH(B355)*100+DAY(B355))&amp;"_"&amp;IF(COUNTIF($B$5:B355,B355)&lt;10,"00"&amp;COUNTIF($B$5:B355,B355),IF(COUNTIF($B$5:B355,B355)&lt;100,"0"&amp;COUNTIF($B$5:B355,B355),COUNTIF($B$5:B355,B355))))</f>
        <v>VIS_20261025_001</v>
      </c>
      <c r="B355" s="42">
        <v>46320</v>
      </c>
      <c r="C355" s="49" t="str">
        <f t="shared" si="10"/>
        <v>Вс</v>
      </c>
      <c r="I355" s="46"/>
      <c r="J355" s="39">
        <f t="shared" si="11"/>
        <v>46316</v>
      </c>
      <c r="K355" t="str">
        <f ca="1">IF(AND(B355&gt;='План недели'!$B$4,B355&lt;'План недели'!$D$4,D355&lt;&gt;"",G355&lt;&gt;"Отменён"),COUNTIFS($B$5:B355,"&gt;="&amp;'План недели'!$B$4,$B$5:B355,"&lt;"&amp;'План недели'!$D$4,$D$5:D355,"&lt;&gt;",$G$5:G355,"&lt;&gt;Отменён"),"")</f>
        <v/>
      </c>
    </row>
    <row r="356" spans="1:11">
      <c r="A356" t="str">
        <f>IF(B356="","","VIS_"&amp;(YEAR(B356)*10000+MONTH(B356)*100+DAY(B356))&amp;"_"&amp;IF(COUNTIF($B$5:B356,B356)&lt;10,"00"&amp;COUNTIF($B$5:B356,B356),IF(COUNTIF($B$5:B356,B356)&lt;100,"0"&amp;COUNTIF($B$5:B356,B356),COUNTIF($B$5:B356,B356))))</f>
        <v>VIS_20261026_001</v>
      </c>
      <c r="B356" s="40">
        <v>46321</v>
      </c>
      <c r="C356" s="47" t="str">
        <f t="shared" si="10"/>
        <v>Пн</v>
      </c>
      <c r="I356" s="46"/>
      <c r="J356" s="39">
        <f t="shared" si="11"/>
        <v>46316</v>
      </c>
      <c r="K356" t="str">
        <f ca="1">IF(AND(B356&gt;='План недели'!$B$4,B356&lt;'План недели'!$D$4,D356&lt;&gt;"",G356&lt;&gt;"Отменён"),COUNTIFS($B$5:B356,"&gt;="&amp;'План недели'!$B$4,$B$5:B356,"&lt;"&amp;'План недели'!$D$4,$D$5:D356,"&lt;&gt;",$G$5:G356,"&lt;&gt;Отменён"),"")</f>
        <v/>
      </c>
    </row>
    <row r="357" spans="1:11">
      <c r="A357" t="str">
        <f>IF(B357="","","VIS_"&amp;(YEAR(B357)*10000+MONTH(B357)*100+DAY(B357))&amp;"_"&amp;IF(COUNTIF($B$5:B357,B357)&lt;10,"00"&amp;COUNTIF($B$5:B357,B357),IF(COUNTIF($B$5:B357,B357)&lt;100,"0"&amp;COUNTIF($B$5:B357,B357),COUNTIF($B$5:B357,B357))))</f>
        <v>VIS_20261027_001</v>
      </c>
      <c r="B357" s="40">
        <v>46322</v>
      </c>
      <c r="C357" s="47" t="str">
        <f t="shared" si="10"/>
        <v>Вт</v>
      </c>
      <c r="I357" s="46"/>
      <c r="J357" s="39">
        <f t="shared" si="11"/>
        <v>46316</v>
      </c>
      <c r="K357" t="str">
        <f ca="1">IF(AND(B357&gt;='План недели'!$B$4,B357&lt;'План недели'!$D$4,D357&lt;&gt;"",G357&lt;&gt;"Отменён"),COUNTIFS($B$5:B357,"&gt;="&amp;'План недели'!$B$4,$B$5:B357,"&lt;"&amp;'План недели'!$D$4,$D$5:D357,"&lt;&gt;",$G$5:G357,"&lt;&gt;Отменён"),"")</f>
        <v/>
      </c>
    </row>
    <row r="358" spans="1:11">
      <c r="A358" t="str">
        <f>IF(B358="","","VIS_"&amp;(YEAR(B358)*10000+MONTH(B358)*100+DAY(B358))&amp;"_"&amp;IF(COUNTIF($B$5:B358,B358)&lt;10,"00"&amp;COUNTIF($B$5:B358,B358),IF(COUNTIF($B$5:B358,B358)&lt;100,"0"&amp;COUNTIF($B$5:B358,B358),COUNTIF($B$5:B358,B358))))</f>
        <v>VIS_20261028_001</v>
      </c>
      <c r="B358" s="40">
        <v>46323</v>
      </c>
      <c r="C358" s="47" t="str">
        <f t="shared" si="10"/>
        <v>Ср</v>
      </c>
      <c r="I358" s="46"/>
      <c r="J358" s="39">
        <f t="shared" si="11"/>
        <v>46323</v>
      </c>
      <c r="K358" t="str">
        <f ca="1">IF(AND(B358&gt;='План недели'!$B$4,B358&lt;'План недели'!$D$4,D358&lt;&gt;"",G358&lt;&gt;"Отменён"),COUNTIFS($B$5:B358,"&gt;="&amp;'План недели'!$B$4,$B$5:B358,"&lt;"&amp;'План недели'!$D$4,$D$5:D358,"&lt;&gt;",$G$5:G358,"&lt;&gt;Отменён"),"")</f>
        <v/>
      </c>
    </row>
    <row r="359" spans="1:11">
      <c r="A359" t="str">
        <f>IF(B359="","","VIS_"&amp;(YEAR(B359)*10000+MONTH(B359)*100+DAY(B359))&amp;"_"&amp;IF(COUNTIF($B$5:B359,B359)&lt;10,"00"&amp;COUNTIF($B$5:B359,B359),IF(COUNTIF($B$5:B359,B359)&lt;100,"0"&amp;COUNTIF($B$5:B359,B359),COUNTIF($B$5:B359,B359))))</f>
        <v>VIS_20261029_001</v>
      </c>
      <c r="B359" s="40">
        <v>46324</v>
      </c>
      <c r="C359" s="47" t="str">
        <f t="shared" si="10"/>
        <v>Чт</v>
      </c>
      <c r="I359" s="46"/>
      <c r="J359" s="39">
        <f t="shared" si="11"/>
        <v>46323</v>
      </c>
      <c r="K359" t="str">
        <f ca="1">IF(AND(B359&gt;='План недели'!$B$4,B359&lt;'План недели'!$D$4,D359&lt;&gt;"",G359&lt;&gt;"Отменён"),COUNTIFS($B$5:B359,"&gt;="&amp;'План недели'!$B$4,$B$5:B359,"&lt;"&amp;'План недели'!$D$4,$D$5:D359,"&lt;&gt;",$G$5:G359,"&lt;&gt;Отменён"),"")</f>
        <v/>
      </c>
    </row>
    <row r="360" spans="1:11">
      <c r="A360" t="str">
        <f>IF(B360="","","VIS_"&amp;(YEAR(B360)*10000+MONTH(B360)*100+DAY(B360))&amp;"_"&amp;IF(COUNTIF($B$5:B360,B360)&lt;10,"00"&amp;COUNTIF($B$5:B360,B360),IF(COUNTIF($B$5:B360,B360)&lt;100,"0"&amp;COUNTIF($B$5:B360,B360),COUNTIF($B$5:B360,B360))))</f>
        <v>VIS_20261030_001</v>
      </c>
      <c r="B360" s="40">
        <v>46325</v>
      </c>
      <c r="C360" s="47" t="str">
        <f t="shared" si="10"/>
        <v>Пт</v>
      </c>
      <c r="I360" s="46"/>
      <c r="J360" s="39">
        <f t="shared" si="11"/>
        <v>46323</v>
      </c>
      <c r="K360" t="str">
        <f ca="1">IF(AND(B360&gt;='План недели'!$B$4,B360&lt;'План недели'!$D$4,D360&lt;&gt;"",G360&lt;&gt;"Отменён"),COUNTIFS($B$5:B360,"&gt;="&amp;'План недели'!$B$4,$B$5:B360,"&lt;"&amp;'План недели'!$D$4,$D$5:D360,"&lt;&gt;",$G$5:G360,"&lt;&gt;Отменён"),"")</f>
        <v/>
      </c>
    </row>
    <row r="361" spans="1:11">
      <c r="A361" t="str">
        <f>IF(B361="","","VIS_"&amp;(YEAR(B361)*10000+MONTH(B361)*100+DAY(B361))&amp;"_"&amp;IF(COUNTIF($B$5:B361,B361)&lt;10,"00"&amp;COUNTIF($B$5:B361,B361),IF(COUNTIF($B$5:B361,B361)&lt;100,"0"&amp;COUNTIF($B$5:B361,B361),COUNTIF($B$5:B361,B361))))</f>
        <v>VIS_20261031_001</v>
      </c>
      <c r="B361" s="42">
        <v>46326</v>
      </c>
      <c r="C361" s="49" t="str">
        <f t="shared" si="10"/>
        <v>Сб</v>
      </c>
      <c r="I361" s="46"/>
      <c r="J361" s="39">
        <f t="shared" si="11"/>
        <v>46323</v>
      </c>
      <c r="K361" t="str">
        <f ca="1">IF(AND(B361&gt;='План недели'!$B$4,B361&lt;'План недели'!$D$4,D361&lt;&gt;"",G361&lt;&gt;"Отменён"),COUNTIFS($B$5:B361,"&gt;="&amp;'План недели'!$B$4,$B$5:B361,"&lt;"&amp;'План недели'!$D$4,$D$5:D361,"&lt;&gt;",$G$5:G361,"&lt;&gt;Отменён"),"")</f>
        <v/>
      </c>
    </row>
    <row r="362" spans="1:11">
      <c r="A362" t="str">
        <f>IF(B362="","","VIS_"&amp;(YEAR(B362)*10000+MONTH(B362)*100+DAY(B362))&amp;"_"&amp;IF(COUNTIF($B$5:B362,B362)&lt;10,"00"&amp;COUNTIF($B$5:B362,B362),IF(COUNTIF($B$5:B362,B362)&lt;100,"0"&amp;COUNTIF($B$5:B362,B362),COUNTIF($B$5:B362,B362))))</f>
        <v>VIS_20261101_001</v>
      </c>
      <c r="B362" s="42">
        <v>46327</v>
      </c>
      <c r="C362" s="49" t="str">
        <f t="shared" si="10"/>
        <v>Вс</v>
      </c>
      <c r="I362" s="46"/>
      <c r="J362" s="39">
        <f t="shared" si="11"/>
        <v>46323</v>
      </c>
      <c r="K362" t="str">
        <f ca="1">IF(AND(B362&gt;='План недели'!$B$4,B362&lt;'План недели'!$D$4,D362&lt;&gt;"",G362&lt;&gt;"Отменён"),COUNTIFS($B$5:B362,"&gt;="&amp;'План недели'!$B$4,$B$5:B362,"&lt;"&amp;'План недели'!$D$4,$D$5:D362,"&lt;&gt;",$G$5:G362,"&lt;&gt;Отменён"),"")</f>
        <v/>
      </c>
    </row>
    <row r="363" spans="1:11">
      <c r="A363" t="str">
        <f>IF(B363="","","VIS_"&amp;(YEAR(B363)*10000+MONTH(B363)*100+DAY(B363))&amp;"_"&amp;IF(COUNTIF($B$5:B363,B363)&lt;10,"00"&amp;COUNTIF($B$5:B363,B363),IF(COUNTIF($B$5:B363,B363)&lt;100,"0"&amp;COUNTIF($B$5:B363,B363),COUNTIF($B$5:B363,B363))))</f>
        <v>VIS_20261102_001</v>
      </c>
      <c r="B363" s="40">
        <v>46328</v>
      </c>
      <c r="C363" s="47" t="str">
        <f t="shared" si="10"/>
        <v>Пн</v>
      </c>
      <c r="I363" s="46"/>
      <c r="J363" s="39">
        <f t="shared" si="11"/>
        <v>46323</v>
      </c>
      <c r="K363" t="str">
        <f ca="1">IF(AND(B363&gt;='План недели'!$B$4,B363&lt;'План недели'!$D$4,D363&lt;&gt;"",G363&lt;&gt;"Отменён"),COUNTIFS($B$5:B363,"&gt;="&amp;'План недели'!$B$4,$B$5:B363,"&lt;"&amp;'План недели'!$D$4,$D$5:D363,"&lt;&gt;",$G$5:G363,"&lt;&gt;Отменён"),"")</f>
        <v/>
      </c>
    </row>
    <row r="364" spans="1:11">
      <c r="A364" t="str">
        <f>IF(B364="","","VIS_"&amp;(YEAR(B364)*10000+MONTH(B364)*100+DAY(B364))&amp;"_"&amp;IF(COUNTIF($B$5:B364,B364)&lt;10,"00"&amp;COUNTIF($B$5:B364,B364),IF(COUNTIF($B$5:B364,B364)&lt;100,"0"&amp;COUNTIF($B$5:B364,B364),COUNTIF($B$5:B364,B364))))</f>
        <v>VIS_20261103_001</v>
      </c>
      <c r="B364" s="40">
        <v>46329</v>
      </c>
      <c r="C364" s="47" t="str">
        <f t="shared" si="10"/>
        <v>Вт</v>
      </c>
      <c r="I364" s="46"/>
      <c r="J364" s="39">
        <f t="shared" si="11"/>
        <v>46323</v>
      </c>
      <c r="K364" t="str">
        <f ca="1">IF(AND(B364&gt;='План недели'!$B$4,B364&lt;'План недели'!$D$4,D364&lt;&gt;"",G364&lt;&gt;"Отменён"),COUNTIFS($B$5:B364,"&gt;="&amp;'План недели'!$B$4,$B$5:B364,"&lt;"&amp;'План недели'!$D$4,$D$5:D364,"&lt;&gt;",$G$5:G364,"&lt;&gt;Отменён"),"")</f>
        <v/>
      </c>
    </row>
    <row r="365" spans="1:11">
      <c r="A365" t="str">
        <f>IF(B365="","","VIS_"&amp;(YEAR(B365)*10000+MONTH(B365)*100+DAY(B365))&amp;"_"&amp;IF(COUNTIF($B$5:B365,B365)&lt;10,"00"&amp;COUNTIF($B$5:B365,B365),IF(COUNTIF($B$5:B365,B365)&lt;100,"0"&amp;COUNTIF($B$5:B365,B365),COUNTIF($B$5:B365,B365))))</f>
        <v>VIS_20261104_001</v>
      </c>
      <c r="B365" s="42">
        <v>46330</v>
      </c>
      <c r="C365" s="49" t="str">
        <f t="shared" si="10"/>
        <v>Ср</v>
      </c>
      <c r="I365" s="46"/>
      <c r="J365" s="39">
        <f t="shared" si="11"/>
        <v>46330</v>
      </c>
      <c r="K365" t="str">
        <f ca="1">IF(AND(B365&gt;='План недели'!$B$4,B365&lt;'План недели'!$D$4,D365&lt;&gt;"",G365&lt;&gt;"Отменён"),COUNTIFS($B$5:B365,"&gt;="&amp;'План недели'!$B$4,$B$5:B365,"&lt;"&amp;'План недели'!$D$4,$D$5:D365,"&lt;&gt;",$G$5:G365,"&lt;&gt;Отменён"),"")</f>
        <v/>
      </c>
    </row>
    <row r="366" spans="1:11">
      <c r="A366" t="str">
        <f>IF(B366="","","VIS_"&amp;(YEAR(B366)*10000+MONTH(B366)*100+DAY(B366))&amp;"_"&amp;IF(COUNTIF($B$5:B366,B366)&lt;10,"00"&amp;COUNTIF($B$5:B366,B366),IF(COUNTIF($B$5:B366,B366)&lt;100,"0"&amp;COUNTIF($B$5:B366,B366),COUNTIF($B$5:B366,B366))))</f>
        <v>VIS_20261105_001</v>
      </c>
      <c r="B366" s="40">
        <v>46331</v>
      </c>
      <c r="C366" s="47" t="str">
        <f t="shared" si="10"/>
        <v>Чт</v>
      </c>
      <c r="I366" s="46"/>
      <c r="J366" s="39">
        <f t="shared" si="11"/>
        <v>46330</v>
      </c>
      <c r="K366" t="str">
        <f ca="1">IF(AND(B366&gt;='План недели'!$B$4,B366&lt;'План недели'!$D$4,D366&lt;&gt;"",G366&lt;&gt;"Отменён"),COUNTIFS($B$5:B366,"&gt;="&amp;'План недели'!$B$4,$B$5:B366,"&lt;"&amp;'План недели'!$D$4,$D$5:D366,"&lt;&gt;",$G$5:G366,"&lt;&gt;Отменён"),"")</f>
        <v/>
      </c>
    </row>
    <row r="367" spans="1:11">
      <c r="A367" t="str">
        <f>IF(B367="","","VIS_"&amp;(YEAR(B367)*10000+MONTH(B367)*100+DAY(B367))&amp;"_"&amp;IF(COUNTIF($B$5:B367,B367)&lt;10,"00"&amp;COUNTIF($B$5:B367,B367),IF(COUNTIF($B$5:B367,B367)&lt;100,"0"&amp;COUNTIF($B$5:B367,B367),COUNTIF($B$5:B367,B367))))</f>
        <v>VIS_20261106_001</v>
      </c>
      <c r="B367" s="40">
        <v>46332</v>
      </c>
      <c r="C367" s="47" t="str">
        <f t="shared" si="10"/>
        <v>Пт</v>
      </c>
      <c r="I367" s="46"/>
      <c r="J367" s="39">
        <f t="shared" si="11"/>
        <v>46330</v>
      </c>
      <c r="K367" t="str">
        <f ca="1">IF(AND(B367&gt;='План недели'!$B$4,B367&lt;'План недели'!$D$4,D367&lt;&gt;"",G367&lt;&gt;"Отменён"),COUNTIFS($B$5:B367,"&gt;="&amp;'План недели'!$B$4,$B$5:B367,"&lt;"&amp;'План недели'!$D$4,$D$5:D367,"&lt;&gt;",$G$5:G367,"&lt;&gt;Отменён"),"")</f>
        <v/>
      </c>
    </row>
    <row r="368" spans="1:11">
      <c r="A368" t="str">
        <f>IF(B368="","","VIS_"&amp;(YEAR(B368)*10000+MONTH(B368)*100+DAY(B368))&amp;"_"&amp;IF(COUNTIF($B$5:B368,B368)&lt;10,"00"&amp;COUNTIF($B$5:B368,B368),IF(COUNTIF($B$5:B368,B368)&lt;100,"0"&amp;COUNTIF($B$5:B368,B368),COUNTIF($B$5:B368,B368))))</f>
        <v>VIS_20261107_001</v>
      </c>
      <c r="B368" s="42">
        <v>46333</v>
      </c>
      <c r="C368" s="49" t="str">
        <f t="shared" si="10"/>
        <v>Сб</v>
      </c>
      <c r="I368" s="46"/>
      <c r="J368" s="39">
        <f t="shared" si="11"/>
        <v>46330</v>
      </c>
      <c r="K368" t="str">
        <f ca="1">IF(AND(B368&gt;='План недели'!$B$4,B368&lt;'План недели'!$D$4,D368&lt;&gt;"",G368&lt;&gt;"Отменён"),COUNTIFS($B$5:B368,"&gt;="&amp;'План недели'!$B$4,$B$5:B368,"&lt;"&amp;'План недели'!$D$4,$D$5:D368,"&lt;&gt;",$G$5:G368,"&lt;&gt;Отменён"),"")</f>
        <v/>
      </c>
    </row>
    <row r="369" spans="1:11">
      <c r="A369" t="str">
        <f>IF(B369="","","VIS_"&amp;(YEAR(B369)*10000+MONTH(B369)*100+DAY(B369))&amp;"_"&amp;IF(COUNTIF($B$5:B369,B369)&lt;10,"00"&amp;COUNTIF($B$5:B369,B369),IF(COUNTIF($B$5:B369,B369)&lt;100,"0"&amp;COUNTIF($B$5:B369,B369),COUNTIF($B$5:B369,B369))))</f>
        <v>VIS_20261108_001</v>
      </c>
      <c r="B369" s="42">
        <v>46334</v>
      </c>
      <c r="C369" s="49" t="str">
        <f t="shared" si="10"/>
        <v>Вс</v>
      </c>
      <c r="I369" s="46"/>
      <c r="J369" s="39">
        <f t="shared" si="11"/>
        <v>46330</v>
      </c>
      <c r="K369" t="str">
        <f ca="1">IF(AND(B369&gt;='План недели'!$B$4,B369&lt;'План недели'!$D$4,D369&lt;&gt;"",G369&lt;&gt;"Отменён"),COUNTIFS($B$5:B369,"&gt;="&amp;'План недели'!$B$4,$B$5:B369,"&lt;"&amp;'План недели'!$D$4,$D$5:D369,"&lt;&gt;",$G$5:G369,"&lt;&gt;Отменён"),"")</f>
        <v/>
      </c>
    </row>
    <row r="370" spans="1:11">
      <c r="A370" t="str">
        <f>IF(B370="","","VIS_"&amp;(YEAR(B370)*10000+MONTH(B370)*100+DAY(B370))&amp;"_"&amp;IF(COUNTIF($B$5:B370,B370)&lt;10,"00"&amp;COUNTIF($B$5:B370,B370),IF(COUNTIF($B$5:B370,B370)&lt;100,"0"&amp;COUNTIF($B$5:B370,B370),COUNTIF($B$5:B370,B370))))</f>
        <v>VIS_20261109_001</v>
      </c>
      <c r="B370" s="40">
        <v>46335</v>
      </c>
      <c r="C370" s="47" t="str">
        <f t="shared" si="10"/>
        <v>Пн</v>
      </c>
      <c r="I370" s="46"/>
      <c r="J370" s="39">
        <f t="shared" si="11"/>
        <v>46330</v>
      </c>
      <c r="K370" t="str">
        <f ca="1">IF(AND(B370&gt;='План недели'!$B$4,B370&lt;'План недели'!$D$4,D370&lt;&gt;"",G370&lt;&gt;"Отменён"),COUNTIFS($B$5:B370,"&gt;="&amp;'План недели'!$B$4,$B$5:B370,"&lt;"&amp;'План недели'!$D$4,$D$5:D370,"&lt;&gt;",$G$5:G370,"&lt;&gt;Отменён"),"")</f>
        <v/>
      </c>
    </row>
    <row r="371" spans="1:11">
      <c r="A371" t="str">
        <f>IF(B371="","","VIS_"&amp;(YEAR(B371)*10000+MONTH(B371)*100+DAY(B371))&amp;"_"&amp;IF(COUNTIF($B$5:B371,B371)&lt;10,"00"&amp;COUNTIF($B$5:B371,B371),IF(COUNTIF($B$5:B371,B371)&lt;100,"0"&amp;COUNTIF($B$5:B371,B371),COUNTIF($B$5:B371,B371))))</f>
        <v>VIS_20261110_001</v>
      </c>
      <c r="B371" s="40">
        <v>46336</v>
      </c>
      <c r="C371" s="47" t="str">
        <f t="shared" si="10"/>
        <v>Вт</v>
      </c>
      <c r="I371" s="46"/>
      <c r="J371" s="39">
        <f t="shared" si="11"/>
        <v>46330</v>
      </c>
      <c r="K371" t="str">
        <f ca="1">IF(AND(B371&gt;='План недели'!$B$4,B371&lt;'План недели'!$D$4,D371&lt;&gt;"",G371&lt;&gt;"Отменён"),COUNTIFS($B$5:B371,"&gt;="&amp;'План недели'!$B$4,$B$5:B371,"&lt;"&amp;'План недели'!$D$4,$D$5:D371,"&lt;&gt;",$G$5:G371,"&lt;&gt;Отменён"),"")</f>
        <v/>
      </c>
    </row>
    <row r="372" spans="1:11">
      <c r="A372" t="str">
        <f>IF(B372="","","VIS_"&amp;(YEAR(B372)*10000+MONTH(B372)*100+DAY(B372))&amp;"_"&amp;IF(COUNTIF($B$5:B372,B372)&lt;10,"00"&amp;COUNTIF($B$5:B372,B372),IF(COUNTIF($B$5:B372,B372)&lt;100,"0"&amp;COUNTIF($B$5:B372,B372),COUNTIF($B$5:B372,B372))))</f>
        <v>VIS_20261111_001</v>
      </c>
      <c r="B372" s="40">
        <v>46337</v>
      </c>
      <c r="C372" s="47" t="str">
        <f t="shared" si="10"/>
        <v>Ср</v>
      </c>
      <c r="I372" s="46"/>
      <c r="J372" s="39">
        <f t="shared" si="11"/>
        <v>46337</v>
      </c>
      <c r="K372" t="str">
        <f ca="1">IF(AND(B372&gt;='План недели'!$B$4,B372&lt;'План недели'!$D$4,D372&lt;&gt;"",G372&lt;&gt;"Отменён"),COUNTIFS($B$5:B372,"&gt;="&amp;'План недели'!$B$4,$B$5:B372,"&lt;"&amp;'План недели'!$D$4,$D$5:D372,"&lt;&gt;",$G$5:G372,"&lt;&gt;Отменён"),"")</f>
        <v/>
      </c>
    </row>
    <row r="373" spans="1:11">
      <c r="A373" t="str">
        <f>IF(B373="","","VIS_"&amp;(YEAR(B373)*10000+MONTH(B373)*100+DAY(B373))&amp;"_"&amp;IF(COUNTIF($B$5:B373,B373)&lt;10,"00"&amp;COUNTIF($B$5:B373,B373),IF(COUNTIF($B$5:B373,B373)&lt;100,"0"&amp;COUNTIF($B$5:B373,B373),COUNTIF($B$5:B373,B373))))</f>
        <v>VIS_20261112_001</v>
      </c>
      <c r="B373" s="40">
        <v>46338</v>
      </c>
      <c r="C373" s="47" t="str">
        <f t="shared" si="10"/>
        <v>Чт</v>
      </c>
      <c r="I373" s="46"/>
      <c r="J373" s="39">
        <f t="shared" si="11"/>
        <v>46337</v>
      </c>
      <c r="K373" t="str">
        <f ca="1">IF(AND(B373&gt;='План недели'!$B$4,B373&lt;'План недели'!$D$4,D373&lt;&gt;"",G373&lt;&gt;"Отменён"),COUNTIFS($B$5:B373,"&gt;="&amp;'План недели'!$B$4,$B$5:B373,"&lt;"&amp;'План недели'!$D$4,$D$5:D373,"&lt;&gt;",$G$5:G373,"&lt;&gt;Отменён"),"")</f>
        <v/>
      </c>
    </row>
    <row r="374" spans="1:11">
      <c r="A374" t="str">
        <f>IF(B374="","","VIS_"&amp;(YEAR(B374)*10000+MONTH(B374)*100+DAY(B374))&amp;"_"&amp;IF(COUNTIF($B$5:B374,B374)&lt;10,"00"&amp;COUNTIF($B$5:B374,B374),IF(COUNTIF($B$5:B374,B374)&lt;100,"0"&amp;COUNTIF($B$5:B374,B374),COUNTIF($B$5:B374,B374))))</f>
        <v>VIS_20261113_001</v>
      </c>
      <c r="B374" s="40">
        <v>46339</v>
      </c>
      <c r="C374" s="47" t="str">
        <f t="shared" si="10"/>
        <v>Пт</v>
      </c>
      <c r="I374" s="46"/>
      <c r="J374" s="39">
        <f t="shared" si="11"/>
        <v>46337</v>
      </c>
      <c r="K374" t="str">
        <f ca="1">IF(AND(B374&gt;='План недели'!$B$4,B374&lt;'План недели'!$D$4,D374&lt;&gt;"",G374&lt;&gt;"Отменён"),COUNTIFS($B$5:B374,"&gt;="&amp;'План недели'!$B$4,$B$5:B374,"&lt;"&amp;'План недели'!$D$4,$D$5:D374,"&lt;&gt;",$G$5:G374,"&lt;&gt;Отменён"),"")</f>
        <v/>
      </c>
    </row>
    <row r="375" spans="1:11">
      <c r="A375" t="str">
        <f>IF(B375="","","VIS_"&amp;(YEAR(B375)*10000+MONTH(B375)*100+DAY(B375))&amp;"_"&amp;IF(COUNTIF($B$5:B375,B375)&lt;10,"00"&amp;COUNTIF($B$5:B375,B375),IF(COUNTIF($B$5:B375,B375)&lt;100,"0"&amp;COUNTIF($B$5:B375,B375),COUNTIF($B$5:B375,B375))))</f>
        <v>VIS_20261114_001</v>
      </c>
      <c r="B375" s="42">
        <v>46340</v>
      </c>
      <c r="C375" s="49" t="str">
        <f t="shared" si="10"/>
        <v>Сб</v>
      </c>
      <c r="I375" s="46"/>
      <c r="J375" s="39">
        <f t="shared" si="11"/>
        <v>46337</v>
      </c>
      <c r="K375" t="str">
        <f ca="1">IF(AND(B375&gt;='План недели'!$B$4,B375&lt;'План недели'!$D$4,D375&lt;&gt;"",G375&lt;&gt;"Отменён"),COUNTIFS($B$5:B375,"&gt;="&amp;'План недели'!$B$4,$B$5:B375,"&lt;"&amp;'План недели'!$D$4,$D$5:D375,"&lt;&gt;",$G$5:G375,"&lt;&gt;Отменён"),"")</f>
        <v/>
      </c>
    </row>
    <row r="376" spans="1:11">
      <c r="A376" t="str">
        <f>IF(B376="","","VIS_"&amp;(YEAR(B376)*10000+MONTH(B376)*100+DAY(B376))&amp;"_"&amp;IF(COUNTIF($B$5:B376,B376)&lt;10,"00"&amp;COUNTIF($B$5:B376,B376),IF(COUNTIF($B$5:B376,B376)&lt;100,"0"&amp;COUNTIF($B$5:B376,B376),COUNTIF($B$5:B376,B376))))</f>
        <v>VIS_20261115_001</v>
      </c>
      <c r="B376" s="42">
        <v>46341</v>
      </c>
      <c r="C376" s="49" t="str">
        <f t="shared" si="10"/>
        <v>Вс</v>
      </c>
      <c r="I376" s="46"/>
      <c r="J376" s="39">
        <f t="shared" si="11"/>
        <v>46337</v>
      </c>
      <c r="K376" t="str">
        <f ca="1">IF(AND(B376&gt;='План недели'!$B$4,B376&lt;'План недели'!$D$4,D376&lt;&gt;"",G376&lt;&gt;"Отменён"),COUNTIFS($B$5:B376,"&gt;="&amp;'План недели'!$B$4,$B$5:B376,"&lt;"&amp;'План недели'!$D$4,$D$5:D376,"&lt;&gt;",$G$5:G376,"&lt;&gt;Отменён"),"")</f>
        <v/>
      </c>
    </row>
    <row r="377" spans="1:11">
      <c r="A377" t="str">
        <f>IF(B377="","","VIS_"&amp;(YEAR(B377)*10000+MONTH(B377)*100+DAY(B377))&amp;"_"&amp;IF(COUNTIF($B$5:B377,B377)&lt;10,"00"&amp;COUNTIF($B$5:B377,B377),IF(COUNTIF($B$5:B377,B377)&lt;100,"0"&amp;COUNTIF($B$5:B377,B377),COUNTIF($B$5:B377,B377))))</f>
        <v>VIS_20261116_001</v>
      </c>
      <c r="B377" s="40">
        <v>46342</v>
      </c>
      <c r="C377" s="47" t="str">
        <f t="shared" si="10"/>
        <v>Пн</v>
      </c>
      <c r="I377" s="46"/>
      <c r="J377" s="39">
        <f t="shared" si="11"/>
        <v>46337</v>
      </c>
      <c r="K377" t="str">
        <f ca="1">IF(AND(B377&gt;='План недели'!$B$4,B377&lt;'План недели'!$D$4,D377&lt;&gt;"",G377&lt;&gt;"Отменён"),COUNTIFS($B$5:B377,"&gt;="&amp;'План недели'!$B$4,$B$5:B377,"&lt;"&amp;'План недели'!$D$4,$D$5:D377,"&lt;&gt;",$G$5:G377,"&lt;&gt;Отменён"),"")</f>
        <v/>
      </c>
    </row>
    <row r="378" spans="1:11">
      <c r="A378" t="str">
        <f>IF(B378="","","VIS_"&amp;(YEAR(B378)*10000+MONTH(B378)*100+DAY(B378))&amp;"_"&amp;IF(COUNTIF($B$5:B378,B378)&lt;10,"00"&amp;COUNTIF($B$5:B378,B378),IF(COUNTIF($B$5:B378,B378)&lt;100,"0"&amp;COUNTIF($B$5:B378,B378),COUNTIF($B$5:B378,B378))))</f>
        <v>VIS_20261117_001</v>
      </c>
      <c r="B378" s="40">
        <v>46343</v>
      </c>
      <c r="C378" s="47" t="str">
        <f t="shared" si="10"/>
        <v>Вт</v>
      </c>
      <c r="I378" s="46"/>
      <c r="J378" s="39">
        <f t="shared" si="11"/>
        <v>46337</v>
      </c>
      <c r="K378" t="str">
        <f ca="1">IF(AND(B378&gt;='План недели'!$B$4,B378&lt;'План недели'!$D$4,D378&lt;&gt;"",G378&lt;&gt;"Отменён"),COUNTIFS($B$5:B378,"&gt;="&amp;'План недели'!$B$4,$B$5:B378,"&lt;"&amp;'План недели'!$D$4,$D$5:D378,"&lt;&gt;",$G$5:G378,"&lt;&gt;Отменён"),"")</f>
        <v/>
      </c>
    </row>
    <row r="379" spans="1:11">
      <c r="A379" t="str">
        <f>IF(B379="","","VIS_"&amp;(YEAR(B379)*10000+MONTH(B379)*100+DAY(B379))&amp;"_"&amp;IF(COUNTIF($B$5:B379,B379)&lt;10,"00"&amp;COUNTIF($B$5:B379,B379),IF(COUNTIF($B$5:B379,B379)&lt;100,"0"&amp;COUNTIF($B$5:B379,B379),COUNTIF($B$5:B379,B379))))</f>
        <v>VIS_20261118_001</v>
      </c>
      <c r="B379" s="40">
        <v>46344</v>
      </c>
      <c r="C379" s="47" t="str">
        <f t="shared" si="10"/>
        <v>Ср</v>
      </c>
      <c r="I379" s="46"/>
      <c r="J379" s="39">
        <f t="shared" si="11"/>
        <v>46344</v>
      </c>
      <c r="K379" t="str">
        <f ca="1">IF(AND(B379&gt;='План недели'!$B$4,B379&lt;'План недели'!$D$4,D379&lt;&gt;"",G379&lt;&gt;"Отменён"),COUNTIFS($B$5:B379,"&gt;="&amp;'План недели'!$B$4,$B$5:B379,"&lt;"&amp;'План недели'!$D$4,$D$5:D379,"&lt;&gt;",$G$5:G379,"&lt;&gt;Отменён"),"")</f>
        <v/>
      </c>
    </row>
    <row r="380" spans="1:11">
      <c r="A380" t="str">
        <f>IF(B380="","","VIS_"&amp;(YEAR(B380)*10000+MONTH(B380)*100+DAY(B380))&amp;"_"&amp;IF(COUNTIF($B$5:B380,B380)&lt;10,"00"&amp;COUNTIF($B$5:B380,B380),IF(COUNTIF($B$5:B380,B380)&lt;100,"0"&amp;COUNTIF($B$5:B380,B380),COUNTIF($B$5:B380,B380))))</f>
        <v>VIS_20261119_001</v>
      </c>
      <c r="B380" s="40">
        <v>46345</v>
      </c>
      <c r="C380" s="47" t="str">
        <f t="shared" si="10"/>
        <v>Чт</v>
      </c>
      <c r="I380" s="46"/>
      <c r="J380" s="39">
        <f t="shared" si="11"/>
        <v>46344</v>
      </c>
      <c r="K380" t="str">
        <f ca="1">IF(AND(B380&gt;='План недели'!$B$4,B380&lt;'План недели'!$D$4,D380&lt;&gt;"",G380&lt;&gt;"Отменён"),COUNTIFS($B$5:B380,"&gt;="&amp;'План недели'!$B$4,$B$5:B380,"&lt;"&amp;'План недели'!$D$4,$D$5:D380,"&lt;&gt;",$G$5:G380,"&lt;&gt;Отменён"),"")</f>
        <v/>
      </c>
    </row>
    <row r="381" spans="1:11">
      <c r="A381" t="str">
        <f>IF(B381="","","VIS_"&amp;(YEAR(B381)*10000+MONTH(B381)*100+DAY(B381))&amp;"_"&amp;IF(COUNTIF($B$5:B381,B381)&lt;10,"00"&amp;COUNTIF($B$5:B381,B381),IF(COUNTIF($B$5:B381,B381)&lt;100,"0"&amp;COUNTIF($B$5:B381,B381),COUNTIF($B$5:B381,B381))))</f>
        <v>VIS_20261120_001</v>
      </c>
      <c r="B381" s="40">
        <v>46346</v>
      </c>
      <c r="C381" s="47" t="str">
        <f t="shared" si="10"/>
        <v>Пт</v>
      </c>
      <c r="I381" s="46"/>
      <c r="J381" s="39">
        <f t="shared" si="11"/>
        <v>46344</v>
      </c>
      <c r="K381" t="str">
        <f ca="1">IF(AND(B381&gt;='План недели'!$B$4,B381&lt;'План недели'!$D$4,D381&lt;&gt;"",G381&lt;&gt;"Отменён"),COUNTIFS($B$5:B381,"&gt;="&amp;'План недели'!$B$4,$B$5:B381,"&lt;"&amp;'План недели'!$D$4,$D$5:D381,"&lt;&gt;",$G$5:G381,"&lt;&gt;Отменён"),"")</f>
        <v/>
      </c>
    </row>
    <row r="382" spans="1:11">
      <c r="A382" t="str">
        <f>IF(B382="","","VIS_"&amp;(YEAR(B382)*10000+MONTH(B382)*100+DAY(B382))&amp;"_"&amp;IF(COUNTIF($B$5:B382,B382)&lt;10,"00"&amp;COUNTIF($B$5:B382,B382),IF(COUNTIF($B$5:B382,B382)&lt;100,"0"&amp;COUNTIF($B$5:B382,B382),COUNTIF($B$5:B382,B382))))</f>
        <v>VIS_20261121_001</v>
      </c>
      <c r="B382" s="42">
        <v>46347</v>
      </c>
      <c r="C382" s="49" t="str">
        <f t="shared" si="10"/>
        <v>Сб</v>
      </c>
      <c r="I382" s="46"/>
      <c r="J382" s="39">
        <f t="shared" si="11"/>
        <v>46344</v>
      </c>
      <c r="K382" t="str">
        <f ca="1">IF(AND(B382&gt;='План недели'!$B$4,B382&lt;'План недели'!$D$4,D382&lt;&gt;"",G382&lt;&gt;"Отменён"),COUNTIFS($B$5:B382,"&gt;="&amp;'План недели'!$B$4,$B$5:B382,"&lt;"&amp;'План недели'!$D$4,$D$5:D382,"&lt;&gt;",$G$5:G382,"&lt;&gt;Отменён"),"")</f>
        <v/>
      </c>
    </row>
    <row r="383" spans="1:11">
      <c r="A383" t="str">
        <f>IF(B383="","","VIS_"&amp;(YEAR(B383)*10000+MONTH(B383)*100+DAY(B383))&amp;"_"&amp;IF(COUNTIF($B$5:B383,B383)&lt;10,"00"&amp;COUNTIF($B$5:B383,B383),IF(COUNTIF($B$5:B383,B383)&lt;100,"0"&amp;COUNTIF($B$5:B383,B383),COUNTIF($B$5:B383,B383))))</f>
        <v>VIS_20261122_001</v>
      </c>
      <c r="B383" s="42">
        <v>46348</v>
      </c>
      <c r="C383" s="49" t="str">
        <f t="shared" si="10"/>
        <v>Вс</v>
      </c>
      <c r="I383" s="46"/>
      <c r="J383" s="39">
        <f t="shared" si="11"/>
        <v>46344</v>
      </c>
      <c r="K383" t="str">
        <f ca="1">IF(AND(B383&gt;='План недели'!$B$4,B383&lt;'План недели'!$D$4,D383&lt;&gt;"",G383&lt;&gt;"Отменён"),COUNTIFS($B$5:B383,"&gt;="&amp;'План недели'!$B$4,$B$5:B383,"&lt;"&amp;'План недели'!$D$4,$D$5:D383,"&lt;&gt;",$G$5:G383,"&lt;&gt;Отменён"),"")</f>
        <v/>
      </c>
    </row>
    <row r="384" spans="1:11">
      <c r="A384" t="str">
        <f>IF(B384="","","VIS_"&amp;(YEAR(B384)*10000+MONTH(B384)*100+DAY(B384))&amp;"_"&amp;IF(COUNTIF($B$5:B384,B384)&lt;10,"00"&amp;COUNTIF($B$5:B384,B384),IF(COUNTIF($B$5:B384,B384)&lt;100,"0"&amp;COUNTIF($B$5:B384,B384),COUNTIF($B$5:B384,B384))))</f>
        <v>VIS_20261123_001</v>
      </c>
      <c r="B384" s="40">
        <v>46349</v>
      </c>
      <c r="C384" s="47" t="str">
        <f t="shared" si="10"/>
        <v>Пн</v>
      </c>
      <c r="I384" s="46"/>
      <c r="J384" s="39">
        <f t="shared" si="11"/>
        <v>46344</v>
      </c>
      <c r="K384" t="str">
        <f ca="1">IF(AND(B384&gt;='План недели'!$B$4,B384&lt;'План недели'!$D$4,D384&lt;&gt;"",G384&lt;&gt;"Отменён"),COUNTIFS($B$5:B384,"&gt;="&amp;'План недели'!$B$4,$B$5:B384,"&lt;"&amp;'План недели'!$D$4,$D$5:D384,"&lt;&gt;",$G$5:G384,"&lt;&gt;Отменён"),"")</f>
        <v/>
      </c>
    </row>
    <row r="385" spans="1:11">
      <c r="A385" t="str">
        <f>IF(B385="","","VIS_"&amp;(YEAR(B385)*10000+MONTH(B385)*100+DAY(B385))&amp;"_"&amp;IF(COUNTIF($B$5:B385,B385)&lt;10,"00"&amp;COUNTIF($B$5:B385,B385),IF(COUNTIF($B$5:B385,B385)&lt;100,"0"&amp;COUNTIF($B$5:B385,B385),COUNTIF($B$5:B385,B385))))</f>
        <v>VIS_20261124_001</v>
      </c>
      <c r="B385" s="40">
        <v>46350</v>
      </c>
      <c r="C385" s="47" t="str">
        <f t="shared" si="10"/>
        <v>Вт</v>
      </c>
      <c r="I385" s="46"/>
      <c r="J385" s="39">
        <f t="shared" si="11"/>
        <v>46344</v>
      </c>
      <c r="K385" t="str">
        <f ca="1">IF(AND(B385&gt;='План недели'!$B$4,B385&lt;'План недели'!$D$4,D385&lt;&gt;"",G385&lt;&gt;"Отменён"),COUNTIFS($B$5:B385,"&gt;="&amp;'План недели'!$B$4,$B$5:B385,"&lt;"&amp;'План недели'!$D$4,$D$5:D385,"&lt;&gt;",$G$5:G385,"&lt;&gt;Отменён"),"")</f>
        <v/>
      </c>
    </row>
    <row r="386" spans="1:11">
      <c r="A386" t="str">
        <f>IF(B386="","","VIS_"&amp;(YEAR(B386)*10000+MONTH(B386)*100+DAY(B386))&amp;"_"&amp;IF(COUNTIF($B$5:B386,B386)&lt;10,"00"&amp;COUNTIF($B$5:B386,B386),IF(COUNTIF($B$5:B386,B386)&lt;100,"0"&amp;COUNTIF($B$5:B386,B386),COUNTIF($B$5:B386,B386))))</f>
        <v>VIS_20261125_001</v>
      </c>
      <c r="B386" s="40">
        <v>46351</v>
      </c>
      <c r="C386" s="47" t="str">
        <f t="shared" si="10"/>
        <v>Ср</v>
      </c>
      <c r="I386" s="46"/>
      <c r="J386" s="39">
        <f t="shared" si="11"/>
        <v>46351</v>
      </c>
      <c r="K386" t="str">
        <f ca="1">IF(AND(B386&gt;='План недели'!$B$4,B386&lt;'План недели'!$D$4,D386&lt;&gt;"",G386&lt;&gt;"Отменён"),COUNTIFS($B$5:B386,"&gt;="&amp;'План недели'!$B$4,$B$5:B386,"&lt;"&amp;'План недели'!$D$4,$D$5:D386,"&lt;&gt;",$G$5:G386,"&lt;&gt;Отменён"),"")</f>
        <v/>
      </c>
    </row>
    <row r="387" spans="1:11">
      <c r="A387" t="str">
        <f>IF(B387="","","VIS_"&amp;(YEAR(B387)*10000+MONTH(B387)*100+DAY(B387))&amp;"_"&amp;IF(COUNTIF($B$5:B387,B387)&lt;10,"00"&amp;COUNTIF($B$5:B387,B387),IF(COUNTIF($B$5:B387,B387)&lt;100,"0"&amp;COUNTIF($B$5:B387,B387),COUNTIF($B$5:B387,B387))))</f>
        <v>VIS_20261126_001</v>
      </c>
      <c r="B387" s="40">
        <v>46352</v>
      </c>
      <c r="C387" s="47" t="str">
        <f t="shared" si="10"/>
        <v>Чт</v>
      </c>
      <c r="I387" s="46"/>
      <c r="J387" s="39">
        <f t="shared" si="11"/>
        <v>46351</v>
      </c>
      <c r="K387" t="str">
        <f ca="1">IF(AND(B387&gt;='План недели'!$B$4,B387&lt;'План недели'!$D$4,D387&lt;&gt;"",G387&lt;&gt;"Отменён"),COUNTIFS($B$5:B387,"&gt;="&amp;'План недели'!$B$4,$B$5:B387,"&lt;"&amp;'План недели'!$D$4,$D$5:D387,"&lt;&gt;",$G$5:G387,"&lt;&gt;Отменён"),"")</f>
        <v/>
      </c>
    </row>
    <row r="388" spans="1:11">
      <c r="A388" t="str">
        <f>IF(B388="","","VIS_"&amp;(YEAR(B388)*10000+MONTH(B388)*100+DAY(B388))&amp;"_"&amp;IF(COUNTIF($B$5:B388,B388)&lt;10,"00"&amp;COUNTIF($B$5:B388,B388),IF(COUNTIF($B$5:B388,B388)&lt;100,"0"&amp;COUNTIF($B$5:B388,B388),COUNTIF($B$5:B388,B388))))</f>
        <v>VIS_20261127_001</v>
      </c>
      <c r="B388" s="40">
        <v>46353</v>
      </c>
      <c r="C388" s="47" t="str">
        <f t="shared" si="10"/>
        <v>Пт</v>
      </c>
      <c r="I388" s="46"/>
      <c r="J388" s="39">
        <f t="shared" si="11"/>
        <v>46351</v>
      </c>
      <c r="K388" t="str">
        <f ca="1">IF(AND(B388&gt;='План недели'!$B$4,B388&lt;'План недели'!$D$4,D388&lt;&gt;"",G388&lt;&gt;"Отменён"),COUNTIFS($B$5:B388,"&gt;="&amp;'План недели'!$B$4,$B$5:B388,"&lt;"&amp;'План недели'!$D$4,$D$5:D388,"&lt;&gt;",$G$5:G388,"&lt;&gt;Отменён"),"")</f>
        <v/>
      </c>
    </row>
    <row r="389" spans="1:11">
      <c r="A389" t="str">
        <f>IF(B389="","","VIS_"&amp;(YEAR(B389)*10000+MONTH(B389)*100+DAY(B389))&amp;"_"&amp;IF(COUNTIF($B$5:B389,B389)&lt;10,"00"&amp;COUNTIF($B$5:B389,B389),IF(COUNTIF($B$5:B389,B389)&lt;100,"0"&amp;COUNTIF($B$5:B389,B389),COUNTIF($B$5:B389,B389))))</f>
        <v>VIS_20261128_001</v>
      </c>
      <c r="B389" s="42">
        <v>46354</v>
      </c>
      <c r="C389" s="49" t="str">
        <f t="shared" ref="C389:C452" si="12">IF(B389="","",CHOOSE(WEEKDAY(B389,2),"Пн","Вт","Ср","Чт","Пт","Сб","Вс"))</f>
        <v>Сб</v>
      </c>
      <c r="I389" s="46"/>
      <c r="J389" s="39">
        <f t="shared" ref="J389:J452" si="13">IF(B389="","",B389-MOD(WEEKDAY(B389,2)-3,7))</f>
        <v>46351</v>
      </c>
      <c r="K389" t="str">
        <f ca="1">IF(AND(B389&gt;='План недели'!$B$4,B389&lt;'План недели'!$D$4,D389&lt;&gt;"",G389&lt;&gt;"Отменён"),COUNTIFS($B$5:B389,"&gt;="&amp;'План недели'!$B$4,$B$5:B389,"&lt;"&amp;'План недели'!$D$4,$D$5:D389,"&lt;&gt;",$G$5:G389,"&lt;&gt;Отменён"),"")</f>
        <v/>
      </c>
    </row>
    <row r="390" spans="1:11">
      <c r="A390" t="str">
        <f>IF(B390="","","VIS_"&amp;(YEAR(B390)*10000+MONTH(B390)*100+DAY(B390))&amp;"_"&amp;IF(COUNTIF($B$5:B390,B390)&lt;10,"00"&amp;COUNTIF($B$5:B390,B390),IF(COUNTIF($B$5:B390,B390)&lt;100,"0"&amp;COUNTIF($B$5:B390,B390),COUNTIF($B$5:B390,B390))))</f>
        <v>VIS_20261129_001</v>
      </c>
      <c r="B390" s="42">
        <v>46355</v>
      </c>
      <c r="C390" s="49" t="str">
        <f t="shared" si="12"/>
        <v>Вс</v>
      </c>
      <c r="I390" s="46"/>
      <c r="J390" s="39">
        <f t="shared" si="13"/>
        <v>46351</v>
      </c>
      <c r="K390" t="str">
        <f ca="1">IF(AND(B390&gt;='План недели'!$B$4,B390&lt;'План недели'!$D$4,D390&lt;&gt;"",G390&lt;&gt;"Отменён"),COUNTIFS($B$5:B390,"&gt;="&amp;'План недели'!$B$4,$B$5:B390,"&lt;"&amp;'План недели'!$D$4,$D$5:D390,"&lt;&gt;",$G$5:G390,"&lt;&gt;Отменён"),"")</f>
        <v/>
      </c>
    </row>
    <row r="391" spans="1:11">
      <c r="A391" t="str">
        <f>IF(B391="","","VIS_"&amp;(YEAR(B391)*10000+MONTH(B391)*100+DAY(B391))&amp;"_"&amp;IF(COUNTIF($B$5:B391,B391)&lt;10,"00"&amp;COUNTIF($B$5:B391,B391),IF(COUNTIF($B$5:B391,B391)&lt;100,"0"&amp;COUNTIF($B$5:B391,B391),COUNTIF($B$5:B391,B391))))</f>
        <v>VIS_20261130_001</v>
      </c>
      <c r="B391" s="40">
        <v>46356</v>
      </c>
      <c r="C391" s="47" t="str">
        <f t="shared" si="12"/>
        <v>Пн</v>
      </c>
      <c r="I391" s="46"/>
      <c r="J391" s="39">
        <f t="shared" si="13"/>
        <v>46351</v>
      </c>
      <c r="K391" t="str">
        <f ca="1">IF(AND(B391&gt;='План недели'!$B$4,B391&lt;'План недели'!$D$4,D391&lt;&gt;"",G391&lt;&gt;"Отменён"),COUNTIFS($B$5:B391,"&gt;="&amp;'План недели'!$B$4,$B$5:B391,"&lt;"&amp;'План недели'!$D$4,$D$5:D391,"&lt;&gt;",$G$5:G391,"&lt;&gt;Отменён"),"")</f>
        <v/>
      </c>
    </row>
    <row r="392" spans="1:11">
      <c r="A392" t="str">
        <f>IF(B392="","","VIS_"&amp;(YEAR(B392)*10000+MONTH(B392)*100+DAY(B392))&amp;"_"&amp;IF(COUNTIF($B$5:B392,B392)&lt;10,"00"&amp;COUNTIF($B$5:B392,B392),IF(COUNTIF($B$5:B392,B392)&lt;100,"0"&amp;COUNTIF($B$5:B392,B392),COUNTIF($B$5:B392,B392))))</f>
        <v>VIS_20261201_001</v>
      </c>
      <c r="B392" s="40">
        <v>46357</v>
      </c>
      <c r="C392" s="47" t="str">
        <f t="shared" si="12"/>
        <v>Вт</v>
      </c>
      <c r="I392" s="46"/>
      <c r="J392" s="39">
        <f t="shared" si="13"/>
        <v>46351</v>
      </c>
      <c r="K392" t="str">
        <f ca="1">IF(AND(B392&gt;='План недели'!$B$4,B392&lt;'План недели'!$D$4,D392&lt;&gt;"",G392&lt;&gt;"Отменён"),COUNTIFS($B$5:B392,"&gt;="&amp;'План недели'!$B$4,$B$5:B392,"&lt;"&amp;'План недели'!$D$4,$D$5:D392,"&lt;&gt;",$G$5:G392,"&lt;&gt;Отменён"),"")</f>
        <v/>
      </c>
    </row>
    <row r="393" spans="1:11">
      <c r="A393" t="str">
        <f>IF(B393="","","VIS_"&amp;(YEAR(B393)*10000+MONTH(B393)*100+DAY(B393))&amp;"_"&amp;IF(COUNTIF($B$5:B393,B393)&lt;10,"00"&amp;COUNTIF($B$5:B393,B393),IF(COUNTIF($B$5:B393,B393)&lt;100,"0"&amp;COUNTIF($B$5:B393,B393),COUNTIF($B$5:B393,B393))))</f>
        <v>VIS_20261202_001</v>
      </c>
      <c r="B393" s="40">
        <v>46358</v>
      </c>
      <c r="C393" s="47" t="str">
        <f t="shared" si="12"/>
        <v>Ср</v>
      </c>
      <c r="I393" s="46"/>
      <c r="J393" s="39">
        <f t="shared" si="13"/>
        <v>46358</v>
      </c>
      <c r="K393" t="str">
        <f ca="1">IF(AND(B393&gt;='План недели'!$B$4,B393&lt;'План недели'!$D$4,D393&lt;&gt;"",G393&lt;&gt;"Отменён"),COUNTIFS($B$5:B393,"&gt;="&amp;'План недели'!$B$4,$B$5:B393,"&lt;"&amp;'План недели'!$D$4,$D$5:D393,"&lt;&gt;",$G$5:G393,"&lt;&gt;Отменён"),"")</f>
        <v/>
      </c>
    </row>
    <row r="394" spans="1:11">
      <c r="A394" t="str">
        <f>IF(B394="","","VIS_"&amp;(YEAR(B394)*10000+MONTH(B394)*100+DAY(B394))&amp;"_"&amp;IF(COUNTIF($B$5:B394,B394)&lt;10,"00"&amp;COUNTIF($B$5:B394,B394),IF(COUNTIF($B$5:B394,B394)&lt;100,"0"&amp;COUNTIF($B$5:B394,B394),COUNTIF($B$5:B394,B394))))</f>
        <v>VIS_20261203_001</v>
      </c>
      <c r="B394" s="40">
        <v>46359</v>
      </c>
      <c r="C394" s="47" t="str">
        <f t="shared" si="12"/>
        <v>Чт</v>
      </c>
      <c r="I394" s="46"/>
      <c r="J394" s="39">
        <f t="shared" si="13"/>
        <v>46358</v>
      </c>
      <c r="K394" t="str">
        <f ca="1">IF(AND(B394&gt;='План недели'!$B$4,B394&lt;'План недели'!$D$4,D394&lt;&gt;"",G394&lt;&gt;"Отменён"),COUNTIFS($B$5:B394,"&gt;="&amp;'План недели'!$B$4,$B$5:B394,"&lt;"&amp;'План недели'!$D$4,$D$5:D394,"&lt;&gt;",$G$5:G394,"&lt;&gt;Отменён"),"")</f>
        <v/>
      </c>
    </row>
    <row r="395" spans="1:11">
      <c r="A395" t="str">
        <f>IF(B395="","","VIS_"&amp;(YEAR(B395)*10000+MONTH(B395)*100+DAY(B395))&amp;"_"&amp;IF(COUNTIF($B$5:B395,B395)&lt;10,"00"&amp;COUNTIF($B$5:B395,B395),IF(COUNTIF($B$5:B395,B395)&lt;100,"0"&amp;COUNTIF($B$5:B395,B395),COUNTIF($B$5:B395,B395))))</f>
        <v>VIS_20261204_001</v>
      </c>
      <c r="B395" s="40">
        <v>46360</v>
      </c>
      <c r="C395" s="47" t="str">
        <f t="shared" si="12"/>
        <v>Пт</v>
      </c>
      <c r="I395" s="46"/>
      <c r="J395" s="39">
        <f t="shared" si="13"/>
        <v>46358</v>
      </c>
      <c r="K395" t="str">
        <f ca="1">IF(AND(B395&gt;='План недели'!$B$4,B395&lt;'План недели'!$D$4,D395&lt;&gt;"",G395&lt;&gt;"Отменён"),COUNTIFS($B$5:B395,"&gt;="&amp;'План недели'!$B$4,$B$5:B395,"&lt;"&amp;'План недели'!$D$4,$D$5:D395,"&lt;&gt;",$G$5:G395,"&lt;&gt;Отменён"),"")</f>
        <v/>
      </c>
    </row>
    <row r="396" spans="1:11">
      <c r="A396" t="str">
        <f>IF(B396="","","VIS_"&amp;(YEAR(B396)*10000+MONTH(B396)*100+DAY(B396))&amp;"_"&amp;IF(COUNTIF($B$5:B396,B396)&lt;10,"00"&amp;COUNTIF($B$5:B396,B396),IF(COUNTIF($B$5:B396,B396)&lt;100,"0"&amp;COUNTIF($B$5:B396,B396),COUNTIF($B$5:B396,B396))))</f>
        <v>VIS_20261205_001</v>
      </c>
      <c r="B396" s="42">
        <v>46361</v>
      </c>
      <c r="C396" s="49" t="str">
        <f t="shared" si="12"/>
        <v>Сб</v>
      </c>
      <c r="I396" s="46"/>
      <c r="J396" s="39">
        <f t="shared" si="13"/>
        <v>46358</v>
      </c>
      <c r="K396" t="str">
        <f ca="1">IF(AND(B396&gt;='План недели'!$B$4,B396&lt;'План недели'!$D$4,D396&lt;&gt;"",G396&lt;&gt;"Отменён"),COUNTIFS($B$5:B396,"&gt;="&amp;'План недели'!$B$4,$B$5:B396,"&lt;"&amp;'План недели'!$D$4,$D$5:D396,"&lt;&gt;",$G$5:G396,"&lt;&gt;Отменён"),"")</f>
        <v/>
      </c>
    </row>
    <row r="397" spans="1:11">
      <c r="A397" t="str">
        <f>IF(B397="","","VIS_"&amp;(YEAR(B397)*10000+MONTH(B397)*100+DAY(B397))&amp;"_"&amp;IF(COUNTIF($B$5:B397,B397)&lt;10,"00"&amp;COUNTIF($B$5:B397,B397),IF(COUNTIF($B$5:B397,B397)&lt;100,"0"&amp;COUNTIF($B$5:B397,B397),COUNTIF($B$5:B397,B397))))</f>
        <v>VIS_20261206_001</v>
      </c>
      <c r="B397" s="42">
        <v>46362</v>
      </c>
      <c r="C397" s="49" t="str">
        <f t="shared" si="12"/>
        <v>Вс</v>
      </c>
      <c r="I397" s="46"/>
      <c r="J397" s="39">
        <f t="shared" si="13"/>
        <v>46358</v>
      </c>
      <c r="K397" t="str">
        <f ca="1">IF(AND(B397&gt;='План недели'!$B$4,B397&lt;'План недели'!$D$4,D397&lt;&gt;"",G397&lt;&gt;"Отменён"),COUNTIFS($B$5:B397,"&gt;="&amp;'План недели'!$B$4,$B$5:B397,"&lt;"&amp;'План недели'!$D$4,$D$5:D397,"&lt;&gt;",$G$5:G397,"&lt;&gt;Отменён"),"")</f>
        <v/>
      </c>
    </row>
    <row r="398" spans="1:11">
      <c r="A398" t="str">
        <f>IF(B398="","","VIS_"&amp;(YEAR(B398)*10000+MONTH(B398)*100+DAY(B398))&amp;"_"&amp;IF(COUNTIF($B$5:B398,B398)&lt;10,"00"&amp;COUNTIF($B$5:B398,B398),IF(COUNTIF($B$5:B398,B398)&lt;100,"0"&amp;COUNTIF($B$5:B398,B398),COUNTIF($B$5:B398,B398))))</f>
        <v>VIS_20261207_001</v>
      </c>
      <c r="B398" s="40">
        <v>46363</v>
      </c>
      <c r="C398" s="47" t="str">
        <f t="shared" si="12"/>
        <v>Пн</v>
      </c>
      <c r="I398" s="46"/>
      <c r="J398" s="39">
        <f t="shared" si="13"/>
        <v>46358</v>
      </c>
      <c r="K398" t="str">
        <f ca="1">IF(AND(B398&gt;='План недели'!$B$4,B398&lt;'План недели'!$D$4,D398&lt;&gt;"",G398&lt;&gt;"Отменён"),COUNTIFS($B$5:B398,"&gt;="&amp;'План недели'!$B$4,$B$5:B398,"&lt;"&amp;'План недели'!$D$4,$D$5:D398,"&lt;&gt;",$G$5:G398,"&lt;&gt;Отменён"),"")</f>
        <v/>
      </c>
    </row>
    <row r="399" spans="1:11">
      <c r="A399" t="str">
        <f>IF(B399="","","VIS_"&amp;(YEAR(B399)*10000+MONTH(B399)*100+DAY(B399))&amp;"_"&amp;IF(COUNTIF($B$5:B399,B399)&lt;10,"00"&amp;COUNTIF($B$5:B399,B399),IF(COUNTIF($B$5:B399,B399)&lt;100,"0"&amp;COUNTIF($B$5:B399,B399),COUNTIF($B$5:B399,B399))))</f>
        <v>VIS_20261208_001</v>
      </c>
      <c r="B399" s="40">
        <v>46364</v>
      </c>
      <c r="C399" s="47" t="str">
        <f t="shared" si="12"/>
        <v>Вт</v>
      </c>
      <c r="I399" s="46"/>
      <c r="J399" s="39">
        <f t="shared" si="13"/>
        <v>46358</v>
      </c>
      <c r="K399" t="str">
        <f ca="1">IF(AND(B399&gt;='План недели'!$B$4,B399&lt;'План недели'!$D$4,D399&lt;&gt;"",G399&lt;&gt;"Отменён"),COUNTIFS($B$5:B399,"&gt;="&amp;'План недели'!$B$4,$B$5:B399,"&lt;"&amp;'План недели'!$D$4,$D$5:D399,"&lt;&gt;",$G$5:G399,"&lt;&gt;Отменён"),"")</f>
        <v/>
      </c>
    </row>
    <row r="400" spans="1:11">
      <c r="A400" t="str">
        <f>IF(B400="","","VIS_"&amp;(YEAR(B400)*10000+MONTH(B400)*100+DAY(B400))&amp;"_"&amp;IF(COUNTIF($B$5:B400,B400)&lt;10,"00"&amp;COUNTIF($B$5:B400,B400),IF(COUNTIF($B$5:B400,B400)&lt;100,"0"&amp;COUNTIF($B$5:B400,B400),COUNTIF($B$5:B400,B400))))</f>
        <v>VIS_20261209_001</v>
      </c>
      <c r="B400" s="40">
        <v>46365</v>
      </c>
      <c r="C400" s="47" t="str">
        <f t="shared" si="12"/>
        <v>Ср</v>
      </c>
      <c r="I400" s="46"/>
      <c r="J400" s="39">
        <f t="shared" si="13"/>
        <v>46365</v>
      </c>
      <c r="K400" t="str">
        <f ca="1">IF(AND(B400&gt;='План недели'!$B$4,B400&lt;'План недели'!$D$4,D400&lt;&gt;"",G400&lt;&gt;"Отменён"),COUNTIFS($B$5:B400,"&gt;="&amp;'План недели'!$B$4,$B$5:B400,"&lt;"&amp;'План недели'!$D$4,$D$5:D400,"&lt;&gt;",$G$5:G400,"&lt;&gt;Отменён"),"")</f>
        <v/>
      </c>
    </row>
    <row r="401" spans="1:11">
      <c r="A401" t="str">
        <f>IF(B401="","","VIS_"&amp;(YEAR(B401)*10000+MONTH(B401)*100+DAY(B401))&amp;"_"&amp;IF(COUNTIF($B$5:B401,B401)&lt;10,"00"&amp;COUNTIF($B$5:B401,B401),IF(COUNTIF($B$5:B401,B401)&lt;100,"0"&amp;COUNTIF($B$5:B401,B401),COUNTIF($B$5:B401,B401))))</f>
        <v>VIS_20261210_001</v>
      </c>
      <c r="B401" s="40">
        <v>46366</v>
      </c>
      <c r="C401" s="47" t="str">
        <f t="shared" si="12"/>
        <v>Чт</v>
      </c>
      <c r="I401" s="46"/>
      <c r="J401" s="39">
        <f t="shared" si="13"/>
        <v>46365</v>
      </c>
      <c r="K401" t="str">
        <f ca="1">IF(AND(B401&gt;='План недели'!$B$4,B401&lt;'План недели'!$D$4,D401&lt;&gt;"",G401&lt;&gt;"Отменён"),COUNTIFS($B$5:B401,"&gt;="&amp;'План недели'!$B$4,$B$5:B401,"&lt;"&amp;'План недели'!$D$4,$D$5:D401,"&lt;&gt;",$G$5:G401,"&lt;&gt;Отменён"),"")</f>
        <v/>
      </c>
    </row>
    <row r="402" spans="1:11">
      <c r="A402" t="str">
        <f>IF(B402="","","VIS_"&amp;(YEAR(B402)*10000+MONTH(B402)*100+DAY(B402))&amp;"_"&amp;IF(COUNTIF($B$5:B402,B402)&lt;10,"00"&amp;COUNTIF($B$5:B402,B402),IF(COUNTIF($B$5:B402,B402)&lt;100,"0"&amp;COUNTIF($B$5:B402,B402),COUNTIF($B$5:B402,B402))))</f>
        <v>VIS_20261211_001</v>
      </c>
      <c r="B402" s="40">
        <v>46367</v>
      </c>
      <c r="C402" s="47" t="str">
        <f t="shared" si="12"/>
        <v>Пт</v>
      </c>
      <c r="I402" s="46"/>
      <c r="J402" s="39">
        <f t="shared" si="13"/>
        <v>46365</v>
      </c>
      <c r="K402" t="str">
        <f ca="1">IF(AND(B402&gt;='План недели'!$B$4,B402&lt;'План недели'!$D$4,D402&lt;&gt;"",G402&lt;&gt;"Отменён"),COUNTIFS($B$5:B402,"&gt;="&amp;'План недели'!$B$4,$B$5:B402,"&lt;"&amp;'План недели'!$D$4,$D$5:D402,"&lt;&gt;",$G$5:G402,"&lt;&gt;Отменён"),"")</f>
        <v/>
      </c>
    </row>
    <row r="403" spans="1:11">
      <c r="A403" t="str">
        <f>IF(B403="","","VIS_"&amp;(YEAR(B403)*10000+MONTH(B403)*100+DAY(B403))&amp;"_"&amp;IF(COUNTIF($B$5:B403,B403)&lt;10,"00"&amp;COUNTIF($B$5:B403,B403),IF(COUNTIF($B$5:B403,B403)&lt;100,"0"&amp;COUNTIF($B$5:B403,B403),COUNTIF($B$5:B403,B403))))</f>
        <v>VIS_20261212_001</v>
      </c>
      <c r="B403" s="42">
        <v>46368</v>
      </c>
      <c r="C403" s="49" t="str">
        <f t="shared" si="12"/>
        <v>Сб</v>
      </c>
      <c r="I403" s="46"/>
      <c r="J403" s="39">
        <f t="shared" si="13"/>
        <v>46365</v>
      </c>
      <c r="K403" t="str">
        <f ca="1">IF(AND(B403&gt;='План недели'!$B$4,B403&lt;'План недели'!$D$4,D403&lt;&gt;"",G403&lt;&gt;"Отменён"),COUNTIFS($B$5:B403,"&gt;="&amp;'План недели'!$B$4,$B$5:B403,"&lt;"&amp;'План недели'!$D$4,$D$5:D403,"&lt;&gt;",$G$5:G403,"&lt;&gt;Отменён"),"")</f>
        <v/>
      </c>
    </row>
    <row r="404" spans="1:11">
      <c r="A404" t="str">
        <f>IF(B404="","","VIS_"&amp;(YEAR(B404)*10000+MONTH(B404)*100+DAY(B404))&amp;"_"&amp;IF(COUNTIF($B$5:B404,B404)&lt;10,"00"&amp;COUNTIF($B$5:B404,B404),IF(COUNTIF($B$5:B404,B404)&lt;100,"0"&amp;COUNTIF($B$5:B404,B404),COUNTIF($B$5:B404,B404))))</f>
        <v>VIS_20261213_001</v>
      </c>
      <c r="B404" s="42">
        <v>46369</v>
      </c>
      <c r="C404" s="49" t="str">
        <f t="shared" si="12"/>
        <v>Вс</v>
      </c>
      <c r="I404" s="46"/>
      <c r="J404" s="39">
        <f t="shared" si="13"/>
        <v>46365</v>
      </c>
      <c r="K404" t="str">
        <f ca="1">IF(AND(B404&gt;='План недели'!$B$4,B404&lt;'План недели'!$D$4,D404&lt;&gt;"",G404&lt;&gt;"Отменён"),COUNTIFS($B$5:B404,"&gt;="&amp;'План недели'!$B$4,$B$5:B404,"&lt;"&amp;'План недели'!$D$4,$D$5:D404,"&lt;&gt;",$G$5:G404,"&lt;&gt;Отменён"),"")</f>
        <v/>
      </c>
    </row>
    <row r="405" spans="1:11">
      <c r="A405" t="str">
        <f>IF(B405="","","VIS_"&amp;(YEAR(B405)*10000+MONTH(B405)*100+DAY(B405))&amp;"_"&amp;IF(COUNTIF($B$5:B405,B405)&lt;10,"00"&amp;COUNTIF($B$5:B405,B405),IF(COUNTIF($B$5:B405,B405)&lt;100,"0"&amp;COUNTIF($B$5:B405,B405),COUNTIF($B$5:B405,B405))))</f>
        <v>VIS_20261214_001</v>
      </c>
      <c r="B405" s="40">
        <v>46370</v>
      </c>
      <c r="C405" s="47" t="str">
        <f t="shared" si="12"/>
        <v>Пн</v>
      </c>
      <c r="I405" s="46"/>
      <c r="J405" s="39">
        <f t="shared" si="13"/>
        <v>46365</v>
      </c>
      <c r="K405" t="str">
        <f ca="1">IF(AND(B405&gt;='План недели'!$B$4,B405&lt;'План недели'!$D$4,D405&lt;&gt;"",G405&lt;&gt;"Отменён"),COUNTIFS($B$5:B405,"&gt;="&amp;'План недели'!$B$4,$B$5:B405,"&lt;"&amp;'План недели'!$D$4,$D$5:D405,"&lt;&gt;",$G$5:G405,"&lt;&gt;Отменён"),"")</f>
        <v/>
      </c>
    </row>
    <row r="406" spans="1:11">
      <c r="A406" t="str">
        <f>IF(B406="","","VIS_"&amp;(YEAR(B406)*10000+MONTH(B406)*100+DAY(B406))&amp;"_"&amp;IF(COUNTIF($B$5:B406,B406)&lt;10,"00"&amp;COUNTIF($B$5:B406,B406),IF(COUNTIF($B$5:B406,B406)&lt;100,"0"&amp;COUNTIF($B$5:B406,B406),COUNTIF($B$5:B406,B406))))</f>
        <v>VIS_20261215_001</v>
      </c>
      <c r="B406" s="40">
        <v>46371</v>
      </c>
      <c r="C406" s="47" t="str">
        <f t="shared" si="12"/>
        <v>Вт</v>
      </c>
      <c r="I406" s="46"/>
      <c r="J406" s="39">
        <f t="shared" si="13"/>
        <v>46365</v>
      </c>
      <c r="K406" t="str">
        <f ca="1">IF(AND(B406&gt;='План недели'!$B$4,B406&lt;'План недели'!$D$4,D406&lt;&gt;"",G406&lt;&gt;"Отменён"),COUNTIFS($B$5:B406,"&gt;="&amp;'План недели'!$B$4,$B$5:B406,"&lt;"&amp;'План недели'!$D$4,$D$5:D406,"&lt;&gt;",$G$5:G406,"&lt;&gt;Отменён"),"")</f>
        <v/>
      </c>
    </row>
    <row r="407" spans="1:11">
      <c r="A407" t="str">
        <f>IF(B407="","","VIS_"&amp;(YEAR(B407)*10000+MONTH(B407)*100+DAY(B407))&amp;"_"&amp;IF(COUNTIF($B$5:B407,B407)&lt;10,"00"&amp;COUNTIF($B$5:B407,B407),IF(COUNTIF($B$5:B407,B407)&lt;100,"0"&amp;COUNTIF($B$5:B407,B407),COUNTIF($B$5:B407,B407))))</f>
        <v>VIS_20261216_001</v>
      </c>
      <c r="B407" s="40">
        <v>46372</v>
      </c>
      <c r="C407" s="47" t="str">
        <f t="shared" si="12"/>
        <v>Ср</v>
      </c>
      <c r="I407" s="46"/>
      <c r="J407" s="39">
        <f t="shared" si="13"/>
        <v>46372</v>
      </c>
      <c r="K407" t="str">
        <f ca="1">IF(AND(B407&gt;='План недели'!$B$4,B407&lt;'План недели'!$D$4,D407&lt;&gt;"",G407&lt;&gt;"Отменён"),COUNTIFS($B$5:B407,"&gt;="&amp;'План недели'!$B$4,$B$5:B407,"&lt;"&amp;'План недели'!$D$4,$D$5:D407,"&lt;&gt;",$G$5:G407,"&lt;&gt;Отменён"),"")</f>
        <v/>
      </c>
    </row>
    <row r="408" spans="1:11">
      <c r="A408" t="str">
        <f>IF(B408="","","VIS_"&amp;(YEAR(B408)*10000+MONTH(B408)*100+DAY(B408))&amp;"_"&amp;IF(COUNTIF($B$5:B408,B408)&lt;10,"00"&amp;COUNTIF($B$5:B408,B408),IF(COUNTIF($B$5:B408,B408)&lt;100,"0"&amp;COUNTIF($B$5:B408,B408),COUNTIF($B$5:B408,B408))))</f>
        <v>VIS_20261217_001</v>
      </c>
      <c r="B408" s="40">
        <v>46373</v>
      </c>
      <c r="C408" s="47" t="str">
        <f t="shared" si="12"/>
        <v>Чт</v>
      </c>
      <c r="I408" s="46"/>
      <c r="J408" s="39">
        <f t="shared" si="13"/>
        <v>46372</v>
      </c>
      <c r="K408" t="str">
        <f ca="1">IF(AND(B408&gt;='План недели'!$B$4,B408&lt;'План недели'!$D$4,D408&lt;&gt;"",G408&lt;&gt;"Отменён"),COUNTIFS($B$5:B408,"&gt;="&amp;'План недели'!$B$4,$B$5:B408,"&lt;"&amp;'План недели'!$D$4,$D$5:D408,"&lt;&gt;",$G$5:G408,"&lt;&gt;Отменён"),"")</f>
        <v/>
      </c>
    </row>
    <row r="409" spans="1:11">
      <c r="A409" t="str">
        <f>IF(B409="","","VIS_"&amp;(YEAR(B409)*10000+MONTH(B409)*100+DAY(B409))&amp;"_"&amp;IF(COUNTIF($B$5:B409,B409)&lt;10,"00"&amp;COUNTIF($B$5:B409,B409),IF(COUNTIF($B$5:B409,B409)&lt;100,"0"&amp;COUNTIF($B$5:B409,B409),COUNTIF($B$5:B409,B409))))</f>
        <v>VIS_20261218_001</v>
      </c>
      <c r="B409" s="40">
        <v>46374</v>
      </c>
      <c r="C409" s="47" t="str">
        <f t="shared" si="12"/>
        <v>Пт</v>
      </c>
      <c r="I409" s="46"/>
      <c r="J409" s="39">
        <f t="shared" si="13"/>
        <v>46372</v>
      </c>
      <c r="K409" t="str">
        <f ca="1">IF(AND(B409&gt;='План недели'!$B$4,B409&lt;'План недели'!$D$4,D409&lt;&gt;"",G409&lt;&gt;"Отменён"),COUNTIFS($B$5:B409,"&gt;="&amp;'План недели'!$B$4,$B$5:B409,"&lt;"&amp;'План недели'!$D$4,$D$5:D409,"&lt;&gt;",$G$5:G409,"&lt;&gt;Отменён"),"")</f>
        <v/>
      </c>
    </row>
    <row r="410" spans="1:11">
      <c r="A410" t="str">
        <f>IF(B410="","","VIS_"&amp;(YEAR(B410)*10000+MONTH(B410)*100+DAY(B410))&amp;"_"&amp;IF(COUNTIF($B$5:B410,B410)&lt;10,"00"&amp;COUNTIF($B$5:B410,B410),IF(COUNTIF($B$5:B410,B410)&lt;100,"0"&amp;COUNTIF($B$5:B410,B410),COUNTIF($B$5:B410,B410))))</f>
        <v>VIS_20261219_001</v>
      </c>
      <c r="B410" s="42">
        <v>46375</v>
      </c>
      <c r="C410" s="49" t="str">
        <f t="shared" si="12"/>
        <v>Сб</v>
      </c>
      <c r="I410" s="46"/>
      <c r="J410" s="39">
        <f t="shared" si="13"/>
        <v>46372</v>
      </c>
      <c r="K410" t="str">
        <f ca="1">IF(AND(B410&gt;='План недели'!$B$4,B410&lt;'План недели'!$D$4,D410&lt;&gt;"",G410&lt;&gt;"Отменён"),COUNTIFS($B$5:B410,"&gt;="&amp;'План недели'!$B$4,$B$5:B410,"&lt;"&amp;'План недели'!$D$4,$D$5:D410,"&lt;&gt;",$G$5:G410,"&lt;&gt;Отменён"),"")</f>
        <v/>
      </c>
    </row>
    <row r="411" spans="1:11">
      <c r="A411" t="str">
        <f>IF(B411="","","VIS_"&amp;(YEAR(B411)*10000+MONTH(B411)*100+DAY(B411))&amp;"_"&amp;IF(COUNTIF($B$5:B411,B411)&lt;10,"00"&amp;COUNTIF($B$5:B411,B411),IF(COUNTIF($B$5:B411,B411)&lt;100,"0"&amp;COUNTIF($B$5:B411,B411),COUNTIF($B$5:B411,B411))))</f>
        <v>VIS_20261220_001</v>
      </c>
      <c r="B411" s="42">
        <v>46376</v>
      </c>
      <c r="C411" s="49" t="str">
        <f t="shared" si="12"/>
        <v>Вс</v>
      </c>
      <c r="I411" s="46"/>
      <c r="J411" s="39">
        <f t="shared" si="13"/>
        <v>46372</v>
      </c>
      <c r="K411" t="str">
        <f ca="1">IF(AND(B411&gt;='План недели'!$B$4,B411&lt;'План недели'!$D$4,D411&lt;&gt;"",G411&lt;&gt;"Отменён"),COUNTIFS($B$5:B411,"&gt;="&amp;'План недели'!$B$4,$B$5:B411,"&lt;"&amp;'План недели'!$D$4,$D$5:D411,"&lt;&gt;",$G$5:G411,"&lt;&gt;Отменён"),"")</f>
        <v/>
      </c>
    </row>
    <row r="412" spans="1:11">
      <c r="A412" t="str">
        <f>IF(B412="","","VIS_"&amp;(YEAR(B412)*10000+MONTH(B412)*100+DAY(B412))&amp;"_"&amp;IF(COUNTIF($B$5:B412,B412)&lt;10,"00"&amp;COUNTIF($B$5:B412,B412),IF(COUNTIF($B$5:B412,B412)&lt;100,"0"&amp;COUNTIF($B$5:B412,B412),COUNTIF($B$5:B412,B412))))</f>
        <v>VIS_20261221_001</v>
      </c>
      <c r="B412" s="40">
        <v>46377</v>
      </c>
      <c r="C412" s="47" t="str">
        <f t="shared" si="12"/>
        <v>Пн</v>
      </c>
      <c r="I412" s="46"/>
      <c r="J412" s="39">
        <f t="shared" si="13"/>
        <v>46372</v>
      </c>
      <c r="K412" t="str">
        <f ca="1">IF(AND(B412&gt;='План недели'!$B$4,B412&lt;'План недели'!$D$4,D412&lt;&gt;"",G412&lt;&gt;"Отменён"),COUNTIFS($B$5:B412,"&gt;="&amp;'План недели'!$B$4,$B$5:B412,"&lt;"&amp;'План недели'!$D$4,$D$5:D412,"&lt;&gt;",$G$5:G412,"&lt;&gt;Отменён"),"")</f>
        <v/>
      </c>
    </row>
    <row r="413" spans="1:11">
      <c r="A413" t="str">
        <f>IF(B413="","","VIS_"&amp;(YEAR(B413)*10000+MONTH(B413)*100+DAY(B413))&amp;"_"&amp;IF(COUNTIF($B$5:B413,B413)&lt;10,"00"&amp;COUNTIF($B$5:B413,B413),IF(COUNTIF($B$5:B413,B413)&lt;100,"0"&amp;COUNTIF($B$5:B413,B413),COUNTIF($B$5:B413,B413))))</f>
        <v>VIS_20261222_001</v>
      </c>
      <c r="B413" s="40">
        <v>46378</v>
      </c>
      <c r="C413" s="47" t="str">
        <f t="shared" si="12"/>
        <v>Вт</v>
      </c>
      <c r="I413" s="46"/>
      <c r="J413" s="39">
        <f t="shared" si="13"/>
        <v>46372</v>
      </c>
      <c r="K413" t="str">
        <f ca="1">IF(AND(B413&gt;='План недели'!$B$4,B413&lt;'План недели'!$D$4,D413&lt;&gt;"",G413&lt;&gt;"Отменён"),COUNTIFS($B$5:B413,"&gt;="&amp;'План недели'!$B$4,$B$5:B413,"&lt;"&amp;'План недели'!$D$4,$D$5:D413,"&lt;&gt;",$G$5:G413,"&lt;&gt;Отменён"),"")</f>
        <v/>
      </c>
    </row>
    <row r="414" spans="1:11">
      <c r="A414" t="str">
        <f>IF(B414="","","VIS_"&amp;(YEAR(B414)*10000+MONTH(B414)*100+DAY(B414))&amp;"_"&amp;IF(COUNTIF($B$5:B414,B414)&lt;10,"00"&amp;COUNTIF($B$5:B414,B414),IF(COUNTIF($B$5:B414,B414)&lt;100,"0"&amp;COUNTIF($B$5:B414,B414),COUNTIF($B$5:B414,B414))))</f>
        <v>VIS_20261223_001</v>
      </c>
      <c r="B414" s="40">
        <v>46379</v>
      </c>
      <c r="C414" s="47" t="str">
        <f t="shared" si="12"/>
        <v>Ср</v>
      </c>
      <c r="I414" s="46"/>
      <c r="J414" s="39">
        <f t="shared" si="13"/>
        <v>46379</v>
      </c>
      <c r="K414" t="str">
        <f ca="1">IF(AND(B414&gt;='План недели'!$B$4,B414&lt;'План недели'!$D$4,D414&lt;&gt;"",G414&lt;&gt;"Отменён"),COUNTIFS($B$5:B414,"&gt;="&amp;'План недели'!$B$4,$B$5:B414,"&lt;"&amp;'План недели'!$D$4,$D$5:D414,"&lt;&gt;",$G$5:G414,"&lt;&gt;Отменён"),"")</f>
        <v/>
      </c>
    </row>
    <row r="415" spans="1:11">
      <c r="A415" t="str">
        <f>IF(B415="","","VIS_"&amp;(YEAR(B415)*10000+MONTH(B415)*100+DAY(B415))&amp;"_"&amp;IF(COUNTIF($B$5:B415,B415)&lt;10,"00"&amp;COUNTIF($B$5:B415,B415),IF(COUNTIF($B$5:B415,B415)&lt;100,"0"&amp;COUNTIF($B$5:B415,B415),COUNTIF($B$5:B415,B415))))</f>
        <v>VIS_20261224_001</v>
      </c>
      <c r="B415" s="40">
        <v>46380</v>
      </c>
      <c r="C415" s="47" t="str">
        <f t="shared" si="12"/>
        <v>Чт</v>
      </c>
      <c r="I415" s="46"/>
      <c r="J415" s="39">
        <f t="shared" si="13"/>
        <v>46379</v>
      </c>
      <c r="K415" t="str">
        <f ca="1">IF(AND(B415&gt;='План недели'!$B$4,B415&lt;'План недели'!$D$4,D415&lt;&gt;"",G415&lt;&gt;"Отменён"),COUNTIFS($B$5:B415,"&gt;="&amp;'План недели'!$B$4,$B$5:B415,"&lt;"&amp;'План недели'!$D$4,$D$5:D415,"&lt;&gt;",$G$5:G415,"&lt;&gt;Отменён"),"")</f>
        <v/>
      </c>
    </row>
    <row r="416" spans="1:11">
      <c r="A416" t="str">
        <f>IF(B416="","","VIS_"&amp;(YEAR(B416)*10000+MONTH(B416)*100+DAY(B416))&amp;"_"&amp;IF(COUNTIF($B$5:B416,B416)&lt;10,"00"&amp;COUNTIF($B$5:B416,B416),IF(COUNTIF($B$5:B416,B416)&lt;100,"0"&amp;COUNTIF($B$5:B416,B416),COUNTIF($B$5:B416,B416))))</f>
        <v>VIS_20261225_001</v>
      </c>
      <c r="B416" s="40">
        <v>46381</v>
      </c>
      <c r="C416" s="47" t="str">
        <f t="shared" si="12"/>
        <v>Пт</v>
      </c>
      <c r="I416" s="46"/>
      <c r="J416" s="39">
        <f t="shared" si="13"/>
        <v>46379</v>
      </c>
      <c r="K416" t="str">
        <f ca="1">IF(AND(B416&gt;='План недели'!$B$4,B416&lt;'План недели'!$D$4,D416&lt;&gt;"",G416&lt;&gt;"Отменён"),COUNTIFS($B$5:B416,"&gt;="&amp;'План недели'!$B$4,$B$5:B416,"&lt;"&amp;'План недели'!$D$4,$D$5:D416,"&lt;&gt;",$G$5:G416,"&lt;&gt;Отменён"),"")</f>
        <v/>
      </c>
    </row>
    <row r="417" spans="1:11">
      <c r="A417" t="str">
        <f>IF(B417="","","VIS_"&amp;(YEAR(B417)*10000+MONTH(B417)*100+DAY(B417))&amp;"_"&amp;IF(COUNTIF($B$5:B417,B417)&lt;10,"00"&amp;COUNTIF($B$5:B417,B417),IF(COUNTIF($B$5:B417,B417)&lt;100,"0"&amp;COUNTIF($B$5:B417,B417),COUNTIF($B$5:B417,B417))))</f>
        <v>VIS_20261226_001</v>
      </c>
      <c r="B417" s="42">
        <v>46382</v>
      </c>
      <c r="C417" s="49" t="str">
        <f t="shared" si="12"/>
        <v>Сб</v>
      </c>
      <c r="I417" s="46"/>
      <c r="J417" s="39">
        <f t="shared" si="13"/>
        <v>46379</v>
      </c>
      <c r="K417" t="str">
        <f ca="1">IF(AND(B417&gt;='План недели'!$B$4,B417&lt;'План недели'!$D$4,D417&lt;&gt;"",G417&lt;&gt;"Отменён"),COUNTIFS($B$5:B417,"&gt;="&amp;'План недели'!$B$4,$B$5:B417,"&lt;"&amp;'План недели'!$D$4,$D$5:D417,"&lt;&gt;",$G$5:G417,"&lt;&gt;Отменён"),"")</f>
        <v/>
      </c>
    </row>
    <row r="418" spans="1:11">
      <c r="A418" t="str">
        <f>IF(B418="","","VIS_"&amp;(YEAR(B418)*10000+MONTH(B418)*100+DAY(B418))&amp;"_"&amp;IF(COUNTIF($B$5:B418,B418)&lt;10,"00"&amp;COUNTIF($B$5:B418,B418),IF(COUNTIF($B$5:B418,B418)&lt;100,"0"&amp;COUNTIF($B$5:B418,B418),COUNTIF($B$5:B418,B418))))</f>
        <v>VIS_20261227_001</v>
      </c>
      <c r="B418" s="42">
        <v>46383</v>
      </c>
      <c r="C418" s="49" t="str">
        <f t="shared" si="12"/>
        <v>Вс</v>
      </c>
      <c r="I418" s="46"/>
      <c r="J418" s="39">
        <f t="shared" si="13"/>
        <v>46379</v>
      </c>
      <c r="K418" t="str">
        <f ca="1">IF(AND(B418&gt;='План недели'!$B$4,B418&lt;'План недели'!$D$4,D418&lt;&gt;"",G418&lt;&gt;"Отменён"),COUNTIFS($B$5:B418,"&gt;="&amp;'План недели'!$B$4,$B$5:B418,"&lt;"&amp;'План недели'!$D$4,$D$5:D418,"&lt;&gt;",$G$5:G418,"&lt;&gt;Отменён"),"")</f>
        <v/>
      </c>
    </row>
    <row r="419" spans="1:11">
      <c r="A419" t="str">
        <f>IF(B419="","","VIS_"&amp;(YEAR(B419)*10000+MONTH(B419)*100+DAY(B419))&amp;"_"&amp;IF(COUNTIF($B$5:B419,B419)&lt;10,"00"&amp;COUNTIF($B$5:B419,B419),IF(COUNTIF($B$5:B419,B419)&lt;100,"0"&amp;COUNTIF($B$5:B419,B419),COUNTIF($B$5:B419,B419))))</f>
        <v>VIS_20261228_001</v>
      </c>
      <c r="B419" s="40">
        <v>46384</v>
      </c>
      <c r="C419" s="47" t="str">
        <f t="shared" si="12"/>
        <v>Пн</v>
      </c>
      <c r="I419" s="46"/>
      <c r="J419" s="39">
        <f t="shared" si="13"/>
        <v>46379</v>
      </c>
      <c r="K419" t="str">
        <f ca="1">IF(AND(B419&gt;='План недели'!$B$4,B419&lt;'План недели'!$D$4,D419&lt;&gt;"",G419&lt;&gt;"Отменён"),COUNTIFS($B$5:B419,"&gt;="&amp;'План недели'!$B$4,$B$5:B419,"&lt;"&amp;'План недели'!$D$4,$D$5:D419,"&lt;&gt;",$G$5:G419,"&lt;&gt;Отменён"),"")</f>
        <v/>
      </c>
    </row>
    <row r="420" spans="1:11">
      <c r="A420" t="str">
        <f>IF(B420="","","VIS_"&amp;(YEAR(B420)*10000+MONTH(B420)*100+DAY(B420))&amp;"_"&amp;IF(COUNTIF($B$5:B420,B420)&lt;10,"00"&amp;COUNTIF($B$5:B420,B420),IF(COUNTIF($B$5:B420,B420)&lt;100,"0"&amp;COUNTIF($B$5:B420,B420),COUNTIF($B$5:B420,B420))))</f>
        <v>VIS_20261229_001</v>
      </c>
      <c r="B420" s="40">
        <v>46385</v>
      </c>
      <c r="C420" s="47" t="str">
        <f t="shared" si="12"/>
        <v>Вт</v>
      </c>
      <c r="I420" s="46"/>
      <c r="J420" s="39">
        <f t="shared" si="13"/>
        <v>46379</v>
      </c>
      <c r="K420" t="str">
        <f ca="1">IF(AND(B420&gt;='План недели'!$B$4,B420&lt;'План недели'!$D$4,D420&lt;&gt;"",G420&lt;&gt;"Отменён"),COUNTIFS($B$5:B420,"&gt;="&amp;'План недели'!$B$4,$B$5:B420,"&lt;"&amp;'План недели'!$D$4,$D$5:D420,"&lt;&gt;",$G$5:G420,"&lt;&gt;Отменён"),"")</f>
        <v/>
      </c>
    </row>
    <row r="421" spans="1:11">
      <c r="A421" t="str">
        <f>IF(B421="","","VIS_"&amp;(YEAR(B421)*10000+MONTH(B421)*100+DAY(B421))&amp;"_"&amp;IF(COUNTIF($B$5:B421,B421)&lt;10,"00"&amp;COUNTIF($B$5:B421,B421),IF(COUNTIF($B$5:B421,B421)&lt;100,"0"&amp;COUNTIF($B$5:B421,B421),COUNTIF($B$5:B421,B421))))</f>
        <v>VIS_20261230_001</v>
      </c>
      <c r="B421" s="40">
        <v>46386</v>
      </c>
      <c r="C421" s="47" t="str">
        <f t="shared" si="12"/>
        <v>Ср</v>
      </c>
      <c r="I421" s="46"/>
      <c r="J421" s="39">
        <f t="shared" si="13"/>
        <v>46386</v>
      </c>
      <c r="K421" t="str">
        <f ca="1">IF(AND(B421&gt;='План недели'!$B$4,B421&lt;'План недели'!$D$4,D421&lt;&gt;"",G421&lt;&gt;"Отменён"),COUNTIFS($B$5:B421,"&gt;="&amp;'План недели'!$B$4,$B$5:B421,"&lt;"&amp;'План недели'!$D$4,$D$5:D421,"&lt;&gt;",$G$5:G421,"&lt;&gt;Отменён"),"")</f>
        <v/>
      </c>
    </row>
    <row r="422" spans="1:11">
      <c r="A422" t="str">
        <f>IF(B422="","","VIS_"&amp;(YEAR(B422)*10000+MONTH(B422)*100+DAY(B422))&amp;"_"&amp;IF(COUNTIF($B$5:B422,B422)&lt;10,"00"&amp;COUNTIF($B$5:B422,B422),IF(COUNTIF($B$5:B422,B422)&lt;100,"0"&amp;COUNTIF($B$5:B422,B422),COUNTIF($B$5:B422,B422))))</f>
        <v>VIS_20261231_001</v>
      </c>
      <c r="B422" s="42">
        <v>46387</v>
      </c>
      <c r="C422" s="49" t="str">
        <f t="shared" si="12"/>
        <v>Чт</v>
      </c>
      <c r="I422" s="46"/>
      <c r="J422" s="39">
        <f t="shared" si="13"/>
        <v>46386</v>
      </c>
      <c r="K422" t="str">
        <f ca="1">IF(AND(B422&gt;='План недели'!$B$4,B422&lt;'План недели'!$D$4,D422&lt;&gt;"",G422&lt;&gt;"Отменён"),COUNTIFS($B$5:B422,"&gt;="&amp;'План недели'!$B$4,$B$5:B422,"&lt;"&amp;'План недели'!$D$4,$D$5:D422,"&lt;&gt;",$G$5:G422,"&lt;&gt;Отменён"),"")</f>
        <v/>
      </c>
    </row>
    <row r="423" spans="1:11">
      <c r="A423" t="str">
        <f>IF(B423="","","VIS_"&amp;(YEAR(B423)*10000+MONTH(B423)*100+DAY(B423))&amp;"_"&amp;IF(COUNTIF($B$5:B423,B423)&lt;10,"00"&amp;COUNTIF($B$5:B423,B423),IF(COUNTIF($B$5:B423,B423)&lt;100,"0"&amp;COUNTIF($B$5:B423,B423),COUNTIF($B$5:B423,B423))))</f>
        <v>VIS_20270101_001</v>
      </c>
      <c r="B423" s="40">
        <v>46388</v>
      </c>
      <c r="C423" s="47" t="str">
        <f t="shared" si="12"/>
        <v>Пт</v>
      </c>
      <c r="I423" s="46"/>
      <c r="J423" s="39">
        <f t="shared" si="13"/>
        <v>46386</v>
      </c>
      <c r="K423" t="str">
        <f ca="1">IF(AND(B423&gt;='План недели'!$B$4,B423&lt;'План недели'!$D$4,D423&lt;&gt;"",G423&lt;&gt;"Отменён"),COUNTIFS($B$5:B423,"&gt;="&amp;'План недели'!$B$4,$B$5:B423,"&lt;"&amp;'План недели'!$D$4,$D$5:D423,"&lt;&gt;",$G$5:G423,"&lt;&gt;Отменён"),"")</f>
        <v/>
      </c>
    </row>
    <row r="424" spans="1:11">
      <c r="A424" t="str">
        <f>IF(B424="","","VIS_"&amp;(YEAR(B424)*10000+MONTH(B424)*100+DAY(B424))&amp;"_"&amp;IF(COUNTIF($B$5:B424,B424)&lt;10,"00"&amp;COUNTIF($B$5:B424,B424),IF(COUNTIF($B$5:B424,B424)&lt;100,"0"&amp;COUNTIF($B$5:B424,B424),COUNTIF($B$5:B424,B424))))</f>
        <v>VIS_20270102_001</v>
      </c>
      <c r="B424" s="42">
        <v>46389</v>
      </c>
      <c r="C424" s="49" t="str">
        <f t="shared" si="12"/>
        <v>Сб</v>
      </c>
      <c r="I424" s="46"/>
      <c r="J424" s="39">
        <f t="shared" si="13"/>
        <v>46386</v>
      </c>
      <c r="K424" t="str">
        <f ca="1">IF(AND(B424&gt;='План недели'!$B$4,B424&lt;'План недели'!$D$4,D424&lt;&gt;"",G424&lt;&gt;"Отменён"),COUNTIFS($B$5:B424,"&gt;="&amp;'План недели'!$B$4,$B$5:B424,"&lt;"&amp;'План недели'!$D$4,$D$5:D424,"&lt;&gt;",$G$5:G424,"&lt;&gt;Отменён"),"")</f>
        <v/>
      </c>
    </row>
    <row r="425" spans="1:11">
      <c r="A425" t="str">
        <f>IF(B425="","","VIS_"&amp;(YEAR(B425)*10000+MONTH(B425)*100+DAY(B425))&amp;"_"&amp;IF(COUNTIF($B$5:B425,B425)&lt;10,"00"&amp;COUNTIF($B$5:B425,B425),IF(COUNTIF($B$5:B425,B425)&lt;100,"0"&amp;COUNTIF($B$5:B425,B425),COUNTIF($B$5:B425,B425))))</f>
        <v>VIS_20270103_001</v>
      </c>
      <c r="B425" s="42">
        <v>46390</v>
      </c>
      <c r="C425" s="49" t="str">
        <f t="shared" si="12"/>
        <v>Вс</v>
      </c>
      <c r="I425" s="46"/>
      <c r="J425" s="39">
        <f t="shared" si="13"/>
        <v>46386</v>
      </c>
      <c r="K425" t="str">
        <f ca="1">IF(AND(B425&gt;='План недели'!$B$4,B425&lt;'План недели'!$D$4,D425&lt;&gt;"",G425&lt;&gt;"Отменён"),COUNTIFS($B$5:B425,"&gt;="&amp;'План недели'!$B$4,$B$5:B425,"&lt;"&amp;'План недели'!$D$4,$D$5:D425,"&lt;&gt;",$G$5:G425,"&lt;&gt;Отменён"),"")</f>
        <v/>
      </c>
    </row>
    <row r="426" spans="1:11">
      <c r="A426" t="str">
        <f>IF(B426="","","VIS_"&amp;(YEAR(B426)*10000+MONTH(B426)*100+DAY(B426))&amp;"_"&amp;IF(COUNTIF($B$5:B426,B426)&lt;10,"00"&amp;COUNTIF($B$5:B426,B426),IF(COUNTIF($B$5:B426,B426)&lt;100,"0"&amp;COUNTIF($B$5:B426,B426),COUNTIF($B$5:B426,B426))))</f>
        <v>VIS_20270104_001</v>
      </c>
      <c r="B426" s="40">
        <v>46391</v>
      </c>
      <c r="C426" s="47" t="str">
        <f t="shared" si="12"/>
        <v>Пн</v>
      </c>
      <c r="I426" s="46"/>
      <c r="J426" s="39">
        <f t="shared" si="13"/>
        <v>46386</v>
      </c>
      <c r="K426" t="str">
        <f ca="1">IF(AND(B426&gt;='План недели'!$B$4,B426&lt;'План недели'!$D$4,D426&lt;&gt;"",G426&lt;&gt;"Отменён"),COUNTIFS($B$5:B426,"&gt;="&amp;'План недели'!$B$4,$B$5:B426,"&lt;"&amp;'План недели'!$D$4,$D$5:D426,"&lt;&gt;",$G$5:G426,"&lt;&gt;Отменён"),"")</f>
        <v/>
      </c>
    </row>
    <row r="427" spans="1:11">
      <c r="A427" t="str">
        <f>IF(B427="","","VIS_"&amp;(YEAR(B427)*10000+MONTH(B427)*100+DAY(B427))&amp;"_"&amp;IF(COUNTIF($B$5:B427,B427)&lt;10,"00"&amp;COUNTIF($B$5:B427,B427),IF(COUNTIF($B$5:B427,B427)&lt;100,"0"&amp;COUNTIF($B$5:B427,B427),COUNTIF($B$5:B427,B427))))</f>
        <v>VIS_20270105_001</v>
      </c>
      <c r="B427" s="40">
        <v>46392</v>
      </c>
      <c r="C427" s="47" t="str">
        <f t="shared" si="12"/>
        <v>Вт</v>
      </c>
      <c r="I427" s="46"/>
      <c r="J427" s="39">
        <f t="shared" si="13"/>
        <v>46386</v>
      </c>
      <c r="K427" t="str">
        <f ca="1">IF(AND(B427&gt;='План недели'!$B$4,B427&lt;'План недели'!$D$4,D427&lt;&gt;"",G427&lt;&gt;"Отменён"),COUNTIFS($B$5:B427,"&gt;="&amp;'План недели'!$B$4,$B$5:B427,"&lt;"&amp;'План недели'!$D$4,$D$5:D427,"&lt;&gt;",$G$5:G427,"&lt;&gt;Отменён"),"")</f>
        <v/>
      </c>
    </row>
    <row r="428" spans="1:11">
      <c r="A428" t="str">
        <f>IF(B428="","","VIS_"&amp;(YEAR(B428)*10000+MONTH(B428)*100+DAY(B428))&amp;"_"&amp;IF(COUNTIF($B$5:B428,B428)&lt;10,"00"&amp;COUNTIF($B$5:B428,B428),IF(COUNTIF($B$5:B428,B428)&lt;100,"0"&amp;COUNTIF($B$5:B428,B428),COUNTIF($B$5:B428,B428))))</f>
        <v>VIS_20270106_001</v>
      </c>
      <c r="B428" s="40">
        <v>46393</v>
      </c>
      <c r="C428" s="47" t="str">
        <f t="shared" si="12"/>
        <v>Ср</v>
      </c>
      <c r="I428" s="46"/>
      <c r="J428" s="39">
        <f t="shared" si="13"/>
        <v>46393</v>
      </c>
      <c r="K428" t="str">
        <f ca="1">IF(AND(B428&gt;='План недели'!$B$4,B428&lt;'План недели'!$D$4,D428&lt;&gt;"",G428&lt;&gt;"Отменён"),COUNTIFS($B$5:B428,"&gt;="&amp;'План недели'!$B$4,$B$5:B428,"&lt;"&amp;'План недели'!$D$4,$D$5:D428,"&lt;&gt;",$G$5:G428,"&lt;&gt;Отменён"),"")</f>
        <v/>
      </c>
    </row>
    <row r="429" spans="1:11">
      <c r="A429" t="str">
        <f>IF(B429="","","VIS_"&amp;(YEAR(B429)*10000+MONTH(B429)*100+DAY(B429))&amp;"_"&amp;IF(COUNTIF($B$5:B429,B429)&lt;10,"00"&amp;COUNTIF($B$5:B429,B429),IF(COUNTIF($B$5:B429,B429)&lt;100,"0"&amp;COUNTIF($B$5:B429,B429),COUNTIF($B$5:B429,B429))))</f>
        <v>VIS_20270107_001</v>
      </c>
      <c r="B429" s="40">
        <v>46394</v>
      </c>
      <c r="C429" s="47" t="str">
        <f t="shared" si="12"/>
        <v>Чт</v>
      </c>
      <c r="I429" s="46"/>
      <c r="J429" s="39">
        <f t="shared" si="13"/>
        <v>46393</v>
      </c>
      <c r="K429" t="str">
        <f ca="1">IF(AND(B429&gt;='План недели'!$B$4,B429&lt;'План недели'!$D$4,D429&lt;&gt;"",G429&lt;&gt;"Отменён"),COUNTIFS($B$5:B429,"&gt;="&amp;'План недели'!$B$4,$B$5:B429,"&lt;"&amp;'План недели'!$D$4,$D$5:D429,"&lt;&gt;",$G$5:G429,"&lt;&gt;Отменён"),"")</f>
        <v/>
      </c>
    </row>
    <row r="430" spans="1:11">
      <c r="A430" t="str">
        <f>IF(B430="","","VIS_"&amp;(YEAR(B430)*10000+MONTH(B430)*100+DAY(B430))&amp;"_"&amp;IF(COUNTIF($B$5:B430,B430)&lt;10,"00"&amp;COUNTIF($B$5:B430,B430),IF(COUNTIF($B$5:B430,B430)&lt;100,"0"&amp;COUNTIF($B$5:B430,B430),COUNTIF($B$5:B430,B430))))</f>
        <v>VIS_20270108_001</v>
      </c>
      <c r="B430" s="40">
        <v>46395</v>
      </c>
      <c r="C430" s="47" t="str">
        <f t="shared" si="12"/>
        <v>Пт</v>
      </c>
      <c r="I430" s="46"/>
      <c r="J430" s="39">
        <f t="shared" si="13"/>
        <v>46393</v>
      </c>
      <c r="K430" t="str">
        <f ca="1">IF(AND(B430&gt;='План недели'!$B$4,B430&lt;'План недели'!$D$4,D430&lt;&gt;"",G430&lt;&gt;"Отменён"),COUNTIFS($B$5:B430,"&gt;="&amp;'План недели'!$B$4,$B$5:B430,"&lt;"&amp;'План недели'!$D$4,$D$5:D430,"&lt;&gt;",$G$5:G430,"&lt;&gt;Отменён"),"")</f>
        <v/>
      </c>
    </row>
    <row r="431" spans="1:11">
      <c r="A431" t="str">
        <f>IF(B431="","","VIS_"&amp;(YEAR(B431)*10000+MONTH(B431)*100+DAY(B431))&amp;"_"&amp;IF(COUNTIF($B$5:B431,B431)&lt;10,"00"&amp;COUNTIF($B$5:B431,B431),IF(COUNTIF($B$5:B431,B431)&lt;100,"0"&amp;COUNTIF($B$5:B431,B431),COUNTIF($B$5:B431,B431))))</f>
        <v>VIS_20270109_001</v>
      </c>
      <c r="B431" s="42">
        <v>46396</v>
      </c>
      <c r="C431" s="49" t="str">
        <f t="shared" si="12"/>
        <v>Сб</v>
      </c>
      <c r="I431" s="46"/>
      <c r="J431" s="39">
        <f t="shared" si="13"/>
        <v>46393</v>
      </c>
      <c r="K431" t="str">
        <f ca="1">IF(AND(B431&gt;='План недели'!$B$4,B431&lt;'План недели'!$D$4,D431&lt;&gt;"",G431&lt;&gt;"Отменён"),COUNTIFS($B$5:B431,"&gt;="&amp;'План недели'!$B$4,$B$5:B431,"&lt;"&amp;'План недели'!$D$4,$D$5:D431,"&lt;&gt;",$G$5:G431,"&lt;&gt;Отменён"),"")</f>
        <v/>
      </c>
    </row>
    <row r="432" spans="1:11">
      <c r="A432" t="str">
        <f>IF(B432="","","VIS_"&amp;(YEAR(B432)*10000+MONTH(B432)*100+DAY(B432))&amp;"_"&amp;IF(COUNTIF($B$5:B432,B432)&lt;10,"00"&amp;COUNTIF($B$5:B432,B432),IF(COUNTIF($B$5:B432,B432)&lt;100,"0"&amp;COUNTIF($B$5:B432,B432),COUNTIF($B$5:B432,B432))))</f>
        <v>VIS_20270110_001</v>
      </c>
      <c r="B432" s="42">
        <v>46397</v>
      </c>
      <c r="C432" s="49" t="str">
        <f t="shared" si="12"/>
        <v>Вс</v>
      </c>
      <c r="I432" s="46"/>
      <c r="J432" s="39">
        <f t="shared" si="13"/>
        <v>46393</v>
      </c>
      <c r="K432" t="str">
        <f ca="1">IF(AND(B432&gt;='План недели'!$B$4,B432&lt;'План недели'!$D$4,D432&lt;&gt;"",G432&lt;&gt;"Отменён"),COUNTIFS($B$5:B432,"&gt;="&amp;'План недели'!$B$4,$B$5:B432,"&lt;"&amp;'План недели'!$D$4,$D$5:D432,"&lt;&gt;",$G$5:G432,"&lt;&gt;Отменён"),"")</f>
        <v/>
      </c>
    </row>
    <row r="433" spans="1:11">
      <c r="A433" t="str">
        <f>IF(B433="","","VIS_"&amp;(YEAR(B433)*10000+MONTH(B433)*100+DAY(B433))&amp;"_"&amp;IF(COUNTIF($B$5:B433,B433)&lt;10,"00"&amp;COUNTIF($B$5:B433,B433),IF(COUNTIF($B$5:B433,B433)&lt;100,"0"&amp;COUNTIF($B$5:B433,B433),COUNTIF($B$5:B433,B433))))</f>
        <v>VIS_20270111_001</v>
      </c>
      <c r="B433" s="40">
        <v>46398</v>
      </c>
      <c r="C433" s="47" t="str">
        <f t="shared" si="12"/>
        <v>Пн</v>
      </c>
      <c r="I433" s="46"/>
      <c r="J433" s="39">
        <f t="shared" si="13"/>
        <v>46393</v>
      </c>
      <c r="K433" t="str">
        <f ca="1">IF(AND(B433&gt;='План недели'!$B$4,B433&lt;'План недели'!$D$4,D433&lt;&gt;"",G433&lt;&gt;"Отменён"),COUNTIFS($B$5:B433,"&gt;="&amp;'План недели'!$B$4,$B$5:B433,"&lt;"&amp;'План недели'!$D$4,$D$5:D433,"&lt;&gt;",$G$5:G433,"&lt;&gt;Отменён"),"")</f>
        <v/>
      </c>
    </row>
    <row r="434" spans="1:11">
      <c r="A434" t="str">
        <f>IF(B434="","","VIS_"&amp;(YEAR(B434)*10000+MONTH(B434)*100+DAY(B434))&amp;"_"&amp;IF(COUNTIF($B$5:B434,B434)&lt;10,"00"&amp;COUNTIF($B$5:B434,B434),IF(COUNTIF($B$5:B434,B434)&lt;100,"0"&amp;COUNTIF($B$5:B434,B434),COUNTIF($B$5:B434,B434))))</f>
        <v>VIS_20270112_001</v>
      </c>
      <c r="B434" s="40">
        <v>46399</v>
      </c>
      <c r="C434" s="47" t="str">
        <f t="shared" si="12"/>
        <v>Вт</v>
      </c>
      <c r="I434" s="46"/>
      <c r="J434" s="39">
        <f t="shared" si="13"/>
        <v>46393</v>
      </c>
      <c r="K434" t="str">
        <f ca="1">IF(AND(B434&gt;='План недели'!$B$4,B434&lt;'План недели'!$D$4,D434&lt;&gt;"",G434&lt;&gt;"Отменён"),COUNTIFS($B$5:B434,"&gt;="&amp;'План недели'!$B$4,$B$5:B434,"&lt;"&amp;'План недели'!$D$4,$D$5:D434,"&lt;&gt;",$G$5:G434,"&lt;&gt;Отменён"),"")</f>
        <v/>
      </c>
    </row>
    <row r="435" spans="1:11">
      <c r="A435" t="str">
        <f>IF(B435="","","VIS_"&amp;(YEAR(B435)*10000+MONTH(B435)*100+DAY(B435))&amp;"_"&amp;IF(COUNTIF($B$5:B435,B435)&lt;10,"00"&amp;COUNTIF($B$5:B435,B435),IF(COUNTIF($B$5:B435,B435)&lt;100,"0"&amp;COUNTIF($B$5:B435,B435),COUNTIF($B$5:B435,B435))))</f>
        <v>VIS_20270113_001</v>
      </c>
      <c r="B435" s="40">
        <v>46400</v>
      </c>
      <c r="C435" s="47" t="str">
        <f t="shared" si="12"/>
        <v>Ср</v>
      </c>
      <c r="I435" s="46"/>
      <c r="J435" s="39">
        <f t="shared" si="13"/>
        <v>46400</v>
      </c>
      <c r="K435" t="str">
        <f ca="1">IF(AND(B435&gt;='План недели'!$B$4,B435&lt;'План недели'!$D$4,D435&lt;&gt;"",G435&lt;&gt;"Отменён"),COUNTIFS($B$5:B435,"&gt;="&amp;'План недели'!$B$4,$B$5:B435,"&lt;"&amp;'План недели'!$D$4,$D$5:D435,"&lt;&gt;",$G$5:G435,"&lt;&gt;Отменён"),"")</f>
        <v/>
      </c>
    </row>
    <row r="436" spans="1:11">
      <c r="A436" t="str">
        <f>IF(B436="","","VIS_"&amp;(YEAR(B436)*10000+MONTH(B436)*100+DAY(B436))&amp;"_"&amp;IF(COUNTIF($B$5:B436,B436)&lt;10,"00"&amp;COUNTIF($B$5:B436,B436),IF(COUNTIF($B$5:B436,B436)&lt;100,"0"&amp;COUNTIF($B$5:B436,B436),COUNTIF($B$5:B436,B436))))</f>
        <v>VIS_20270114_001</v>
      </c>
      <c r="B436" s="40">
        <v>46401</v>
      </c>
      <c r="C436" s="47" t="str">
        <f t="shared" si="12"/>
        <v>Чт</v>
      </c>
      <c r="I436" s="46"/>
      <c r="J436" s="39">
        <f t="shared" si="13"/>
        <v>46400</v>
      </c>
      <c r="K436" t="str">
        <f ca="1">IF(AND(B436&gt;='План недели'!$B$4,B436&lt;'План недели'!$D$4,D436&lt;&gt;"",G436&lt;&gt;"Отменён"),COUNTIFS($B$5:B436,"&gt;="&amp;'План недели'!$B$4,$B$5:B436,"&lt;"&amp;'План недели'!$D$4,$D$5:D436,"&lt;&gt;",$G$5:G436,"&lt;&gt;Отменён"),"")</f>
        <v/>
      </c>
    </row>
    <row r="437" spans="1:11">
      <c r="A437" t="str">
        <f>IF(B437="","","VIS_"&amp;(YEAR(B437)*10000+MONTH(B437)*100+DAY(B437))&amp;"_"&amp;IF(COUNTIF($B$5:B437,B437)&lt;10,"00"&amp;COUNTIF($B$5:B437,B437),IF(COUNTIF($B$5:B437,B437)&lt;100,"0"&amp;COUNTIF($B$5:B437,B437),COUNTIF($B$5:B437,B437))))</f>
        <v>VIS_20270115_001</v>
      </c>
      <c r="B437" s="40">
        <v>46402</v>
      </c>
      <c r="C437" s="47" t="str">
        <f t="shared" si="12"/>
        <v>Пт</v>
      </c>
      <c r="I437" s="46"/>
      <c r="J437" s="39">
        <f t="shared" si="13"/>
        <v>46400</v>
      </c>
      <c r="K437" t="str">
        <f ca="1">IF(AND(B437&gt;='План недели'!$B$4,B437&lt;'План недели'!$D$4,D437&lt;&gt;"",G437&lt;&gt;"Отменён"),COUNTIFS($B$5:B437,"&gt;="&amp;'План недели'!$B$4,$B$5:B437,"&lt;"&amp;'План недели'!$D$4,$D$5:D437,"&lt;&gt;",$G$5:G437,"&lt;&gt;Отменён"),"")</f>
        <v/>
      </c>
    </row>
    <row r="438" spans="1:11">
      <c r="A438" t="str">
        <f>IF(B438="","","VIS_"&amp;(YEAR(B438)*10000+MONTH(B438)*100+DAY(B438))&amp;"_"&amp;IF(COUNTIF($B$5:B438,B438)&lt;10,"00"&amp;COUNTIF($B$5:B438,B438),IF(COUNTIF($B$5:B438,B438)&lt;100,"0"&amp;COUNTIF($B$5:B438,B438),COUNTIF($B$5:B438,B438))))</f>
        <v>VIS_20270116_001</v>
      </c>
      <c r="B438" s="42">
        <v>46403</v>
      </c>
      <c r="C438" s="49" t="str">
        <f t="shared" si="12"/>
        <v>Сб</v>
      </c>
      <c r="I438" s="46"/>
      <c r="J438" s="39">
        <f t="shared" si="13"/>
        <v>46400</v>
      </c>
      <c r="K438" t="str">
        <f ca="1">IF(AND(B438&gt;='План недели'!$B$4,B438&lt;'План недели'!$D$4,D438&lt;&gt;"",G438&lt;&gt;"Отменён"),COUNTIFS($B$5:B438,"&gt;="&amp;'План недели'!$B$4,$B$5:B438,"&lt;"&amp;'План недели'!$D$4,$D$5:D438,"&lt;&gt;",$G$5:G438,"&lt;&gt;Отменён"),"")</f>
        <v/>
      </c>
    </row>
    <row r="439" spans="1:11">
      <c r="A439" t="str">
        <f>IF(B439="","","VIS_"&amp;(YEAR(B439)*10000+MONTH(B439)*100+DAY(B439))&amp;"_"&amp;IF(COUNTIF($B$5:B439,B439)&lt;10,"00"&amp;COUNTIF($B$5:B439,B439),IF(COUNTIF($B$5:B439,B439)&lt;100,"0"&amp;COUNTIF($B$5:B439,B439),COUNTIF($B$5:B439,B439))))</f>
        <v>VIS_20270117_001</v>
      </c>
      <c r="B439" s="42">
        <v>46404</v>
      </c>
      <c r="C439" s="49" t="str">
        <f t="shared" si="12"/>
        <v>Вс</v>
      </c>
      <c r="I439" s="46"/>
      <c r="J439" s="39">
        <f t="shared" si="13"/>
        <v>46400</v>
      </c>
      <c r="K439" t="str">
        <f ca="1">IF(AND(B439&gt;='План недели'!$B$4,B439&lt;'План недели'!$D$4,D439&lt;&gt;"",G439&lt;&gt;"Отменён"),COUNTIFS($B$5:B439,"&gt;="&amp;'План недели'!$B$4,$B$5:B439,"&lt;"&amp;'План недели'!$D$4,$D$5:D439,"&lt;&gt;",$G$5:G439,"&lt;&gt;Отменён"),"")</f>
        <v/>
      </c>
    </row>
    <row r="440" spans="1:11">
      <c r="A440" t="str">
        <f>IF(B440="","","VIS_"&amp;(YEAR(B440)*10000+MONTH(B440)*100+DAY(B440))&amp;"_"&amp;IF(COUNTIF($B$5:B440,B440)&lt;10,"00"&amp;COUNTIF($B$5:B440,B440),IF(COUNTIF($B$5:B440,B440)&lt;100,"0"&amp;COUNTIF($B$5:B440,B440),COUNTIF($B$5:B440,B440))))</f>
        <v>VIS_20270118_001</v>
      </c>
      <c r="B440" s="40">
        <v>46405</v>
      </c>
      <c r="C440" s="47" t="str">
        <f t="shared" si="12"/>
        <v>Пн</v>
      </c>
      <c r="I440" s="46"/>
      <c r="J440" s="39">
        <f t="shared" si="13"/>
        <v>46400</v>
      </c>
      <c r="K440" t="str">
        <f ca="1">IF(AND(B440&gt;='План недели'!$B$4,B440&lt;'План недели'!$D$4,D440&lt;&gt;"",G440&lt;&gt;"Отменён"),COUNTIFS($B$5:B440,"&gt;="&amp;'План недели'!$B$4,$B$5:B440,"&lt;"&amp;'План недели'!$D$4,$D$5:D440,"&lt;&gt;",$G$5:G440,"&lt;&gt;Отменён"),"")</f>
        <v/>
      </c>
    </row>
    <row r="441" spans="1:11">
      <c r="A441" t="str">
        <f>IF(B441="","","VIS_"&amp;(YEAR(B441)*10000+MONTH(B441)*100+DAY(B441))&amp;"_"&amp;IF(COUNTIF($B$5:B441,B441)&lt;10,"00"&amp;COUNTIF($B$5:B441,B441),IF(COUNTIF($B$5:B441,B441)&lt;100,"0"&amp;COUNTIF($B$5:B441,B441),COUNTIF($B$5:B441,B441))))</f>
        <v>VIS_20270119_001</v>
      </c>
      <c r="B441" s="40">
        <v>46406</v>
      </c>
      <c r="C441" s="47" t="str">
        <f t="shared" si="12"/>
        <v>Вт</v>
      </c>
      <c r="I441" s="46"/>
      <c r="J441" s="39">
        <f t="shared" si="13"/>
        <v>46400</v>
      </c>
      <c r="K441" t="str">
        <f ca="1">IF(AND(B441&gt;='План недели'!$B$4,B441&lt;'План недели'!$D$4,D441&lt;&gt;"",G441&lt;&gt;"Отменён"),COUNTIFS($B$5:B441,"&gt;="&amp;'План недели'!$B$4,$B$5:B441,"&lt;"&amp;'План недели'!$D$4,$D$5:D441,"&lt;&gt;",$G$5:G441,"&lt;&gt;Отменён"),"")</f>
        <v/>
      </c>
    </row>
    <row r="442" spans="1:11">
      <c r="A442" t="str">
        <f>IF(B442="","","VIS_"&amp;(YEAR(B442)*10000+MONTH(B442)*100+DAY(B442))&amp;"_"&amp;IF(COUNTIF($B$5:B442,B442)&lt;10,"00"&amp;COUNTIF($B$5:B442,B442),IF(COUNTIF($B$5:B442,B442)&lt;100,"0"&amp;COUNTIF($B$5:B442,B442),COUNTIF($B$5:B442,B442))))</f>
        <v>VIS_20270120_001</v>
      </c>
      <c r="B442" s="40">
        <v>46407</v>
      </c>
      <c r="C442" s="47" t="str">
        <f t="shared" si="12"/>
        <v>Ср</v>
      </c>
      <c r="I442" s="46"/>
      <c r="J442" s="39">
        <f t="shared" si="13"/>
        <v>46407</v>
      </c>
      <c r="K442" t="str">
        <f ca="1">IF(AND(B442&gt;='План недели'!$B$4,B442&lt;'План недели'!$D$4,D442&lt;&gt;"",G442&lt;&gt;"Отменён"),COUNTIFS($B$5:B442,"&gt;="&amp;'План недели'!$B$4,$B$5:B442,"&lt;"&amp;'План недели'!$D$4,$D$5:D442,"&lt;&gt;",$G$5:G442,"&lt;&gt;Отменён"),"")</f>
        <v/>
      </c>
    </row>
    <row r="443" spans="1:11">
      <c r="A443" t="str">
        <f>IF(B443="","","VIS_"&amp;(YEAR(B443)*10000+MONTH(B443)*100+DAY(B443))&amp;"_"&amp;IF(COUNTIF($B$5:B443,B443)&lt;10,"00"&amp;COUNTIF($B$5:B443,B443),IF(COUNTIF($B$5:B443,B443)&lt;100,"0"&amp;COUNTIF($B$5:B443,B443),COUNTIF($B$5:B443,B443))))</f>
        <v>VIS_20270121_001</v>
      </c>
      <c r="B443" s="40">
        <v>46408</v>
      </c>
      <c r="C443" s="47" t="str">
        <f t="shared" si="12"/>
        <v>Чт</v>
      </c>
      <c r="I443" s="46"/>
      <c r="J443" s="39">
        <f t="shared" si="13"/>
        <v>46407</v>
      </c>
      <c r="K443" t="str">
        <f ca="1">IF(AND(B443&gt;='План недели'!$B$4,B443&lt;'План недели'!$D$4,D443&lt;&gt;"",G443&lt;&gt;"Отменён"),COUNTIFS($B$5:B443,"&gt;="&amp;'План недели'!$B$4,$B$5:B443,"&lt;"&amp;'План недели'!$D$4,$D$5:D443,"&lt;&gt;",$G$5:G443,"&lt;&gt;Отменён"),"")</f>
        <v/>
      </c>
    </row>
    <row r="444" spans="1:11">
      <c r="A444" t="str">
        <f>IF(B444="","","VIS_"&amp;(YEAR(B444)*10000+MONTH(B444)*100+DAY(B444))&amp;"_"&amp;IF(COUNTIF($B$5:B444,B444)&lt;10,"00"&amp;COUNTIF($B$5:B444,B444),IF(COUNTIF($B$5:B444,B444)&lt;100,"0"&amp;COUNTIF($B$5:B444,B444),COUNTIF($B$5:B444,B444))))</f>
        <v>VIS_20270122_001</v>
      </c>
      <c r="B444" s="40">
        <v>46409</v>
      </c>
      <c r="C444" s="47" t="str">
        <f t="shared" si="12"/>
        <v>Пт</v>
      </c>
      <c r="I444" s="46"/>
      <c r="J444" s="39">
        <f t="shared" si="13"/>
        <v>46407</v>
      </c>
      <c r="K444" t="str">
        <f ca="1">IF(AND(B444&gt;='План недели'!$B$4,B444&lt;'План недели'!$D$4,D444&lt;&gt;"",G444&lt;&gt;"Отменён"),COUNTIFS($B$5:B444,"&gt;="&amp;'План недели'!$B$4,$B$5:B444,"&lt;"&amp;'План недели'!$D$4,$D$5:D444,"&lt;&gt;",$G$5:G444,"&lt;&gt;Отменён"),"")</f>
        <v/>
      </c>
    </row>
    <row r="445" spans="1:11">
      <c r="A445" t="str">
        <f>IF(B445="","","VIS_"&amp;(YEAR(B445)*10000+MONTH(B445)*100+DAY(B445))&amp;"_"&amp;IF(COUNTIF($B$5:B445,B445)&lt;10,"00"&amp;COUNTIF($B$5:B445,B445),IF(COUNTIF($B$5:B445,B445)&lt;100,"0"&amp;COUNTIF($B$5:B445,B445),COUNTIF($B$5:B445,B445))))</f>
        <v>VIS_20270123_001</v>
      </c>
      <c r="B445" s="42">
        <v>46410</v>
      </c>
      <c r="C445" s="49" t="str">
        <f t="shared" si="12"/>
        <v>Сб</v>
      </c>
      <c r="I445" s="46"/>
      <c r="J445" s="39">
        <f t="shared" si="13"/>
        <v>46407</v>
      </c>
      <c r="K445" t="str">
        <f ca="1">IF(AND(B445&gt;='План недели'!$B$4,B445&lt;'План недели'!$D$4,D445&lt;&gt;"",G445&lt;&gt;"Отменён"),COUNTIFS($B$5:B445,"&gt;="&amp;'План недели'!$B$4,$B$5:B445,"&lt;"&amp;'План недели'!$D$4,$D$5:D445,"&lt;&gt;",$G$5:G445,"&lt;&gt;Отменён"),"")</f>
        <v/>
      </c>
    </row>
    <row r="446" spans="1:11">
      <c r="A446" t="str">
        <f>IF(B446="","","VIS_"&amp;(YEAR(B446)*10000+MONTH(B446)*100+DAY(B446))&amp;"_"&amp;IF(COUNTIF($B$5:B446,B446)&lt;10,"00"&amp;COUNTIF($B$5:B446,B446),IF(COUNTIF($B$5:B446,B446)&lt;100,"0"&amp;COUNTIF($B$5:B446,B446),COUNTIF($B$5:B446,B446))))</f>
        <v>VIS_20270124_001</v>
      </c>
      <c r="B446" s="42">
        <v>46411</v>
      </c>
      <c r="C446" s="49" t="str">
        <f t="shared" si="12"/>
        <v>Вс</v>
      </c>
      <c r="I446" s="46"/>
      <c r="J446" s="39">
        <f t="shared" si="13"/>
        <v>46407</v>
      </c>
      <c r="K446" t="str">
        <f ca="1">IF(AND(B446&gt;='План недели'!$B$4,B446&lt;'План недели'!$D$4,D446&lt;&gt;"",G446&lt;&gt;"Отменён"),COUNTIFS($B$5:B446,"&gt;="&amp;'План недели'!$B$4,$B$5:B446,"&lt;"&amp;'План недели'!$D$4,$D$5:D446,"&lt;&gt;",$G$5:G446,"&lt;&gt;Отменён"),"")</f>
        <v/>
      </c>
    </row>
    <row r="447" spans="1:11">
      <c r="A447" t="str">
        <f>IF(B447="","","VIS_"&amp;(YEAR(B447)*10000+MONTH(B447)*100+DAY(B447))&amp;"_"&amp;IF(COUNTIF($B$5:B447,B447)&lt;10,"00"&amp;COUNTIF($B$5:B447,B447),IF(COUNTIF($B$5:B447,B447)&lt;100,"0"&amp;COUNTIF($B$5:B447,B447),COUNTIF($B$5:B447,B447))))</f>
        <v>VIS_20270125_001</v>
      </c>
      <c r="B447" s="40">
        <v>46412</v>
      </c>
      <c r="C447" s="47" t="str">
        <f t="shared" si="12"/>
        <v>Пн</v>
      </c>
      <c r="I447" s="46"/>
      <c r="J447" s="39">
        <f t="shared" si="13"/>
        <v>46407</v>
      </c>
      <c r="K447" t="str">
        <f ca="1">IF(AND(B447&gt;='План недели'!$B$4,B447&lt;'План недели'!$D$4,D447&lt;&gt;"",G447&lt;&gt;"Отменён"),COUNTIFS($B$5:B447,"&gt;="&amp;'План недели'!$B$4,$B$5:B447,"&lt;"&amp;'План недели'!$D$4,$D$5:D447,"&lt;&gt;",$G$5:G447,"&lt;&gt;Отменён"),"")</f>
        <v/>
      </c>
    </row>
    <row r="448" spans="1:11">
      <c r="A448" t="str">
        <f>IF(B448="","","VIS_"&amp;(YEAR(B448)*10000+MONTH(B448)*100+DAY(B448))&amp;"_"&amp;IF(COUNTIF($B$5:B448,B448)&lt;10,"00"&amp;COUNTIF($B$5:B448,B448),IF(COUNTIF($B$5:B448,B448)&lt;100,"0"&amp;COUNTIF($B$5:B448,B448),COUNTIF($B$5:B448,B448))))</f>
        <v>VIS_20270126_001</v>
      </c>
      <c r="B448" s="40">
        <v>46413</v>
      </c>
      <c r="C448" s="47" t="str">
        <f t="shared" si="12"/>
        <v>Вт</v>
      </c>
      <c r="I448" s="46"/>
      <c r="J448" s="39">
        <f t="shared" si="13"/>
        <v>46407</v>
      </c>
      <c r="K448" t="str">
        <f ca="1">IF(AND(B448&gt;='План недели'!$B$4,B448&lt;'План недели'!$D$4,D448&lt;&gt;"",G448&lt;&gt;"Отменён"),COUNTIFS($B$5:B448,"&gt;="&amp;'План недели'!$B$4,$B$5:B448,"&lt;"&amp;'План недели'!$D$4,$D$5:D448,"&lt;&gt;",$G$5:G448,"&lt;&gt;Отменён"),"")</f>
        <v/>
      </c>
    </row>
    <row r="449" spans="1:11">
      <c r="A449" t="str">
        <f>IF(B449="","","VIS_"&amp;(YEAR(B449)*10000+MONTH(B449)*100+DAY(B449))&amp;"_"&amp;IF(COUNTIF($B$5:B449,B449)&lt;10,"00"&amp;COUNTIF($B$5:B449,B449),IF(COUNTIF($B$5:B449,B449)&lt;100,"0"&amp;COUNTIF($B$5:B449,B449),COUNTIF($B$5:B449,B449))))</f>
        <v>VIS_20270127_001</v>
      </c>
      <c r="B449" s="40">
        <v>46414</v>
      </c>
      <c r="C449" s="47" t="str">
        <f t="shared" si="12"/>
        <v>Ср</v>
      </c>
      <c r="I449" s="46"/>
      <c r="J449" s="39">
        <f t="shared" si="13"/>
        <v>46414</v>
      </c>
      <c r="K449" t="str">
        <f ca="1">IF(AND(B449&gt;='План недели'!$B$4,B449&lt;'План недели'!$D$4,D449&lt;&gt;"",G449&lt;&gt;"Отменён"),COUNTIFS($B$5:B449,"&gt;="&amp;'План недели'!$B$4,$B$5:B449,"&lt;"&amp;'План недели'!$D$4,$D$5:D449,"&lt;&gt;",$G$5:G449,"&lt;&gt;Отменён"),"")</f>
        <v/>
      </c>
    </row>
    <row r="450" spans="1:11">
      <c r="A450" t="str">
        <f>IF(B450="","","VIS_"&amp;(YEAR(B450)*10000+MONTH(B450)*100+DAY(B450))&amp;"_"&amp;IF(COUNTIF($B$5:B450,B450)&lt;10,"00"&amp;COUNTIF($B$5:B450,B450),IF(COUNTIF($B$5:B450,B450)&lt;100,"0"&amp;COUNTIF($B$5:B450,B450),COUNTIF($B$5:B450,B450))))</f>
        <v>VIS_20270128_001</v>
      </c>
      <c r="B450" s="40">
        <v>46415</v>
      </c>
      <c r="C450" s="47" t="str">
        <f t="shared" si="12"/>
        <v>Чт</v>
      </c>
      <c r="I450" s="46"/>
      <c r="J450" s="39">
        <f t="shared" si="13"/>
        <v>46414</v>
      </c>
      <c r="K450" t="str">
        <f ca="1">IF(AND(B450&gt;='План недели'!$B$4,B450&lt;'План недели'!$D$4,D450&lt;&gt;"",G450&lt;&gt;"Отменён"),COUNTIFS($B$5:B450,"&gt;="&amp;'План недели'!$B$4,$B$5:B450,"&lt;"&amp;'План недели'!$D$4,$D$5:D450,"&lt;&gt;",$G$5:G450,"&lt;&gt;Отменён"),"")</f>
        <v/>
      </c>
    </row>
    <row r="451" spans="1:11">
      <c r="A451" t="str">
        <f>IF(B451="","","VIS_"&amp;(YEAR(B451)*10000+MONTH(B451)*100+DAY(B451))&amp;"_"&amp;IF(COUNTIF($B$5:B451,B451)&lt;10,"00"&amp;COUNTIF($B$5:B451,B451),IF(COUNTIF($B$5:B451,B451)&lt;100,"0"&amp;COUNTIF($B$5:B451,B451),COUNTIF($B$5:B451,B451))))</f>
        <v>VIS_20270129_001</v>
      </c>
      <c r="B451" s="40">
        <v>46416</v>
      </c>
      <c r="C451" s="47" t="str">
        <f t="shared" si="12"/>
        <v>Пт</v>
      </c>
      <c r="I451" s="46"/>
      <c r="J451" s="39">
        <f t="shared" si="13"/>
        <v>46414</v>
      </c>
      <c r="K451" t="str">
        <f ca="1">IF(AND(B451&gt;='План недели'!$B$4,B451&lt;'План недели'!$D$4,D451&lt;&gt;"",G451&lt;&gt;"Отменён"),COUNTIFS($B$5:B451,"&gt;="&amp;'План недели'!$B$4,$B$5:B451,"&lt;"&amp;'План недели'!$D$4,$D$5:D451,"&lt;&gt;",$G$5:G451,"&lt;&gt;Отменён"),"")</f>
        <v/>
      </c>
    </row>
    <row r="452" spans="1:11">
      <c r="A452" t="str">
        <f>IF(B452="","","VIS_"&amp;(YEAR(B452)*10000+MONTH(B452)*100+DAY(B452))&amp;"_"&amp;IF(COUNTIF($B$5:B452,B452)&lt;10,"00"&amp;COUNTIF($B$5:B452,B452),IF(COUNTIF($B$5:B452,B452)&lt;100,"0"&amp;COUNTIF($B$5:B452,B452),COUNTIF($B$5:B452,B452))))</f>
        <v>VIS_20270130_001</v>
      </c>
      <c r="B452" s="42">
        <v>46417</v>
      </c>
      <c r="C452" s="49" t="str">
        <f t="shared" si="12"/>
        <v>Сб</v>
      </c>
      <c r="I452" s="46"/>
      <c r="J452" s="39">
        <f t="shared" si="13"/>
        <v>46414</v>
      </c>
      <c r="K452" t="str">
        <f ca="1">IF(AND(B452&gt;='План недели'!$B$4,B452&lt;'План недели'!$D$4,D452&lt;&gt;"",G452&lt;&gt;"Отменён"),COUNTIFS($B$5:B452,"&gt;="&amp;'План недели'!$B$4,$B$5:B452,"&lt;"&amp;'План недели'!$D$4,$D$5:D452,"&lt;&gt;",$G$5:G452,"&lt;&gt;Отменён"),"")</f>
        <v/>
      </c>
    </row>
    <row r="453" spans="1:11">
      <c r="A453" t="str">
        <f>IF(B453="","","VIS_"&amp;(YEAR(B453)*10000+MONTH(B453)*100+DAY(B453))&amp;"_"&amp;IF(COUNTIF($B$5:B453,B453)&lt;10,"00"&amp;COUNTIF($B$5:B453,B453),IF(COUNTIF($B$5:B453,B453)&lt;100,"0"&amp;COUNTIF($B$5:B453,B453),COUNTIF($B$5:B453,B453))))</f>
        <v>VIS_20270131_001</v>
      </c>
      <c r="B453" s="42">
        <v>46418</v>
      </c>
      <c r="C453" s="49" t="str">
        <f t="shared" ref="C453:C516" si="14">IF(B453="","",CHOOSE(WEEKDAY(B453,2),"Пн","Вт","Ср","Чт","Пт","Сб","Вс"))</f>
        <v>Вс</v>
      </c>
      <c r="I453" s="46"/>
      <c r="J453" s="39">
        <f t="shared" ref="J453:J516" si="15">IF(B453="","",B453-MOD(WEEKDAY(B453,2)-3,7))</f>
        <v>46414</v>
      </c>
      <c r="K453" t="str">
        <f ca="1">IF(AND(B453&gt;='План недели'!$B$4,B453&lt;'План недели'!$D$4,D453&lt;&gt;"",G453&lt;&gt;"Отменён"),COUNTIFS($B$5:B453,"&gt;="&amp;'План недели'!$B$4,$B$5:B453,"&lt;"&amp;'План недели'!$D$4,$D$5:D453,"&lt;&gt;",$G$5:G453,"&lt;&gt;Отменён"),"")</f>
        <v/>
      </c>
    </row>
    <row r="454" spans="1:11">
      <c r="A454" t="str">
        <f>IF(B454="","","VIS_"&amp;(YEAR(B454)*10000+MONTH(B454)*100+DAY(B454))&amp;"_"&amp;IF(COUNTIF($B$5:B454,B454)&lt;10,"00"&amp;COUNTIF($B$5:B454,B454),IF(COUNTIF($B$5:B454,B454)&lt;100,"0"&amp;COUNTIF($B$5:B454,B454),COUNTIF($B$5:B454,B454))))</f>
        <v>VIS_20270201_001</v>
      </c>
      <c r="B454" s="40">
        <v>46419</v>
      </c>
      <c r="C454" s="47" t="str">
        <f t="shared" si="14"/>
        <v>Пн</v>
      </c>
      <c r="I454" s="46"/>
      <c r="J454" s="39">
        <f t="shared" si="15"/>
        <v>46414</v>
      </c>
      <c r="K454" t="str">
        <f ca="1">IF(AND(B454&gt;='План недели'!$B$4,B454&lt;'План недели'!$D$4,D454&lt;&gt;"",G454&lt;&gt;"Отменён"),COUNTIFS($B$5:B454,"&gt;="&amp;'План недели'!$B$4,$B$5:B454,"&lt;"&amp;'План недели'!$D$4,$D$5:D454,"&lt;&gt;",$G$5:G454,"&lt;&gt;Отменён"),"")</f>
        <v/>
      </c>
    </row>
    <row r="455" spans="1:11">
      <c r="A455" t="str">
        <f>IF(B455="","","VIS_"&amp;(YEAR(B455)*10000+MONTH(B455)*100+DAY(B455))&amp;"_"&amp;IF(COUNTIF($B$5:B455,B455)&lt;10,"00"&amp;COUNTIF($B$5:B455,B455),IF(COUNTIF($B$5:B455,B455)&lt;100,"0"&amp;COUNTIF($B$5:B455,B455),COUNTIF($B$5:B455,B455))))</f>
        <v>VIS_20270202_001</v>
      </c>
      <c r="B455" s="40">
        <v>46420</v>
      </c>
      <c r="C455" s="47" t="str">
        <f t="shared" si="14"/>
        <v>Вт</v>
      </c>
      <c r="I455" s="46"/>
      <c r="J455" s="39">
        <f t="shared" si="15"/>
        <v>46414</v>
      </c>
      <c r="K455" t="str">
        <f ca="1">IF(AND(B455&gt;='План недели'!$B$4,B455&lt;'План недели'!$D$4,D455&lt;&gt;"",G455&lt;&gt;"Отменён"),COUNTIFS($B$5:B455,"&gt;="&amp;'План недели'!$B$4,$B$5:B455,"&lt;"&amp;'План недели'!$D$4,$D$5:D455,"&lt;&gt;",$G$5:G455,"&lt;&gt;Отменён"),"")</f>
        <v/>
      </c>
    </row>
    <row r="456" spans="1:11">
      <c r="A456" t="str">
        <f>IF(B456="","","VIS_"&amp;(YEAR(B456)*10000+MONTH(B456)*100+DAY(B456))&amp;"_"&amp;IF(COUNTIF($B$5:B456,B456)&lt;10,"00"&amp;COUNTIF($B$5:B456,B456),IF(COUNTIF($B$5:B456,B456)&lt;100,"0"&amp;COUNTIF($B$5:B456,B456),COUNTIF($B$5:B456,B456))))</f>
        <v>VIS_20270203_001</v>
      </c>
      <c r="B456" s="40">
        <v>46421</v>
      </c>
      <c r="C456" s="47" t="str">
        <f t="shared" si="14"/>
        <v>Ср</v>
      </c>
      <c r="I456" s="46"/>
      <c r="J456" s="39">
        <f t="shared" si="15"/>
        <v>46421</v>
      </c>
      <c r="K456" t="str">
        <f ca="1">IF(AND(B456&gt;='План недели'!$B$4,B456&lt;'План недели'!$D$4,D456&lt;&gt;"",G456&lt;&gt;"Отменён"),COUNTIFS($B$5:B456,"&gt;="&amp;'План недели'!$B$4,$B$5:B456,"&lt;"&amp;'План недели'!$D$4,$D$5:D456,"&lt;&gt;",$G$5:G456,"&lt;&gt;Отменён"),"")</f>
        <v/>
      </c>
    </row>
    <row r="457" spans="1:11">
      <c r="A457" t="str">
        <f>IF(B457="","","VIS_"&amp;(YEAR(B457)*10000+MONTH(B457)*100+DAY(B457))&amp;"_"&amp;IF(COUNTIF($B$5:B457,B457)&lt;10,"00"&amp;COUNTIF($B$5:B457,B457),IF(COUNTIF($B$5:B457,B457)&lt;100,"0"&amp;COUNTIF($B$5:B457,B457),COUNTIF($B$5:B457,B457))))</f>
        <v>VIS_20270204_001</v>
      </c>
      <c r="B457" s="40">
        <v>46422</v>
      </c>
      <c r="C457" s="47" t="str">
        <f t="shared" si="14"/>
        <v>Чт</v>
      </c>
      <c r="I457" s="46"/>
      <c r="J457" s="39">
        <f t="shared" si="15"/>
        <v>46421</v>
      </c>
      <c r="K457" t="str">
        <f ca="1">IF(AND(B457&gt;='План недели'!$B$4,B457&lt;'План недели'!$D$4,D457&lt;&gt;"",G457&lt;&gt;"Отменён"),COUNTIFS($B$5:B457,"&gt;="&amp;'План недели'!$B$4,$B$5:B457,"&lt;"&amp;'План недели'!$D$4,$D$5:D457,"&lt;&gt;",$G$5:G457,"&lt;&gt;Отменён"),"")</f>
        <v/>
      </c>
    </row>
    <row r="458" spans="1:11">
      <c r="A458" t="str">
        <f>IF(B458="","","VIS_"&amp;(YEAR(B458)*10000+MONTH(B458)*100+DAY(B458))&amp;"_"&amp;IF(COUNTIF($B$5:B458,B458)&lt;10,"00"&amp;COUNTIF($B$5:B458,B458),IF(COUNTIF($B$5:B458,B458)&lt;100,"0"&amp;COUNTIF($B$5:B458,B458),COUNTIF($B$5:B458,B458))))</f>
        <v>VIS_20270205_001</v>
      </c>
      <c r="B458" s="40">
        <v>46423</v>
      </c>
      <c r="C458" s="47" t="str">
        <f t="shared" si="14"/>
        <v>Пт</v>
      </c>
      <c r="I458" s="46"/>
      <c r="J458" s="39">
        <f t="shared" si="15"/>
        <v>46421</v>
      </c>
      <c r="K458" t="str">
        <f ca="1">IF(AND(B458&gt;='План недели'!$B$4,B458&lt;'План недели'!$D$4,D458&lt;&gt;"",G458&lt;&gt;"Отменён"),COUNTIFS($B$5:B458,"&gt;="&amp;'План недели'!$B$4,$B$5:B458,"&lt;"&amp;'План недели'!$D$4,$D$5:D458,"&lt;&gt;",$G$5:G458,"&lt;&gt;Отменён"),"")</f>
        <v/>
      </c>
    </row>
    <row r="459" spans="1:11">
      <c r="A459" t="str">
        <f>IF(B459="","","VIS_"&amp;(YEAR(B459)*10000+MONTH(B459)*100+DAY(B459))&amp;"_"&amp;IF(COUNTIF($B$5:B459,B459)&lt;10,"00"&amp;COUNTIF($B$5:B459,B459),IF(COUNTIF($B$5:B459,B459)&lt;100,"0"&amp;COUNTIF($B$5:B459,B459),COUNTIF($B$5:B459,B459))))</f>
        <v>VIS_20270206_001</v>
      </c>
      <c r="B459" s="42">
        <v>46424</v>
      </c>
      <c r="C459" s="49" t="str">
        <f t="shared" si="14"/>
        <v>Сб</v>
      </c>
      <c r="I459" s="46"/>
      <c r="J459" s="39">
        <f t="shared" si="15"/>
        <v>46421</v>
      </c>
      <c r="K459" t="str">
        <f ca="1">IF(AND(B459&gt;='План недели'!$B$4,B459&lt;'План недели'!$D$4,D459&lt;&gt;"",G459&lt;&gt;"Отменён"),COUNTIFS($B$5:B459,"&gt;="&amp;'План недели'!$B$4,$B$5:B459,"&lt;"&amp;'План недели'!$D$4,$D$5:D459,"&lt;&gt;",$G$5:G459,"&lt;&gt;Отменён"),"")</f>
        <v/>
      </c>
    </row>
    <row r="460" spans="1:11">
      <c r="A460" t="str">
        <f>IF(B460="","","VIS_"&amp;(YEAR(B460)*10000+MONTH(B460)*100+DAY(B460))&amp;"_"&amp;IF(COUNTIF($B$5:B460,B460)&lt;10,"00"&amp;COUNTIF($B$5:B460,B460),IF(COUNTIF($B$5:B460,B460)&lt;100,"0"&amp;COUNTIF($B$5:B460,B460),COUNTIF($B$5:B460,B460))))</f>
        <v>VIS_20270207_001</v>
      </c>
      <c r="B460" s="42">
        <v>46425</v>
      </c>
      <c r="C460" s="49" t="str">
        <f t="shared" si="14"/>
        <v>Вс</v>
      </c>
      <c r="I460" s="46"/>
      <c r="J460" s="39">
        <f t="shared" si="15"/>
        <v>46421</v>
      </c>
      <c r="K460" t="str">
        <f ca="1">IF(AND(B460&gt;='План недели'!$B$4,B460&lt;'План недели'!$D$4,D460&lt;&gt;"",G460&lt;&gt;"Отменён"),COUNTIFS($B$5:B460,"&gt;="&amp;'План недели'!$B$4,$B$5:B460,"&lt;"&amp;'План недели'!$D$4,$D$5:D460,"&lt;&gt;",$G$5:G460,"&lt;&gt;Отменён"),"")</f>
        <v/>
      </c>
    </row>
    <row r="461" spans="1:11">
      <c r="A461" t="str">
        <f>IF(B461="","","VIS_"&amp;(YEAR(B461)*10000+MONTH(B461)*100+DAY(B461))&amp;"_"&amp;IF(COUNTIF($B$5:B461,B461)&lt;10,"00"&amp;COUNTIF($B$5:B461,B461),IF(COUNTIF($B$5:B461,B461)&lt;100,"0"&amp;COUNTIF($B$5:B461,B461),COUNTIF($B$5:B461,B461))))</f>
        <v>VIS_20270208_001</v>
      </c>
      <c r="B461" s="40">
        <v>46426</v>
      </c>
      <c r="C461" s="47" t="str">
        <f t="shared" si="14"/>
        <v>Пн</v>
      </c>
      <c r="I461" s="46"/>
      <c r="J461" s="39">
        <f t="shared" si="15"/>
        <v>46421</v>
      </c>
      <c r="K461" t="str">
        <f ca="1">IF(AND(B461&gt;='План недели'!$B$4,B461&lt;'План недели'!$D$4,D461&lt;&gt;"",G461&lt;&gt;"Отменён"),COUNTIFS($B$5:B461,"&gt;="&amp;'План недели'!$B$4,$B$5:B461,"&lt;"&amp;'План недели'!$D$4,$D$5:D461,"&lt;&gt;",$G$5:G461,"&lt;&gt;Отменён"),"")</f>
        <v/>
      </c>
    </row>
    <row r="462" spans="1:11">
      <c r="A462" t="str">
        <f>IF(B462="","","VIS_"&amp;(YEAR(B462)*10000+MONTH(B462)*100+DAY(B462))&amp;"_"&amp;IF(COUNTIF($B$5:B462,B462)&lt;10,"00"&amp;COUNTIF($B$5:B462,B462),IF(COUNTIF($B$5:B462,B462)&lt;100,"0"&amp;COUNTIF($B$5:B462,B462),COUNTIF($B$5:B462,B462))))</f>
        <v>VIS_20270209_001</v>
      </c>
      <c r="B462" s="40">
        <v>46427</v>
      </c>
      <c r="C462" s="47" t="str">
        <f t="shared" si="14"/>
        <v>Вт</v>
      </c>
      <c r="I462" s="46"/>
      <c r="J462" s="39">
        <f t="shared" si="15"/>
        <v>46421</v>
      </c>
      <c r="K462" t="str">
        <f ca="1">IF(AND(B462&gt;='План недели'!$B$4,B462&lt;'План недели'!$D$4,D462&lt;&gt;"",G462&lt;&gt;"Отменён"),COUNTIFS($B$5:B462,"&gt;="&amp;'План недели'!$B$4,$B$5:B462,"&lt;"&amp;'План недели'!$D$4,$D$5:D462,"&lt;&gt;",$G$5:G462,"&lt;&gt;Отменён"),"")</f>
        <v/>
      </c>
    </row>
    <row r="463" spans="1:11">
      <c r="A463" t="str">
        <f>IF(B463="","","VIS_"&amp;(YEAR(B463)*10000+MONTH(B463)*100+DAY(B463))&amp;"_"&amp;IF(COUNTIF($B$5:B463,B463)&lt;10,"00"&amp;COUNTIF($B$5:B463,B463),IF(COUNTIF($B$5:B463,B463)&lt;100,"0"&amp;COUNTIF($B$5:B463,B463),COUNTIF($B$5:B463,B463))))</f>
        <v>VIS_20270210_001</v>
      </c>
      <c r="B463" s="40">
        <v>46428</v>
      </c>
      <c r="C463" s="47" t="str">
        <f t="shared" si="14"/>
        <v>Ср</v>
      </c>
      <c r="I463" s="46"/>
      <c r="J463" s="39">
        <f t="shared" si="15"/>
        <v>46428</v>
      </c>
      <c r="K463" t="str">
        <f ca="1">IF(AND(B463&gt;='План недели'!$B$4,B463&lt;'План недели'!$D$4,D463&lt;&gt;"",G463&lt;&gt;"Отменён"),COUNTIFS($B$5:B463,"&gt;="&amp;'План недели'!$B$4,$B$5:B463,"&lt;"&amp;'План недели'!$D$4,$D$5:D463,"&lt;&gt;",$G$5:G463,"&lt;&gt;Отменён"),"")</f>
        <v/>
      </c>
    </row>
    <row r="464" spans="1:11">
      <c r="A464" t="str">
        <f>IF(B464="","","VIS_"&amp;(YEAR(B464)*10000+MONTH(B464)*100+DAY(B464))&amp;"_"&amp;IF(COUNTIF($B$5:B464,B464)&lt;10,"00"&amp;COUNTIF($B$5:B464,B464),IF(COUNTIF($B$5:B464,B464)&lt;100,"0"&amp;COUNTIF($B$5:B464,B464),COUNTIF($B$5:B464,B464))))</f>
        <v>VIS_20270211_001</v>
      </c>
      <c r="B464" s="40">
        <v>46429</v>
      </c>
      <c r="C464" s="47" t="str">
        <f t="shared" si="14"/>
        <v>Чт</v>
      </c>
      <c r="I464" s="46"/>
      <c r="J464" s="39">
        <f t="shared" si="15"/>
        <v>46428</v>
      </c>
      <c r="K464" t="str">
        <f ca="1">IF(AND(B464&gt;='План недели'!$B$4,B464&lt;'План недели'!$D$4,D464&lt;&gt;"",G464&lt;&gt;"Отменён"),COUNTIFS($B$5:B464,"&gt;="&amp;'План недели'!$B$4,$B$5:B464,"&lt;"&amp;'План недели'!$D$4,$D$5:D464,"&lt;&gt;",$G$5:G464,"&lt;&gt;Отменён"),"")</f>
        <v/>
      </c>
    </row>
    <row r="465" spans="1:11">
      <c r="A465" t="str">
        <f>IF(B465="","","VIS_"&amp;(YEAR(B465)*10000+MONTH(B465)*100+DAY(B465))&amp;"_"&amp;IF(COUNTIF($B$5:B465,B465)&lt;10,"00"&amp;COUNTIF($B$5:B465,B465),IF(COUNTIF($B$5:B465,B465)&lt;100,"0"&amp;COUNTIF($B$5:B465,B465),COUNTIF($B$5:B465,B465))))</f>
        <v>VIS_20270212_001</v>
      </c>
      <c r="B465" s="40">
        <v>46430</v>
      </c>
      <c r="C465" s="47" t="str">
        <f t="shared" si="14"/>
        <v>Пт</v>
      </c>
      <c r="I465" s="46"/>
      <c r="J465" s="39">
        <f t="shared" si="15"/>
        <v>46428</v>
      </c>
      <c r="K465" t="str">
        <f ca="1">IF(AND(B465&gt;='План недели'!$B$4,B465&lt;'План недели'!$D$4,D465&lt;&gt;"",G465&lt;&gt;"Отменён"),COUNTIFS($B$5:B465,"&gt;="&amp;'План недели'!$B$4,$B$5:B465,"&lt;"&amp;'План недели'!$D$4,$D$5:D465,"&lt;&gt;",$G$5:G465,"&lt;&gt;Отменён"),"")</f>
        <v/>
      </c>
    </row>
    <row r="466" spans="1:11">
      <c r="A466" t="str">
        <f>IF(B466="","","VIS_"&amp;(YEAR(B466)*10000+MONTH(B466)*100+DAY(B466))&amp;"_"&amp;IF(COUNTIF($B$5:B466,B466)&lt;10,"00"&amp;COUNTIF($B$5:B466,B466),IF(COUNTIF($B$5:B466,B466)&lt;100,"0"&amp;COUNTIF($B$5:B466,B466),COUNTIF($B$5:B466,B466))))</f>
        <v>VIS_20270213_001</v>
      </c>
      <c r="B466" s="42">
        <v>46431</v>
      </c>
      <c r="C466" s="49" t="str">
        <f t="shared" si="14"/>
        <v>Сб</v>
      </c>
      <c r="I466" s="46"/>
      <c r="J466" s="39">
        <f t="shared" si="15"/>
        <v>46428</v>
      </c>
      <c r="K466" t="str">
        <f ca="1">IF(AND(B466&gt;='План недели'!$B$4,B466&lt;'План недели'!$D$4,D466&lt;&gt;"",G466&lt;&gt;"Отменён"),COUNTIFS($B$5:B466,"&gt;="&amp;'План недели'!$B$4,$B$5:B466,"&lt;"&amp;'План недели'!$D$4,$D$5:D466,"&lt;&gt;",$G$5:G466,"&lt;&gt;Отменён"),"")</f>
        <v/>
      </c>
    </row>
    <row r="467" spans="1:11">
      <c r="A467" t="str">
        <f>IF(B467="","","VIS_"&amp;(YEAR(B467)*10000+MONTH(B467)*100+DAY(B467))&amp;"_"&amp;IF(COUNTIF($B$5:B467,B467)&lt;10,"00"&amp;COUNTIF($B$5:B467,B467),IF(COUNTIF($B$5:B467,B467)&lt;100,"0"&amp;COUNTIF($B$5:B467,B467),COUNTIF($B$5:B467,B467))))</f>
        <v>VIS_20270214_001</v>
      </c>
      <c r="B467" s="42">
        <v>46432</v>
      </c>
      <c r="C467" s="49" t="str">
        <f t="shared" si="14"/>
        <v>Вс</v>
      </c>
      <c r="I467" s="46"/>
      <c r="J467" s="39">
        <f t="shared" si="15"/>
        <v>46428</v>
      </c>
      <c r="K467" t="str">
        <f ca="1">IF(AND(B467&gt;='План недели'!$B$4,B467&lt;'План недели'!$D$4,D467&lt;&gt;"",G467&lt;&gt;"Отменён"),COUNTIFS($B$5:B467,"&gt;="&amp;'План недели'!$B$4,$B$5:B467,"&lt;"&amp;'План недели'!$D$4,$D$5:D467,"&lt;&gt;",$G$5:G467,"&lt;&gt;Отменён"),"")</f>
        <v/>
      </c>
    </row>
    <row r="468" spans="1:11">
      <c r="A468" t="str">
        <f>IF(B468="","","VIS_"&amp;(YEAR(B468)*10000+MONTH(B468)*100+DAY(B468))&amp;"_"&amp;IF(COUNTIF($B$5:B468,B468)&lt;10,"00"&amp;COUNTIF($B$5:B468,B468),IF(COUNTIF($B$5:B468,B468)&lt;100,"0"&amp;COUNTIF($B$5:B468,B468),COUNTIF($B$5:B468,B468))))</f>
        <v>VIS_20270215_001</v>
      </c>
      <c r="B468" s="40">
        <v>46433</v>
      </c>
      <c r="C468" s="47" t="str">
        <f t="shared" si="14"/>
        <v>Пн</v>
      </c>
      <c r="I468" s="46"/>
      <c r="J468" s="39">
        <f t="shared" si="15"/>
        <v>46428</v>
      </c>
      <c r="K468" t="str">
        <f ca="1">IF(AND(B468&gt;='План недели'!$B$4,B468&lt;'План недели'!$D$4,D468&lt;&gt;"",G468&lt;&gt;"Отменён"),COUNTIFS($B$5:B468,"&gt;="&amp;'План недели'!$B$4,$B$5:B468,"&lt;"&amp;'План недели'!$D$4,$D$5:D468,"&lt;&gt;",$G$5:G468,"&lt;&gt;Отменён"),"")</f>
        <v/>
      </c>
    </row>
    <row r="469" spans="1:11">
      <c r="A469" t="str">
        <f>IF(B469="","","VIS_"&amp;(YEAR(B469)*10000+MONTH(B469)*100+DAY(B469))&amp;"_"&amp;IF(COUNTIF($B$5:B469,B469)&lt;10,"00"&amp;COUNTIF($B$5:B469,B469),IF(COUNTIF($B$5:B469,B469)&lt;100,"0"&amp;COUNTIF($B$5:B469,B469),COUNTIF($B$5:B469,B469))))</f>
        <v>VIS_20270216_001</v>
      </c>
      <c r="B469" s="40">
        <v>46434</v>
      </c>
      <c r="C469" s="47" t="str">
        <f t="shared" si="14"/>
        <v>Вт</v>
      </c>
      <c r="I469" s="46"/>
      <c r="J469" s="39">
        <f t="shared" si="15"/>
        <v>46428</v>
      </c>
      <c r="K469" t="str">
        <f ca="1">IF(AND(B469&gt;='План недели'!$B$4,B469&lt;'План недели'!$D$4,D469&lt;&gt;"",G469&lt;&gt;"Отменён"),COUNTIFS($B$5:B469,"&gt;="&amp;'План недели'!$B$4,$B$5:B469,"&lt;"&amp;'План недели'!$D$4,$D$5:D469,"&lt;&gt;",$G$5:G469,"&lt;&gt;Отменён"),"")</f>
        <v/>
      </c>
    </row>
    <row r="470" spans="1:11">
      <c r="A470" t="str">
        <f>IF(B470="","","VIS_"&amp;(YEAR(B470)*10000+MONTH(B470)*100+DAY(B470))&amp;"_"&amp;IF(COUNTIF($B$5:B470,B470)&lt;10,"00"&amp;COUNTIF($B$5:B470,B470),IF(COUNTIF($B$5:B470,B470)&lt;100,"0"&amp;COUNTIF($B$5:B470,B470),COUNTIF($B$5:B470,B470))))</f>
        <v>VIS_20270217_001</v>
      </c>
      <c r="B470" s="40">
        <v>46435</v>
      </c>
      <c r="C470" s="47" t="str">
        <f t="shared" si="14"/>
        <v>Ср</v>
      </c>
      <c r="I470" s="46"/>
      <c r="J470" s="39">
        <f t="shared" si="15"/>
        <v>46435</v>
      </c>
      <c r="K470" t="str">
        <f ca="1">IF(AND(B470&gt;='План недели'!$B$4,B470&lt;'План недели'!$D$4,D470&lt;&gt;"",G470&lt;&gt;"Отменён"),COUNTIFS($B$5:B470,"&gt;="&amp;'План недели'!$B$4,$B$5:B470,"&lt;"&amp;'План недели'!$D$4,$D$5:D470,"&lt;&gt;",$G$5:G470,"&lt;&gt;Отменён"),"")</f>
        <v/>
      </c>
    </row>
    <row r="471" spans="1:11">
      <c r="A471" t="str">
        <f>IF(B471="","","VIS_"&amp;(YEAR(B471)*10000+MONTH(B471)*100+DAY(B471))&amp;"_"&amp;IF(COUNTIF($B$5:B471,B471)&lt;10,"00"&amp;COUNTIF($B$5:B471,B471),IF(COUNTIF($B$5:B471,B471)&lt;100,"0"&amp;COUNTIF($B$5:B471,B471),COUNTIF($B$5:B471,B471))))</f>
        <v>VIS_20270218_001</v>
      </c>
      <c r="B471" s="40">
        <v>46436</v>
      </c>
      <c r="C471" s="47" t="str">
        <f t="shared" si="14"/>
        <v>Чт</v>
      </c>
      <c r="I471" s="46"/>
      <c r="J471" s="39">
        <f t="shared" si="15"/>
        <v>46435</v>
      </c>
      <c r="K471" t="str">
        <f ca="1">IF(AND(B471&gt;='План недели'!$B$4,B471&lt;'План недели'!$D$4,D471&lt;&gt;"",G471&lt;&gt;"Отменён"),COUNTIFS($B$5:B471,"&gt;="&amp;'План недели'!$B$4,$B$5:B471,"&lt;"&amp;'План недели'!$D$4,$D$5:D471,"&lt;&gt;",$G$5:G471,"&lt;&gt;Отменён"),"")</f>
        <v/>
      </c>
    </row>
    <row r="472" spans="1:11">
      <c r="A472" t="str">
        <f>IF(B472="","","VIS_"&amp;(YEAR(B472)*10000+MONTH(B472)*100+DAY(B472))&amp;"_"&amp;IF(COUNTIF($B$5:B472,B472)&lt;10,"00"&amp;COUNTIF($B$5:B472,B472),IF(COUNTIF($B$5:B472,B472)&lt;100,"0"&amp;COUNTIF($B$5:B472,B472),COUNTIF($B$5:B472,B472))))</f>
        <v>VIS_20270219_001</v>
      </c>
      <c r="B472" s="40">
        <v>46437</v>
      </c>
      <c r="C472" s="47" t="str">
        <f t="shared" si="14"/>
        <v>Пт</v>
      </c>
      <c r="I472" s="46"/>
      <c r="J472" s="39">
        <f t="shared" si="15"/>
        <v>46435</v>
      </c>
      <c r="K472" t="str">
        <f ca="1">IF(AND(B472&gt;='План недели'!$B$4,B472&lt;'План недели'!$D$4,D472&lt;&gt;"",G472&lt;&gt;"Отменён"),COUNTIFS($B$5:B472,"&gt;="&amp;'План недели'!$B$4,$B$5:B472,"&lt;"&amp;'План недели'!$D$4,$D$5:D472,"&lt;&gt;",$G$5:G472,"&lt;&gt;Отменён"),"")</f>
        <v/>
      </c>
    </row>
    <row r="473" spans="1:11">
      <c r="A473" t="str">
        <f>IF(B473="","","VIS_"&amp;(YEAR(B473)*10000+MONTH(B473)*100+DAY(B473))&amp;"_"&amp;IF(COUNTIF($B$5:B473,B473)&lt;10,"00"&amp;COUNTIF($B$5:B473,B473),IF(COUNTIF($B$5:B473,B473)&lt;100,"0"&amp;COUNTIF($B$5:B473,B473),COUNTIF($B$5:B473,B473))))</f>
        <v>VIS_20270220_001</v>
      </c>
      <c r="B473" s="42">
        <v>46438</v>
      </c>
      <c r="C473" s="49" t="str">
        <f t="shared" si="14"/>
        <v>Сб</v>
      </c>
      <c r="I473" s="46"/>
      <c r="J473" s="39">
        <f t="shared" si="15"/>
        <v>46435</v>
      </c>
      <c r="K473" t="str">
        <f ca="1">IF(AND(B473&gt;='План недели'!$B$4,B473&lt;'План недели'!$D$4,D473&lt;&gt;"",G473&lt;&gt;"Отменён"),COUNTIFS($B$5:B473,"&gt;="&amp;'План недели'!$B$4,$B$5:B473,"&lt;"&amp;'План недели'!$D$4,$D$5:D473,"&lt;&gt;",$G$5:G473,"&lt;&gt;Отменён"),"")</f>
        <v/>
      </c>
    </row>
    <row r="474" spans="1:11">
      <c r="A474" t="str">
        <f>IF(B474="","","VIS_"&amp;(YEAR(B474)*10000+MONTH(B474)*100+DAY(B474))&amp;"_"&amp;IF(COUNTIF($B$5:B474,B474)&lt;10,"00"&amp;COUNTIF($B$5:B474,B474),IF(COUNTIF($B$5:B474,B474)&lt;100,"0"&amp;COUNTIF($B$5:B474,B474),COUNTIF($B$5:B474,B474))))</f>
        <v>VIS_20270221_001</v>
      </c>
      <c r="B474" s="42">
        <v>46439</v>
      </c>
      <c r="C474" s="49" t="str">
        <f t="shared" si="14"/>
        <v>Вс</v>
      </c>
      <c r="I474" s="46"/>
      <c r="J474" s="39">
        <f t="shared" si="15"/>
        <v>46435</v>
      </c>
      <c r="K474" t="str">
        <f ca="1">IF(AND(B474&gt;='План недели'!$B$4,B474&lt;'План недели'!$D$4,D474&lt;&gt;"",G474&lt;&gt;"Отменён"),COUNTIFS($B$5:B474,"&gt;="&amp;'План недели'!$B$4,$B$5:B474,"&lt;"&amp;'План недели'!$D$4,$D$5:D474,"&lt;&gt;",$G$5:G474,"&lt;&gt;Отменён"),"")</f>
        <v/>
      </c>
    </row>
    <row r="475" spans="1:11">
      <c r="A475" t="str">
        <f>IF(B475="","","VIS_"&amp;(YEAR(B475)*10000+MONTH(B475)*100+DAY(B475))&amp;"_"&amp;IF(COUNTIF($B$5:B475,B475)&lt;10,"00"&amp;COUNTIF($B$5:B475,B475),IF(COUNTIF($B$5:B475,B475)&lt;100,"0"&amp;COUNTIF($B$5:B475,B475),COUNTIF($B$5:B475,B475))))</f>
        <v>VIS_20270222_001</v>
      </c>
      <c r="B475" s="40">
        <v>46440</v>
      </c>
      <c r="C475" s="47" t="str">
        <f t="shared" si="14"/>
        <v>Пн</v>
      </c>
      <c r="I475" s="46"/>
      <c r="J475" s="39">
        <f t="shared" si="15"/>
        <v>46435</v>
      </c>
      <c r="K475" t="str">
        <f ca="1">IF(AND(B475&gt;='План недели'!$B$4,B475&lt;'План недели'!$D$4,D475&lt;&gt;"",G475&lt;&gt;"Отменён"),COUNTIFS($B$5:B475,"&gt;="&amp;'План недели'!$B$4,$B$5:B475,"&lt;"&amp;'План недели'!$D$4,$D$5:D475,"&lt;&gt;",$G$5:G475,"&lt;&gt;Отменён"),"")</f>
        <v/>
      </c>
    </row>
    <row r="476" spans="1:11">
      <c r="A476" t="str">
        <f>IF(B476="","","VIS_"&amp;(YEAR(B476)*10000+MONTH(B476)*100+DAY(B476))&amp;"_"&amp;IF(COUNTIF($B$5:B476,B476)&lt;10,"00"&amp;COUNTIF($B$5:B476,B476),IF(COUNTIF($B$5:B476,B476)&lt;100,"0"&amp;COUNTIF($B$5:B476,B476),COUNTIF($B$5:B476,B476))))</f>
        <v>VIS_20270223_001</v>
      </c>
      <c r="B476" s="40">
        <v>46441</v>
      </c>
      <c r="C476" s="47" t="str">
        <f t="shared" si="14"/>
        <v>Вт</v>
      </c>
      <c r="I476" s="46"/>
      <c r="J476" s="39">
        <f t="shared" si="15"/>
        <v>46435</v>
      </c>
      <c r="K476" t="str">
        <f ca="1">IF(AND(B476&gt;='План недели'!$B$4,B476&lt;'План недели'!$D$4,D476&lt;&gt;"",G476&lt;&gt;"Отменён"),COUNTIFS($B$5:B476,"&gt;="&amp;'План недели'!$B$4,$B$5:B476,"&lt;"&amp;'План недели'!$D$4,$D$5:D476,"&lt;&gt;",$G$5:G476,"&lt;&gt;Отменён"),"")</f>
        <v/>
      </c>
    </row>
    <row r="477" spans="1:11">
      <c r="A477" t="str">
        <f>IF(B477="","","VIS_"&amp;(YEAR(B477)*10000+MONTH(B477)*100+DAY(B477))&amp;"_"&amp;IF(COUNTIF($B$5:B477,B477)&lt;10,"00"&amp;COUNTIF($B$5:B477,B477),IF(COUNTIF($B$5:B477,B477)&lt;100,"0"&amp;COUNTIF($B$5:B477,B477),COUNTIF($B$5:B477,B477))))</f>
        <v>VIS_20270224_001</v>
      </c>
      <c r="B477" s="40">
        <v>46442</v>
      </c>
      <c r="C477" s="47" t="str">
        <f t="shared" si="14"/>
        <v>Ср</v>
      </c>
      <c r="I477" s="46"/>
      <c r="J477" s="39">
        <f t="shared" si="15"/>
        <v>46442</v>
      </c>
      <c r="K477" t="str">
        <f ca="1">IF(AND(B477&gt;='План недели'!$B$4,B477&lt;'План недели'!$D$4,D477&lt;&gt;"",G477&lt;&gt;"Отменён"),COUNTIFS($B$5:B477,"&gt;="&amp;'План недели'!$B$4,$B$5:B477,"&lt;"&amp;'План недели'!$D$4,$D$5:D477,"&lt;&gt;",$G$5:G477,"&lt;&gt;Отменён"),"")</f>
        <v/>
      </c>
    </row>
    <row r="478" spans="1:11">
      <c r="A478" t="str">
        <f>IF(B478="","","VIS_"&amp;(YEAR(B478)*10000+MONTH(B478)*100+DAY(B478))&amp;"_"&amp;IF(COUNTIF($B$5:B478,B478)&lt;10,"00"&amp;COUNTIF($B$5:B478,B478),IF(COUNTIF($B$5:B478,B478)&lt;100,"0"&amp;COUNTIF($B$5:B478,B478),COUNTIF($B$5:B478,B478))))</f>
        <v>VIS_20270225_001</v>
      </c>
      <c r="B478" s="40">
        <v>46443</v>
      </c>
      <c r="C478" s="47" t="str">
        <f t="shared" si="14"/>
        <v>Чт</v>
      </c>
      <c r="I478" s="46"/>
      <c r="J478" s="39">
        <f t="shared" si="15"/>
        <v>46442</v>
      </c>
      <c r="K478" t="str">
        <f ca="1">IF(AND(B478&gt;='План недели'!$B$4,B478&lt;'План недели'!$D$4,D478&lt;&gt;"",G478&lt;&gt;"Отменён"),COUNTIFS($B$5:B478,"&gt;="&amp;'План недели'!$B$4,$B$5:B478,"&lt;"&amp;'План недели'!$D$4,$D$5:D478,"&lt;&gt;",$G$5:G478,"&lt;&gt;Отменён"),"")</f>
        <v/>
      </c>
    </row>
    <row r="479" spans="1:11">
      <c r="A479" t="str">
        <f>IF(B479="","","VIS_"&amp;(YEAR(B479)*10000+MONTH(B479)*100+DAY(B479))&amp;"_"&amp;IF(COUNTIF($B$5:B479,B479)&lt;10,"00"&amp;COUNTIF($B$5:B479,B479),IF(COUNTIF($B$5:B479,B479)&lt;100,"0"&amp;COUNTIF($B$5:B479,B479),COUNTIF($B$5:B479,B479))))</f>
        <v>VIS_20270226_001</v>
      </c>
      <c r="B479" s="40">
        <v>46444</v>
      </c>
      <c r="C479" s="47" t="str">
        <f t="shared" si="14"/>
        <v>Пт</v>
      </c>
      <c r="I479" s="46"/>
      <c r="J479" s="39">
        <f t="shared" si="15"/>
        <v>46442</v>
      </c>
      <c r="K479" t="str">
        <f ca="1">IF(AND(B479&gt;='План недели'!$B$4,B479&lt;'План недели'!$D$4,D479&lt;&gt;"",G479&lt;&gt;"Отменён"),COUNTIFS($B$5:B479,"&gt;="&amp;'План недели'!$B$4,$B$5:B479,"&lt;"&amp;'План недели'!$D$4,$D$5:D479,"&lt;&gt;",$G$5:G479,"&lt;&gt;Отменён"),"")</f>
        <v/>
      </c>
    </row>
    <row r="480" spans="1:11">
      <c r="A480" t="str">
        <f>IF(B480="","","VIS_"&amp;(YEAR(B480)*10000+MONTH(B480)*100+DAY(B480))&amp;"_"&amp;IF(COUNTIF($B$5:B480,B480)&lt;10,"00"&amp;COUNTIF($B$5:B480,B480),IF(COUNTIF($B$5:B480,B480)&lt;100,"0"&amp;COUNTIF($B$5:B480,B480),COUNTIF($B$5:B480,B480))))</f>
        <v>VIS_20270227_001</v>
      </c>
      <c r="B480" s="42">
        <v>46445</v>
      </c>
      <c r="C480" s="49" t="str">
        <f t="shared" si="14"/>
        <v>Сб</v>
      </c>
      <c r="I480" s="46"/>
      <c r="J480" s="39">
        <f t="shared" si="15"/>
        <v>46442</v>
      </c>
      <c r="K480" t="str">
        <f ca="1">IF(AND(B480&gt;='План недели'!$B$4,B480&lt;'План недели'!$D$4,D480&lt;&gt;"",G480&lt;&gt;"Отменён"),COUNTIFS($B$5:B480,"&gt;="&amp;'План недели'!$B$4,$B$5:B480,"&lt;"&amp;'План недели'!$D$4,$D$5:D480,"&lt;&gt;",$G$5:G480,"&lt;&gt;Отменён"),"")</f>
        <v/>
      </c>
    </row>
    <row r="481" spans="1:11">
      <c r="A481" t="str">
        <f>IF(B481="","","VIS_"&amp;(YEAR(B481)*10000+MONTH(B481)*100+DAY(B481))&amp;"_"&amp;IF(COUNTIF($B$5:B481,B481)&lt;10,"00"&amp;COUNTIF($B$5:B481,B481),IF(COUNTIF($B$5:B481,B481)&lt;100,"0"&amp;COUNTIF($B$5:B481,B481),COUNTIF($B$5:B481,B481))))</f>
        <v>VIS_20270228_001</v>
      </c>
      <c r="B481" s="42">
        <v>46446</v>
      </c>
      <c r="C481" s="49" t="str">
        <f t="shared" si="14"/>
        <v>Вс</v>
      </c>
      <c r="I481" s="46"/>
      <c r="J481" s="39">
        <f t="shared" si="15"/>
        <v>46442</v>
      </c>
      <c r="K481" t="str">
        <f ca="1">IF(AND(B481&gt;='План недели'!$B$4,B481&lt;'План недели'!$D$4,D481&lt;&gt;"",G481&lt;&gt;"Отменён"),COUNTIFS($B$5:B481,"&gt;="&amp;'План недели'!$B$4,$B$5:B481,"&lt;"&amp;'План недели'!$D$4,$D$5:D481,"&lt;&gt;",$G$5:G481,"&lt;&gt;Отменён"),"")</f>
        <v/>
      </c>
    </row>
    <row r="482" spans="1:11">
      <c r="A482" t="str">
        <f>IF(B482="","","VIS_"&amp;(YEAR(B482)*10000+MONTH(B482)*100+DAY(B482))&amp;"_"&amp;IF(COUNTIF($B$5:B482,B482)&lt;10,"00"&amp;COUNTIF($B$5:B482,B482),IF(COUNTIF($B$5:B482,B482)&lt;100,"0"&amp;COUNTIF($B$5:B482,B482),COUNTIF($B$5:B482,B482))))</f>
        <v>VIS_20270301_001</v>
      </c>
      <c r="B482" s="40">
        <v>46447</v>
      </c>
      <c r="C482" s="47" t="str">
        <f t="shared" si="14"/>
        <v>Пн</v>
      </c>
      <c r="I482" s="46"/>
      <c r="J482" s="39">
        <f t="shared" si="15"/>
        <v>46442</v>
      </c>
      <c r="K482" t="str">
        <f ca="1">IF(AND(B482&gt;='План недели'!$B$4,B482&lt;'План недели'!$D$4,D482&lt;&gt;"",G482&lt;&gt;"Отменён"),COUNTIFS($B$5:B482,"&gt;="&amp;'План недели'!$B$4,$B$5:B482,"&lt;"&amp;'План недели'!$D$4,$D$5:D482,"&lt;&gt;",$G$5:G482,"&lt;&gt;Отменён"),"")</f>
        <v/>
      </c>
    </row>
    <row r="483" spans="1:11">
      <c r="A483" t="str">
        <f>IF(B483="","","VIS_"&amp;(YEAR(B483)*10000+MONTH(B483)*100+DAY(B483))&amp;"_"&amp;IF(COUNTIF($B$5:B483,B483)&lt;10,"00"&amp;COUNTIF($B$5:B483,B483),IF(COUNTIF($B$5:B483,B483)&lt;100,"0"&amp;COUNTIF($B$5:B483,B483),COUNTIF($B$5:B483,B483))))</f>
        <v>VIS_20270302_001</v>
      </c>
      <c r="B483" s="40">
        <v>46448</v>
      </c>
      <c r="C483" s="47" t="str">
        <f t="shared" si="14"/>
        <v>Вт</v>
      </c>
      <c r="I483" s="46"/>
      <c r="J483" s="39">
        <f t="shared" si="15"/>
        <v>46442</v>
      </c>
      <c r="K483" t="str">
        <f ca="1">IF(AND(B483&gt;='План недели'!$B$4,B483&lt;'План недели'!$D$4,D483&lt;&gt;"",G483&lt;&gt;"Отменён"),COUNTIFS($B$5:B483,"&gt;="&amp;'План недели'!$B$4,$B$5:B483,"&lt;"&amp;'План недели'!$D$4,$D$5:D483,"&lt;&gt;",$G$5:G483,"&lt;&gt;Отменён"),"")</f>
        <v/>
      </c>
    </row>
    <row r="484" spans="1:11">
      <c r="A484" t="str">
        <f>IF(B484="","","VIS_"&amp;(YEAR(B484)*10000+MONTH(B484)*100+DAY(B484))&amp;"_"&amp;IF(COUNTIF($B$5:B484,B484)&lt;10,"00"&amp;COUNTIF($B$5:B484,B484),IF(COUNTIF($B$5:B484,B484)&lt;100,"0"&amp;COUNTIF($B$5:B484,B484),COUNTIF($B$5:B484,B484))))</f>
        <v>VIS_20270303_001</v>
      </c>
      <c r="B484" s="40">
        <v>46449</v>
      </c>
      <c r="C484" s="47" t="str">
        <f t="shared" si="14"/>
        <v>Ср</v>
      </c>
      <c r="I484" s="46"/>
      <c r="J484" s="39">
        <f t="shared" si="15"/>
        <v>46449</v>
      </c>
      <c r="K484" t="str">
        <f ca="1">IF(AND(B484&gt;='План недели'!$B$4,B484&lt;'План недели'!$D$4,D484&lt;&gt;"",G484&lt;&gt;"Отменён"),COUNTIFS($B$5:B484,"&gt;="&amp;'План недели'!$B$4,$B$5:B484,"&lt;"&amp;'План недели'!$D$4,$D$5:D484,"&lt;&gt;",$G$5:G484,"&lt;&gt;Отменён"),"")</f>
        <v/>
      </c>
    </row>
    <row r="485" spans="1:11">
      <c r="A485" t="str">
        <f>IF(B485="","","VIS_"&amp;(YEAR(B485)*10000+MONTH(B485)*100+DAY(B485))&amp;"_"&amp;IF(COUNTIF($B$5:B485,B485)&lt;10,"00"&amp;COUNTIF($B$5:B485,B485),IF(COUNTIF($B$5:B485,B485)&lt;100,"0"&amp;COUNTIF($B$5:B485,B485),COUNTIF($B$5:B485,B485))))</f>
        <v>VIS_20270304_001</v>
      </c>
      <c r="B485" s="40">
        <v>46450</v>
      </c>
      <c r="C485" s="47" t="str">
        <f t="shared" si="14"/>
        <v>Чт</v>
      </c>
      <c r="I485" s="46"/>
      <c r="J485" s="39">
        <f t="shared" si="15"/>
        <v>46449</v>
      </c>
      <c r="K485" t="str">
        <f ca="1">IF(AND(B485&gt;='План недели'!$B$4,B485&lt;'План недели'!$D$4,D485&lt;&gt;"",G485&lt;&gt;"Отменён"),COUNTIFS($B$5:B485,"&gt;="&amp;'План недели'!$B$4,$B$5:B485,"&lt;"&amp;'План недели'!$D$4,$D$5:D485,"&lt;&gt;",$G$5:G485,"&lt;&gt;Отменён"),"")</f>
        <v/>
      </c>
    </row>
    <row r="486" spans="1:11">
      <c r="A486" t="str">
        <f>IF(B486="","","VIS_"&amp;(YEAR(B486)*10000+MONTH(B486)*100+DAY(B486))&amp;"_"&amp;IF(COUNTIF($B$5:B486,B486)&lt;10,"00"&amp;COUNTIF($B$5:B486,B486),IF(COUNTIF($B$5:B486,B486)&lt;100,"0"&amp;COUNTIF($B$5:B486,B486),COUNTIF($B$5:B486,B486))))</f>
        <v>VIS_20270305_001</v>
      </c>
      <c r="B486" s="40">
        <v>46451</v>
      </c>
      <c r="C486" s="47" t="str">
        <f t="shared" si="14"/>
        <v>Пт</v>
      </c>
      <c r="I486" s="46"/>
      <c r="J486" s="39">
        <f t="shared" si="15"/>
        <v>46449</v>
      </c>
      <c r="K486" t="str">
        <f ca="1">IF(AND(B486&gt;='План недели'!$B$4,B486&lt;'План недели'!$D$4,D486&lt;&gt;"",G486&lt;&gt;"Отменён"),COUNTIFS($B$5:B486,"&gt;="&amp;'План недели'!$B$4,$B$5:B486,"&lt;"&amp;'План недели'!$D$4,$D$5:D486,"&lt;&gt;",$G$5:G486,"&lt;&gt;Отменён"),"")</f>
        <v/>
      </c>
    </row>
    <row r="487" spans="1:11">
      <c r="A487" t="str">
        <f>IF(B487="","","VIS_"&amp;(YEAR(B487)*10000+MONTH(B487)*100+DAY(B487))&amp;"_"&amp;IF(COUNTIF($B$5:B487,B487)&lt;10,"00"&amp;COUNTIF($B$5:B487,B487),IF(COUNTIF($B$5:B487,B487)&lt;100,"0"&amp;COUNTIF($B$5:B487,B487),COUNTIF($B$5:B487,B487))))</f>
        <v>VIS_20270306_001</v>
      </c>
      <c r="B487" s="42">
        <v>46452</v>
      </c>
      <c r="C487" s="49" t="str">
        <f t="shared" si="14"/>
        <v>Сб</v>
      </c>
      <c r="I487" s="46"/>
      <c r="J487" s="39">
        <f t="shared" si="15"/>
        <v>46449</v>
      </c>
      <c r="K487" t="str">
        <f ca="1">IF(AND(B487&gt;='План недели'!$B$4,B487&lt;'План недели'!$D$4,D487&lt;&gt;"",G487&lt;&gt;"Отменён"),COUNTIFS($B$5:B487,"&gt;="&amp;'План недели'!$B$4,$B$5:B487,"&lt;"&amp;'План недели'!$D$4,$D$5:D487,"&lt;&gt;",$G$5:G487,"&lt;&gt;Отменён"),"")</f>
        <v/>
      </c>
    </row>
    <row r="488" spans="1:11">
      <c r="A488" t="str">
        <f>IF(B488="","","VIS_"&amp;(YEAR(B488)*10000+MONTH(B488)*100+DAY(B488))&amp;"_"&amp;IF(COUNTIF($B$5:B488,B488)&lt;10,"00"&amp;COUNTIF($B$5:B488,B488),IF(COUNTIF($B$5:B488,B488)&lt;100,"0"&amp;COUNTIF($B$5:B488,B488),COUNTIF($B$5:B488,B488))))</f>
        <v>VIS_20270307_001</v>
      </c>
      <c r="B488" s="42">
        <v>46453</v>
      </c>
      <c r="C488" s="49" t="str">
        <f t="shared" si="14"/>
        <v>Вс</v>
      </c>
      <c r="I488" s="46"/>
      <c r="J488" s="39">
        <f t="shared" si="15"/>
        <v>46449</v>
      </c>
      <c r="K488" t="str">
        <f ca="1">IF(AND(B488&gt;='План недели'!$B$4,B488&lt;'План недели'!$D$4,D488&lt;&gt;"",G488&lt;&gt;"Отменён"),COUNTIFS($B$5:B488,"&gt;="&amp;'План недели'!$B$4,$B$5:B488,"&lt;"&amp;'План недели'!$D$4,$D$5:D488,"&lt;&gt;",$G$5:G488,"&lt;&gt;Отменён"),"")</f>
        <v/>
      </c>
    </row>
    <row r="489" spans="1:11">
      <c r="A489" t="str">
        <f>IF(B489="","","VIS_"&amp;(YEAR(B489)*10000+MONTH(B489)*100+DAY(B489))&amp;"_"&amp;IF(COUNTIF($B$5:B489,B489)&lt;10,"00"&amp;COUNTIF($B$5:B489,B489),IF(COUNTIF($B$5:B489,B489)&lt;100,"0"&amp;COUNTIF($B$5:B489,B489),COUNTIF($B$5:B489,B489))))</f>
        <v>VIS_20270308_001</v>
      </c>
      <c r="B489" s="40">
        <v>46454</v>
      </c>
      <c r="C489" s="47" t="str">
        <f t="shared" si="14"/>
        <v>Пн</v>
      </c>
      <c r="I489" s="46"/>
      <c r="J489" s="39">
        <f t="shared" si="15"/>
        <v>46449</v>
      </c>
      <c r="K489" t="str">
        <f ca="1">IF(AND(B489&gt;='План недели'!$B$4,B489&lt;'План недели'!$D$4,D489&lt;&gt;"",G489&lt;&gt;"Отменён"),COUNTIFS($B$5:B489,"&gt;="&amp;'План недели'!$B$4,$B$5:B489,"&lt;"&amp;'План недели'!$D$4,$D$5:D489,"&lt;&gt;",$G$5:G489,"&lt;&gt;Отменён"),"")</f>
        <v/>
      </c>
    </row>
    <row r="490" spans="1:11">
      <c r="A490" t="str">
        <f>IF(B490="","","VIS_"&amp;(YEAR(B490)*10000+MONTH(B490)*100+DAY(B490))&amp;"_"&amp;IF(COUNTIF($B$5:B490,B490)&lt;10,"00"&amp;COUNTIF($B$5:B490,B490),IF(COUNTIF($B$5:B490,B490)&lt;100,"0"&amp;COUNTIF($B$5:B490,B490),COUNTIF($B$5:B490,B490))))</f>
        <v>VIS_20270309_001</v>
      </c>
      <c r="B490" s="40">
        <v>46455</v>
      </c>
      <c r="C490" s="47" t="str">
        <f t="shared" si="14"/>
        <v>Вт</v>
      </c>
      <c r="I490" s="46"/>
      <c r="J490" s="39">
        <f t="shared" si="15"/>
        <v>46449</v>
      </c>
      <c r="K490" t="str">
        <f ca="1">IF(AND(B490&gt;='План недели'!$B$4,B490&lt;'План недели'!$D$4,D490&lt;&gt;"",G490&lt;&gt;"Отменён"),COUNTIFS($B$5:B490,"&gt;="&amp;'План недели'!$B$4,$B$5:B490,"&lt;"&amp;'План недели'!$D$4,$D$5:D490,"&lt;&gt;",$G$5:G490,"&lt;&gt;Отменён"),"")</f>
        <v/>
      </c>
    </row>
    <row r="491" spans="1:11">
      <c r="A491" t="str">
        <f>IF(B491="","","VIS_"&amp;(YEAR(B491)*10000+MONTH(B491)*100+DAY(B491))&amp;"_"&amp;IF(COUNTIF($B$5:B491,B491)&lt;10,"00"&amp;COUNTIF($B$5:B491,B491),IF(COUNTIF($B$5:B491,B491)&lt;100,"0"&amp;COUNTIF($B$5:B491,B491),COUNTIF($B$5:B491,B491))))</f>
        <v>VIS_20270310_001</v>
      </c>
      <c r="B491" s="40">
        <v>46456</v>
      </c>
      <c r="C491" s="47" t="str">
        <f t="shared" si="14"/>
        <v>Ср</v>
      </c>
      <c r="I491" s="46"/>
      <c r="J491" s="39">
        <f t="shared" si="15"/>
        <v>46456</v>
      </c>
      <c r="K491" t="str">
        <f ca="1">IF(AND(B491&gt;='План недели'!$B$4,B491&lt;'План недели'!$D$4,D491&lt;&gt;"",G491&lt;&gt;"Отменён"),COUNTIFS($B$5:B491,"&gt;="&amp;'План недели'!$B$4,$B$5:B491,"&lt;"&amp;'План недели'!$D$4,$D$5:D491,"&lt;&gt;",$G$5:G491,"&lt;&gt;Отменён"),"")</f>
        <v/>
      </c>
    </row>
    <row r="492" spans="1:11">
      <c r="A492" t="str">
        <f>IF(B492="","","VIS_"&amp;(YEAR(B492)*10000+MONTH(B492)*100+DAY(B492))&amp;"_"&amp;IF(COUNTIF($B$5:B492,B492)&lt;10,"00"&amp;COUNTIF($B$5:B492,B492),IF(COUNTIF($B$5:B492,B492)&lt;100,"0"&amp;COUNTIF($B$5:B492,B492),COUNTIF($B$5:B492,B492))))</f>
        <v>VIS_20270311_001</v>
      </c>
      <c r="B492" s="40">
        <v>46457</v>
      </c>
      <c r="C492" s="47" t="str">
        <f t="shared" si="14"/>
        <v>Чт</v>
      </c>
      <c r="I492" s="46"/>
      <c r="J492" s="39">
        <f t="shared" si="15"/>
        <v>46456</v>
      </c>
      <c r="K492" t="str">
        <f ca="1">IF(AND(B492&gt;='План недели'!$B$4,B492&lt;'План недели'!$D$4,D492&lt;&gt;"",G492&lt;&gt;"Отменён"),COUNTIFS($B$5:B492,"&gt;="&amp;'План недели'!$B$4,$B$5:B492,"&lt;"&amp;'План недели'!$D$4,$D$5:D492,"&lt;&gt;",$G$5:G492,"&lt;&gt;Отменён"),"")</f>
        <v/>
      </c>
    </row>
    <row r="493" spans="1:11">
      <c r="A493" t="str">
        <f>IF(B493="","","VIS_"&amp;(YEAR(B493)*10000+MONTH(B493)*100+DAY(B493))&amp;"_"&amp;IF(COUNTIF($B$5:B493,B493)&lt;10,"00"&amp;COUNTIF($B$5:B493,B493),IF(COUNTIF($B$5:B493,B493)&lt;100,"0"&amp;COUNTIF($B$5:B493,B493),COUNTIF($B$5:B493,B493))))</f>
        <v>VIS_20270312_001</v>
      </c>
      <c r="B493" s="40">
        <v>46458</v>
      </c>
      <c r="C493" s="47" t="str">
        <f t="shared" si="14"/>
        <v>Пт</v>
      </c>
      <c r="I493" s="46"/>
      <c r="J493" s="39">
        <f t="shared" si="15"/>
        <v>46456</v>
      </c>
      <c r="K493" t="str">
        <f ca="1">IF(AND(B493&gt;='План недели'!$B$4,B493&lt;'План недели'!$D$4,D493&lt;&gt;"",G493&lt;&gt;"Отменён"),COUNTIFS($B$5:B493,"&gt;="&amp;'План недели'!$B$4,$B$5:B493,"&lt;"&amp;'План недели'!$D$4,$D$5:D493,"&lt;&gt;",$G$5:G493,"&lt;&gt;Отменён"),"")</f>
        <v/>
      </c>
    </row>
    <row r="494" spans="1:11">
      <c r="A494" t="str">
        <f>IF(B494="","","VIS_"&amp;(YEAR(B494)*10000+MONTH(B494)*100+DAY(B494))&amp;"_"&amp;IF(COUNTIF($B$5:B494,B494)&lt;10,"00"&amp;COUNTIF($B$5:B494,B494),IF(COUNTIF($B$5:B494,B494)&lt;100,"0"&amp;COUNTIF($B$5:B494,B494),COUNTIF($B$5:B494,B494))))</f>
        <v>VIS_20270313_001</v>
      </c>
      <c r="B494" s="42">
        <v>46459</v>
      </c>
      <c r="C494" s="49" t="str">
        <f t="shared" si="14"/>
        <v>Сб</v>
      </c>
      <c r="I494" s="46"/>
      <c r="J494" s="39">
        <f t="shared" si="15"/>
        <v>46456</v>
      </c>
      <c r="K494" t="str">
        <f ca="1">IF(AND(B494&gt;='План недели'!$B$4,B494&lt;'План недели'!$D$4,D494&lt;&gt;"",G494&lt;&gt;"Отменён"),COUNTIFS($B$5:B494,"&gt;="&amp;'План недели'!$B$4,$B$5:B494,"&lt;"&amp;'План недели'!$D$4,$D$5:D494,"&lt;&gt;",$G$5:G494,"&lt;&gt;Отменён"),"")</f>
        <v/>
      </c>
    </row>
    <row r="495" spans="1:11">
      <c r="A495" t="str">
        <f>IF(B495="","","VIS_"&amp;(YEAR(B495)*10000+MONTH(B495)*100+DAY(B495))&amp;"_"&amp;IF(COUNTIF($B$5:B495,B495)&lt;10,"00"&amp;COUNTIF($B$5:B495,B495),IF(COUNTIF($B$5:B495,B495)&lt;100,"0"&amp;COUNTIF($B$5:B495,B495),COUNTIF($B$5:B495,B495))))</f>
        <v>VIS_20270314_001</v>
      </c>
      <c r="B495" s="42">
        <v>46460</v>
      </c>
      <c r="C495" s="49" t="str">
        <f t="shared" si="14"/>
        <v>Вс</v>
      </c>
      <c r="I495" s="46"/>
      <c r="J495" s="39">
        <f t="shared" si="15"/>
        <v>46456</v>
      </c>
      <c r="K495" t="str">
        <f ca="1">IF(AND(B495&gt;='План недели'!$B$4,B495&lt;'План недели'!$D$4,D495&lt;&gt;"",G495&lt;&gt;"Отменён"),COUNTIFS($B$5:B495,"&gt;="&amp;'План недели'!$B$4,$B$5:B495,"&lt;"&amp;'План недели'!$D$4,$D$5:D495,"&lt;&gt;",$G$5:G495,"&lt;&gt;Отменён"),"")</f>
        <v/>
      </c>
    </row>
    <row r="496" spans="1:11">
      <c r="A496" t="str">
        <f>IF(B496="","","VIS_"&amp;(YEAR(B496)*10000+MONTH(B496)*100+DAY(B496))&amp;"_"&amp;IF(COUNTIF($B$5:B496,B496)&lt;10,"00"&amp;COUNTIF($B$5:B496,B496),IF(COUNTIF($B$5:B496,B496)&lt;100,"0"&amp;COUNTIF($B$5:B496,B496),COUNTIF($B$5:B496,B496))))</f>
        <v>VIS_20270315_001</v>
      </c>
      <c r="B496" s="40">
        <v>46461</v>
      </c>
      <c r="C496" s="47" t="str">
        <f t="shared" si="14"/>
        <v>Пн</v>
      </c>
      <c r="I496" s="46"/>
      <c r="J496" s="39">
        <f t="shared" si="15"/>
        <v>46456</v>
      </c>
      <c r="K496" t="str">
        <f ca="1">IF(AND(B496&gt;='План недели'!$B$4,B496&lt;'План недели'!$D$4,D496&lt;&gt;"",G496&lt;&gt;"Отменён"),COUNTIFS($B$5:B496,"&gt;="&amp;'План недели'!$B$4,$B$5:B496,"&lt;"&amp;'План недели'!$D$4,$D$5:D496,"&lt;&gt;",$G$5:G496,"&lt;&gt;Отменён"),"")</f>
        <v/>
      </c>
    </row>
    <row r="497" spans="1:11">
      <c r="A497" t="str">
        <f>IF(B497="","","VIS_"&amp;(YEAR(B497)*10000+MONTH(B497)*100+DAY(B497))&amp;"_"&amp;IF(COUNTIF($B$5:B497,B497)&lt;10,"00"&amp;COUNTIF($B$5:B497,B497),IF(COUNTIF($B$5:B497,B497)&lt;100,"0"&amp;COUNTIF($B$5:B497,B497),COUNTIF($B$5:B497,B497))))</f>
        <v>VIS_20270316_001</v>
      </c>
      <c r="B497" s="40">
        <v>46462</v>
      </c>
      <c r="C497" s="47" t="str">
        <f t="shared" si="14"/>
        <v>Вт</v>
      </c>
      <c r="I497" s="46"/>
      <c r="J497" s="39">
        <f t="shared" si="15"/>
        <v>46456</v>
      </c>
      <c r="K497" t="str">
        <f ca="1">IF(AND(B497&gt;='План недели'!$B$4,B497&lt;'План недели'!$D$4,D497&lt;&gt;"",G497&lt;&gt;"Отменён"),COUNTIFS($B$5:B497,"&gt;="&amp;'План недели'!$B$4,$B$5:B497,"&lt;"&amp;'План недели'!$D$4,$D$5:D497,"&lt;&gt;",$G$5:G497,"&lt;&gt;Отменён"),"")</f>
        <v/>
      </c>
    </row>
    <row r="498" spans="1:11">
      <c r="A498" t="str">
        <f>IF(B498="","","VIS_"&amp;(YEAR(B498)*10000+MONTH(B498)*100+DAY(B498))&amp;"_"&amp;IF(COUNTIF($B$5:B498,B498)&lt;10,"00"&amp;COUNTIF($B$5:B498,B498),IF(COUNTIF($B$5:B498,B498)&lt;100,"0"&amp;COUNTIF($B$5:B498,B498),COUNTIF($B$5:B498,B498))))</f>
        <v>VIS_20270317_001</v>
      </c>
      <c r="B498" s="40">
        <v>46463</v>
      </c>
      <c r="C498" s="47" t="str">
        <f t="shared" si="14"/>
        <v>Ср</v>
      </c>
      <c r="I498" s="46"/>
      <c r="J498" s="39">
        <f t="shared" si="15"/>
        <v>46463</v>
      </c>
      <c r="K498" t="str">
        <f ca="1">IF(AND(B498&gt;='План недели'!$B$4,B498&lt;'План недели'!$D$4,D498&lt;&gt;"",G498&lt;&gt;"Отменён"),COUNTIFS($B$5:B498,"&gt;="&amp;'План недели'!$B$4,$B$5:B498,"&lt;"&amp;'План недели'!$D$4,$D$5:D498,"&lt;&gt;",$G$5:G498,"&lt;&gt;Отменён"),"")</f>
        <v/>
      </c>
    </row>
    <row r="499" spans="1:11">
      <c r="A499" t="str">
        <f>IF(B499="","","VIS_"&amp;(YEAR(B499)*10000+MONTH(B499)*100+DAY(B499))&amp;"_"&amp;IF(COUNTIF($B$5:B499,B499)&lt;10,"00"&amp;COUNTIF($B$5:B499,B499),IF(COUNTIF($B$5:B499,B499)&lt;100,"0"&amp;COUNTIF($B$5:B499,B499),COUNTIF($B$5:B499,B499))))</f>
        <v>VIS_20270318_001</v>
      </c>
      <c r="B499" s="40">
        <v>46464</v>
      </c>
      <c r="C499" s="47" t="str">
        <f t="shared" si="14"/>
        <v>Чт</v>
      </c>
      <c r="I499" s="46"/>
      <c r="J499" s="39">
        <f t="shared" si="15"/>
        <v>46463</v>
      </c>
      <c r="K499" t="str">
        <f ca="1">IF(AND(B499&gt;='План недели'!$B$4,B499&lt;'План недели'!$D$4,D499&lt;&gt;"",G499&lt;&gt;"Отменён"),COUNTIFS($B$5:B499,"&gt;="&amp;'План недели'!$B$4,$B$5:B499,"&lt;"&amp;'План недели'!$D$4,$D$5:D499,"&lt;&gt;",$G$5:G499,"&lt;&gt;Отменён"),"")</f>
        <v/>
      </c>
    </row>
    <row r="500" spans="1:11">
      <c r="A500" t="str">
        <f>IF(B500="","","VIS_"&amp;(YEAR(B500)*10000+MONTH(B500)*100+DAY(B500))&amp;"_"&amp;IF(COUNTIF($B$5:B500,B500)&lt;10,"00"&amp;COUNTIF($B$5:B500,B500),IF(COUNTIF($B$5:B500,B500)&lt;100,"0"&amp;COUNTIF($B$5:B500,B500),COUNTIF($B$5:B500,B500))))</f>
        <v>VIS_20270319_001</v>
      </c>
      <c r="B500" s="40">
        <v>46465</v>
      </c>
      <c r="C500" s="47" t="str">
        <f t="shared" si="14"/>
        <v>Пт</v>
      </c>
      <c r="I500" s="46"/>
      <c r="J500" s="39">
        <f t="shared" si="15"/>
        <v>46463</v>
      </c>
      <c r="K500" t="str">
        <f ca="1">IF(AND(B500&gt;='План недели'!$B$4,B500&lt;'План недели'!$D$4,D500&lt;&gt;"",G500&lt;&gt;"Отменён"),COUNTIFS($B$5:B500,"&gt;="&amp;'План недели'!$B$4,$B$5:B500,"&lt;"&amp;'План недели'!$D$4,$D$5:D500,"&lt;&gt;",$G$5:G500,"&lt;&gt;Отменён"),"")</f>
        <v/>
      </c>
    </row>
    <row r="501" spans="1:11">
      <c r="A501" t="str">
        <f>IF(B501="","","VIS_"&amp;(YEAR(B501)*10000+MONTH(B501)*100+DAY(B501))&amp;"_"&amp;IF(COUNTIF($B$5:B501,B501)&lt;10,"00"&amp;COUNTIF($B$5:B501,B501),IF(COUNTIF($B$5:B501,B501)&lt;100,"0"&amp;COUNTIF($B$5:B501,B501),COUNTIF($B$5:B501,B501))))</f>
        <v>VIS_20270320_001</v>
      </c>
      <c r="B501" s="42">
        <v>46466</v>
      </c>
      <c r="C501" s="49" t="str">
        <f t="shared" si="14"/>
        <v>Сб</v>
      </c>
      <c r="I501" s="46"/>
      <c r="J501" s="39">
        <f t="shared" si="15"/>
        <v>46463</v>
      </c>
      <c r="K501" t="str">
        <f ca="1">IF(AND(B501&gt;='План недели'!$B$4,B501&lt;'План недели'!$D$4,D501&lt;&gt;"",G501&lt;&gt;"Отменён"),COUNTIFS($B$5:B501,"&gt;="&amp;'План недели'!$B$4,$B$5:B501,"&lt;"&amp;'План недели'!$D$4,$D$5:D501,"&lt;&gt;",$G$5:G501,"&lt;&gt;Отменён"),"")</f>
        <v/>
      </c>
    </row>
    <row r="502" spans="1:11">
      <c r="A502" t="str">
        <f>IF(B502="","","VIS_"&amp;(YEAR(B502)*10000+MONTH(B502)*100+DAY(B502))&amp;"_"&amp;IF(COUNTIF($B$5:B502,B502)&lt;10,"00"&amp;COUNTIF($B$5:B502,B502),IF(COUNTIF($B$5:B502,B502)&lt;100,"0"&amp;COUNTIF($B$5:B502,B502),COUNTIF($B$5:B502,B502))))</f>
        <v>VIS_20270321_001</v>
      </c>
      <c r="B502" s="42">
        <v>46467</v>
      </c>
      <c r="C502" s="49" t="str">
        <f t="shared" si="14"/>
        <v>Вс</v>
      </c>
      <c r="I502" s="46"/>
      <c r="J502" s="39">
        <f t="shared" si="15"/>
        <v>46463</v>
      </c>
      <c r="K502" t="str">
        <f ca="1">IF(AND(B502&gt;='План недели'!$B$4,B502&lt;'План недели'!$D$4,D502&lt;&gt;"",G502&lt;&gt;"Отменён"),COUNTIFS($B$5:B502,"&gt;="&amp;'План недели'!$B$4,$B$5:B502,"&lt;"&amp;'План недели'!$D$4,$D$5:D502,"&lt;&gt;",$G$5:G502,"&lt;&gt;Отменён"),"")</f>
        <v/>
      </c>
    </row>
    <row r="503" spans="1:11">
      <c r="A503" t="str">
        <f>IF(B503="","","VIS_"&amp;(YEAR(B503)*10000+MONTH(B503)*100+DAY(B503))&amp;"_"&amp;IF(COUNTIF($B$5:B503,B503)&lt;10,"00"&amp;COUNTIF($B$5:B503,B503),IF(COUNTIF($B$5:B503,B503)&lt;100,"0"&amp;COUNTIF($B$5:B503,B503),COUNTIF($B$5:B503,B503))))</f>
        <v>VIS_20270322_001</v>
      </c>
      <c r="B503" s="40">
        <v>46468</v>
      </c>
      <c r="C503" s="47" t="str">
        <f t="shared" si="14"/>
        <v>Пн</v>
      </c>
      <c r="I503" s="46"/>
      <c r="J503" s="39">
        <f t="shared" si="15"/>
        <v>46463</v>
      </c>
      <c r="K503" t="str">
        <f ca="1">IF(AND(B503&gt;='План недели'!$B$4,B503&lt;'План недели'!$D$4,D503&lt;&gt;"",G503&lt;&gt;"Отменён"),COUNTIFS($B$5:B503,"&gt;="&amp;'План недели'!$B$4,$B$5:B503,"&lt;"&amp;'План недели'!$D$4,$D$5:D503,"&lt;&gt;",$G$5:G503,"&lt;&gt;Отменён"),"")</f>
        <v/>
      </c>
    </row>
    <row r="504" spans="1:11">
      <c r="A504" t="str">
        <f>IF(B504="","","VIS_"&amp;(YEAR(B504)*10000+MONTH(B504)*100+DAY(B504))&amp;"_"&amp;IF(COUNTIF($B$5:B504,B504)&lt;10,"00"&amp;COUNTIF($B$5:B504,B504),IF(COUNTIF($B$5:B504,B504)&lt;100,"0"&amp;COUNTIF($B$5:B504,B504),COUNTIF($B$5:B504,B504))))</f>
        <v>VIS_20270323_001</v>
      </c>
      <c r="B504" s="40">
        <v>46469</v>
      </c>
      <c r="C504" s="47" t="str">
        <f t="shared" si="14"/>
        <v>Вт</v>
      </c>
      <c r="I504" s="46"/>
      <c r="J504" s="39">
        <f t="shared" si="15"/>
        <v>46463</v>
      </c>
      <c r="K504" t="str">
        <f ca="1">IF(AND(B504&gt;='План недели'!$B$4,B504&lt;'План недели'!$D$4,D504&lt;&gt;"",G504&lt;&gt;"Отменён"),COUNTIFS($B$5:B504,"&gt;="&amp;'План недели'!$B$4,$B$5:B504,"&lt;"&amp;'План недели'!$D$4,$D$5:D504,"&lt;&gt;",$G$5:G504,"&lt;&gt;Отменён"),"")</f>
        <v/>
      </c>
    </row>
    <row r="505" spans="1:11">
      <c r="A505" t="str">
        <f>IF(B505="","","VIS_"&amp;(YEAR(B505)*10000+MONTH(B505)*100+DAY(B505))&amp;"_"&amp;IF(COUNTIF($B$5:B505,B505)&lt;10,"00"&amp;COUNTIF($B$5:B505,B505),IF(COUNTIF($B$5:B505,B505)&lt;100,"0"&amp;COUNTIF($B$5:B505,B505),COUNTIF($B$5:B505,B505))))</f>
        <v>VIS_20270324_001</v>
      </c>
      <c r="B505" s="40">
        <v>46470</v>
      </c>
      <c r="C505" s="47" t="str">
        <f t="shared" si="14"/>
        <v>Ср</v>
      </c>
      <c r="I505" s="46"/>
      <c r="J505" s="39">
        <f t="shared" si="15"/>
        <v>46470</v>
      </c>
      <c r="K505" t="str">
        <f ca="1">IF(AND(B505&gt;='План недели'!$B$4,B505&lt;'План недели'!$D$4,D505&lt;&gt;"",G505&lt;&gt;"Отменён"),COUNTIFS($B$5:B505,"&gt;="&amp;'План недели'!$B$4,$B$5:B505,"&lt;"&amp;'План недели'!$D$4,$D$5:D505,"&lt;&gt;",$G$5:G505,"&lt;&gt;Отменён"),"")</f>
        <v/>
      </c>
    </row>
    <row r="506" spans="1:11">
      <c r="A506" t="str">
        <f>IF(B506="","","VIS_"&amp;(YEAR(B506)*10000+MONTH(B506)*100+DAY(B506))&amp;"_"&amp;IF(COUNTIF($B$5:B506,B506)&lt;10,"00"&amp;COUNTIF($B$5:B506,B506),IF(COUNTIF($B$5:B506,B506)&lt;100,"0"&amp;COUNTIF($B$5:B506,B506),COUNTIF($B$5:B506,B506))))</f>
        <v>VIS_20270325_001</v>
      </c>
      <c r="B506" s="40">
        <v>46471</v>
      </c>
      <c r="C506" s="47" t="str">
        <f t="shared" si="14"/>
        <v>Чт</v>
      </c>
      <c r="I506" s="46"/>
      <c r="J506" s="39">
        <f t="shared" si="15"/>
        <v>46470</v>
      </c>
      <c r="K506" t="str">
        <f ca="1">IF(AND(B506&gt;='План недели'!$B$4,B506&lt;'План недели'!$D$4,D506&lt;&gt;"",G506&lt;&gt;"Отменён"),COUNTIFS($B$5:B506,"&gt;="&amp;'План недели'!$B$4,$B$5:B506,"&lt;"&amp;'План недели'!$D$4,$D$5:D506,"&lt;&gt;",$G$5:G506,"&lt;&gt;Отменён"),"")</f>
        <v/>
      </c>
    </row>
    <row r="507" spans="1:11">
      <c r="A507" t="str">
        <f>IF(B507="","","VIS_"&amp;(YEAR(B507)*10000+MONTH(B507)*100+DAY(B507))&amp;"_"&amp;IF(COUNTIF($B$5:B507,B507)&lt;10,"00"&amp;COUNTIF($B$5:B507,B507),IF(COUNTIF($B$5:B507,B507)&lt;100,"0"&amp;COUNTIF($B$5:B507,B507),COUNTIF($B$5:B507,B507))))</f>
        <v>VIS_20270326_001</v>
      </c>
      <c r="B507" s="40">
        <v>46472</v>
      </c>
      <c r="C507" s="47" t="str">
        <f t="shared" si="14"/>
        <v>Пт</v>
      </c>
      <c r="I507" s="46"/>
      <c r="J507" s="39">
        <f t="shared" si="15"/>
        <v>46470</v>
      </c>
      <c r="K507" t="str">
        <f ca="1">IF(AND(B507&gt;='План недели'!$B$4,B507&lt;'План недели'!$D$4,D507&lt;&gt;"",G507&lt;&gt;"Отменён"),COUNTIFS($B$5:B507,"&gt;="&amp;'План недели'!$B$4,$B$5:B507,"&lt;"&amp;'План недели'!$D$4,$D$5:D507,"&lt;&gt;",$G$5:G507,"&lt;&gt;Отменён"),"")</f>
        <v/>
      </c>
    </row>
    <row r="508" spans="1:11">
      <c r="A508" t="str">
        <f>IF(B508="","","VIS_"&amp;(YEAR(B508)*10000+MONTH(B508)*100+DAY(B508))&amp;"_"&amp;IF(COUNTIF($B$5:B508,B508)&lt;10,"00"&amp;COUNTIF($B$5:B508,B508),IF(COUNTIF($B$5:B508,B508)&lt;100,"0"&amp;COUNTIF($B$5:B508,B508),COUNTIF($B$5:B508,B508))))</f>
        <v>VIS_20270327_001</v>
      </c>
      <c r="B508" s="42">
        <v>46473</v>
      </c>
      <c r="C508" s="49" t="str">
        <f t="shared" si="14"/>
        <v>Сб</v>
      </c>
      <c r="I508" s="46"/>
      <c r="J508" s="39">
        <f t="shared" si="15"/>
        <v>46470</v>
      </c>
      <c r="K508" t="str">
        <f ca="1">IF(AND(B508&gt;='План недели'!$B$4,B508&lt;'План недели'!$D$4,D508&lt;&gt;"",G508&lt;&gt;"Отменён"),COUNTIFS($B$5:B508,"&gt;="&amp;'План недели'!$B$4,$B$5:B508,"&lt;"&amp;'План недели'!$D$4,$D$5:D508,"&lt;&gt;",$G$5:G508,"&lt;&gt;Отменён"),"")</f>
        <v/>
      </c>
    </row>
    <row r="509" spans="1:11">
      <c r="A509" t="str">
        <f>IF(B509="","","VIS_"&amp;(YEAR(B509)*10000+MONTH(B509)*100+DAY(B509))&amp;"_"&amp;IF(COUNTIF($B$5:B509,B509)&lt;10,"00"&amp;COUNTIF($B$5:B509,B509),IF(COUNTIF($B$5:B509,B509)&lt;100,"0"&amp;COUNTIF($B$5:B509,B509),COUNTIF($B$5:B509,B509))))</f>
        <v>VIS_20270328_001</v>
      </c>
      <c r="B509" s="42">
        <v>46474</v>
      </c>
      <c r="C509" s="49" t="str">
        <f t="shared" si="14"/>
        <v>Вс</v>
      </c>
      <c r="I509" s="46"/>
      <c r="J509" s="39">
        <f t="shared" si="15"/>
        <v>46470</v>
      </c>
      <c r="K509" t="str">
        <f ca="1">IF(AND(B509&gt;='План недели'!$B$4,B509&lt;'План недели'!$D$4,D509&lt;&gt;"",G509&lt;&gt;"Отменён"),COUNTIFS($B$5:B509,"&gt;="&amp;'План недели'!$B$4,$B$5:B509,"&lt;"&amp;'План недели'!$D$4,$D$5:D509,"&lt;&gt;",$G$5:G509,"&lt;&gt;Отменён"),"")</f>
        <v/>
      </c>
    </row>
    <row r="510" spans="1:11">
      <c r="A510" t="str">
        <f>IF(B510="","","VIS_"&amp;(YEAR(B510)*10000+MONTH(B510)*100+DAY(B510))&amp;"_"&amp;IF(COUNTIF($B$5:B510,B510)&lt;10,"00"&amp;COUNTIF($B$5:B510,B510),IF(COUNTIF($B$5:B510,B510)&lt;100,"0"&amp;COUNTIF($B$5:B510,B510),COUNTIF($B$5:B510,B510))))</f>
        <v>VIS_20270329_001</v>
      </c>
      <c r="B510" s="40">
        <v>46475</v>
      </c>
      <c r="C510" s="47" t="str">
        <f t="shared" si="14"/>
        <v>Пн</v>
      </c>
      <c r="I510" s="46"/>
      <c r="J510" s="39">
        <f t="shared" si="15"/>
        <v>46470</v>
      </c>
      <c r="K510" t="str">
        <f ca="1">IF(AND(B510&gt;='План недели'!$B$4,B510&lt;'План недели'!$D$4,D510&lt;&gt;"",G510&lt;&gt;"Отменён"),COUNTIFS($B$5:B510,"&gt;="&amp;'План недели'!$B$4,$B$5:B510,"&lt;"&amp;'План недели'!$D$4,$D$5:D510,"&lt;&gt;",$G$5:G510,"&lt;&gt;Отменён"),"")</f>
        <v/>
      </c>
    </row>
    <row r="511" spans="1:11">
      <c r="A511" t="str">
        <f>IF(B511="","","VIS_"&amp;(YEAR(B511)*10000+MONTH(B511)*100+DAY(B511))&amp;"_"&amp;IF(COUNTIF($B$5:B511,B511)&lt;10,"00"&amp;COUNTIF($B$5:B511,B511),IF(COUNTIF($B$5:B511,B511)&lt;100,"0"&amp;COUNTIF($B$5:B511,B511),COUNTIF($B$5:B511,B511))))</f>
        <v>VIS_20270330_001</v>
      </c>
      <c r="B511" s="40">
        <v>46476</v>
      </c>
      <c r="C511" s="47" t="str">
        <f t="shared" si="14"/>
        <v>Вт</v>
      </c>
      <c r="I511" s="46"/>
      <c r="J511" s="39">
        <f t="shared" si="15"/>
        <v>46470</v>
      </c>
      <c r="K511" t="str">
        <f ca="1">IF(AND(B511&gt;='План недели'!$B$4,B511&lt;'План недели'!$D$4,D511&lt;&gt;"",G511&lt;&gt;"Отменён"),COUNTIFS($B$5:B511,"&gt;="&amp;'План недели'!$B$4,$B$5:B511,"&lt;"&amp;'План недели'!$D$4,$D$5:D511,"&lt;&gt;",$G$5:G511,"&lt;&gt;Отменён"),"")</f>
        <v/>
      </c>
    </row>
    <row r="512" spans="1:11">
      <c r="A512" t="str">
        <f>IF(B512="","","VIS_"&amp;(YEAR(B512)*10000+MONTH(B512)*100+DAY(B512))&amp;"_"&amp;IF(COUNTIF($B$5:B512,B512)&lt;10,"00"&amp;COUNTIF($B$5:B512,B512),IF(COUNTIF($B$5:B512,B512)&lt;100,"0"&amp;COUNTIF($B$5:B512,B512),COUNTIF($B$5:B512,B512))))</f>
        <v>VIS_20270331_001</v>
      </c>
      <c r="B512" s="40">
        <v>46477</v>
      </c>
      <c r="C512" s="47" t="str">
        <f t="shared" si="14"/>
        <v>Ср</v>
      </c>
      <c r="I512" s="46"/>
      <c r="J512" s="39">
        <f t="shared" si="15"/>
        <v>46477</v>
      </c>
      <c r="K512" t="str">
        <f ca="1">IF(AND(B512&gt;='План недели'!$B$4,B512&lt;'План недели'!$D$4,D512&lt;&gt;"",G512&lt;&gt;"Отменён"),COUNTIFS($B$5:B512,"&gt;="&amp;'План недели'!$B$4,$B$5:B512,"&lt;"&amp;'План недели'!$D$4,$D$5:D512,"&lt;&gt;",$G$5:G512,"&lt;&gt;Отменён"),"")</f>
        <v/>
      </c>
    </row>
    <row r="513" spans="1:11">
      <c r="A513" t="str">
        <f>IF(B513="","","VIS_"&amp;(YEAR(B513)*10000+MONTH(B513)*100+DAY(B513))&amp;"_"&amp;IF(COUNTIF($B$5:B513,B513)&lt;10,"00"&amp;COUNTIF($B$5:B513,B513),IF(COUNTIF($B$5:B513,B513)&lt;100,"0"&amp;COUNTIF($B$5:B513,B513),COUNTIF($B$5:B513,B513))))</f>
        <v>VIS_20270401_001</v>
      </c>
      <c r="B513" s="40">
        <v>46478</v>
      </c>
      <c r="C513" s="47" t="str">
        <f t="shared" si="14"/>
        <v>Чт</v>
      </c>
      <c r="I513" s="46"/>
      <c r="J513" s="39">
        <f t="shared" si="15"/>
        <v>46477</v>
      </c>
      <c r="K513" t="str">
        <f ca="1">IF(AND(B513&gt;='План недели'!$B$4,B513&lt;'План недели'!$D$4,D513&lt;&gt;"",G513&lt;&gt;"Отменён"),COUNTIFS($B$5:B513,"&gt;="&amp;'План недели'!$B$4,$B$5:B513,"&lt;"&amp;'План недели'!$D$4,$D$5:D513,"&lt;&gt;",$G$5:G513,"&lt;&gt;Отменён"),"")</f>
        <v/>
      </c>
    </row>
    <row r="514" spans="1:11">
      <c r="A514" t="str">
        <f>IF(B514="","","VIS_"&amp;(YEAR(B514)*10000+MONTH(B514)*100+DAY(B514))&amp;"_"&amp;IF(COUNTIF($B$5:B514,B514)&lt;10,"00"&amp;COUNTIF($B$5:B514,B514),IF(COUNTIF($B$5:B514,B514)&lt;100,"0"&amp;COUNTIF($B$5:B514,B514),COUNTIF($B$5:B514,B514))))</f>
        <v>VIS_20270402_001</v>
      </c>
      <c r="B514" s="40">
        <v>46479</v>
      </c>
      <c r="C514" s="47" t="str">
        <f t="shared" si="14"/>
        <v>Пт</v>
      </c>
      <c r="I514" s="46"/>
      <c r="J514" s="39">
        <f t="shared" si="15"/>
        <v>46477</v>
      </c>
      <c r="K514" t="str">
        <f ca="1">IF(AND(B514&gt;='План недели'!$B$4,B514&lt;'План недели'!$D$4,D514&lt;&gt;"",G514&lt;&gt;"Отменён"),COUNTIFS($B$5:B514,"&gt;="&amp;'План недели'!$B$4,$B$5:B514,"&lt;"&amp;'План недели'!$D$4,$D$5:D514,"&lt;&gt;",$G$5:G514,"&lt;&gt;Отменён"),"")</f>
        <v/>
      </c>
    </row>
    <row r="515" spans="1:11">
      <c r="A515" t="str">
        <f>IF(B515="","","VIS_"&amp;(YEAR(B515)*10000+MONTH(B515)*100+DAY(B515))&amp;"_"&amp;IF(COUNTIF($B$5:B515,B515)&lt;10,"00"&amp;COUNTIF($B$5:B515,B515),IF(COUNTIF($B$5:B515,B515)&lt;100,"0"&amp;COUNTIF($B$5:B515,B515),COUNTIF($B$5:B515,B515))))</f>
        <v>VIS_20270403_001</v>
      </c>
      <c r="B515" s="42">
        <v>46480</v>
      </c>
      <c r="C515" s="49" t="str">
        <f t="shared" si="14"/>
        <v>Сб</v>
      </c>
      <c r="I515" s="46"/>
      <c r="J515" s="39">
        <f t="shared" si="15"/>
        <v>46477</v>
      </c>
      <c r="K515" t="str">
        <f ca="1">IF(AND(B515&gt;='План недели'!$B$4,B515&lt;'План недели'!$D$4,D515&lt;&gt;"",G515&lt;&gt;"Отменён"),COUNTIFS($B$5:B515,"&gt;="&amp;'План недели'!$B$4,$B$5:B515,"&lt;"&amp;'План недели'!$D$4,$D$5:D515,"&lt;&gt;",$G$5:G515,"&lt;&gt;Отменён"),"")</f>
        <v/>
      </c>
    </row>
    <row r="516" spans="1:11">
      <c r="A516" t="str">
        <f>IF(B516="","","VIS_"&amp;(YEAR(B516)*10000+MONTH(B516)*100+DAY(B516))&amp;"_"&amp;IF(COUNTIF($B$5:B516,B516)&lt;10,"00"&amp;COUNTIF($B$5:B516,B516),IF(COUNTIF($B$5:B516,B516)&lt;100,"0"&amp;COUNTIF($B$5:B516,B516),COUNTIF($B$5:B516,B516))))</f>
        <v>VIS_20270404_001</v>
      </c>
      <c r="B516" s="42">
        <v>46481</v>
      </c>
      <c r="C516" s="49" t="str">
        <f t="shared" si="14"/>
        <v>Вс</v>
      </c>
      <c r="I516" s="46"/>
      <c r="J516" s="39">
        <f t="shared" si="15"/>
        <v>46477</v>
      </c>
      <c r="K516" t="str">
        <f ca="1">IF(AND(B516&gt;='План недели'!$B$4,B516&lt;'План недели'!$D$4,D516&lt;&gt;"",G516&lt;&gt;"Отменён"),COUNTIFS($B$5:B516,"&gt;="&amp;'План недели'!$B$4,$B$5:B516,"&lt;"&amp;'План недели'!$D$4,$D$5:D516,"&lt;&gt;",$G$5:G516,"&lt;&gt;Отменён"),"")</f>
        <v/>
      </c>
    </row>
    <row r="517" spans="1:11">
      <c r="A517" t="str">
        <f>IF(B517="","","VIS_"&amp;(YEAR(B517)*10000+MONTH(B517)*100+DAY(B517))&amp;"_"&amp;IF(COUNTIF($B$5:B517,B517)&lt;10,"00"&amp;COUNTIF($B$5:B517,B517),IF(COUNTIF($B$5:B517,B517)&lt;100,"0"&amp;COUNTIF($B$5:B517,B517),COUNTIF($B$5:B517,B517))))</f>
        <v>VIS_20270405_001</v>
      </c>
      <c r="B517" s="40">
        <v>46482</v>
      </c>
      <c r="C517" s="47" t="str">
        <f t="shared" ref="C517:C580" si="16">IF(B517="","",CHOOSE(WEEKDAY(B517,2),"Пн","Вт","Ср","Чт","Пт","Сб","Вс"))</f>
        <v>Пн</v>
      </c>
      <c r="I517" s="46"/>
      <c r="J517" s="39">
        <f t="shared" ref="J517:J580" si="17">IF(B517="","",B517-MOD(WEEKDAY(B517,2)-3,7))</f>
        <v>46477</v>
      </c>
      <c r="K517" t="str">
        <f ca="1">IF(AND(B517&gt;='План недели'!$B$4,B517&lt;'План недели'!$D$4,D517&lt;&gt;"",G517&lt;&gt;"Отменён"),COUNTIFS($B$5:B517,"&gt;="&amp;'План недели'!$B$4,$B$5:B517,"&lt;"&amp;'План недели'!$D$4,$D$5:D517,"&lt;&gt;",$G$5:G517,"&lt;&gt;Отменён"),"")</f>
        <v/>
      </c>
    </row>
    <row r="518" spans="1:11">
      <c r="A518" t="str">
        <f>IF(B518="","","VIS_"&amp;(YEAR(B518)*10000+MONTH(B518)*100+DAY(B518))&amp;"_"&amp;IF(COUNTIF($B$5:B518,B518)&lt;10,"00"&amp;COUNTIF($B$5:B518,B518),IF(COUNTIF($B$5:B518,B518)&lt;100,"0"&amp;COUNTIF($B$5:B518,B518),COUNTIF($B$5:B518,B518))))</f>
        <v>VIS_20270406_001</v>
      </c>
      <c r="B518" s="40">
        <v>46483</v>
      </c>
      <c r="C518" s="47" t="str">
        <f t="shared" si="16"/>
        <v>Вт</v>
      </c>
      <c r="I518" s="46"/>
      <c r="J518" s="39">
        <f t="shared" si="17"/>
        <v>46477</v>
      </c>
      <c r="K518" t="str">
        <f ca="1">IF(AND(B518&gt;='План недели'!$B$4,B518&lt;'План недели'!$D$4,D518&lt;&gt;"",G518&lt;&gt;"Отменён"),COUNTIFS($B$5:B518,"&gt;="&amp;'План недели'!$B$4,$B$5:B518,"&lt;"&amp;'План недели'!$D$4,$D$5:D518,"&lt;&gt;",$G$5:G518,"&lt;&gt;Отменён"),"")</f>
        <v/>
      </c>
    </row>
    <row r="519" spans="1:11">
      <c r="A519" t="str">
        <f>IF(B519="","","VIS_"&amp;(YEAR(B519)*10000+MONTH(B519)*100+DAY(B519))&amp;"_"&amp;IF(COUNTIF($B$5:B519,B519)&lt;10,"00"&amp;COUNTIF($B$5:B519,B519),IF(COUNTIF($B$5:B519,B519)&lt;100,"0"&amp;COUNTIF($B$5:B519,B519),COUNTIF($B$5:B519,B519))))</f>
        <v>VIS_20270407_001</v>
      </c>
      <c r="B519" s="40">
        <v>46484</v>
      </c>
      <c r="C519" s="47" t="str">
        <f t="shared" si="16"/>
        <v>Ср</v>
      </c>
      <c r="I519" s="46"/>
      <c r="J519" s="39">
        <f t="shared" si="17"/>
        <v>46484</v>
      </c>
      <c r="K519" t="str">
        <f ca="1">IF(AND(B519&gt;='План недели'!$B$4,B519&lt;'План недели'!$D$4,D519&lt;&gt;"",G519&lt;&gt;"Отменён"),COUNTIFS($B$5:B519,"&gt;="&amp;'План недели'!$B$4,$B$5:B519,"&lt;"&amp;'План недели'!$D$4,$D$5:D519,"&lt;&gt;",$G$5:G519,"&lt;&gt;Отменён"),"")</f>
        <v/>
      </c>
    </row>
    <row r="520" spans="1:11">
      <c r="A520" t="str">
        <f>IF(B520="","","VIS_"&amp;(YEAR(B520)*10000+MONTH(B520)*100+DAY(B520))&amp;"_"&amp;IF(COUNTIF($B$5:B520,B520)&lt;10,"00"&amp;COUNTIF($B$5:B520,B520),IF(COUNTIF($B$5:B520,B520)&lt;100,"0"&amp;COUNTIF($B$5:B520,B520),COUNTIF($B$5:B520,B520))))</f>
        <v>VIS_20270408_001</v>
      </c>
      <c r="B520" s="40">
        <v>46485</v>
      </c>
      <c r="C520" s="47" t="str">
        <f t="shared" si="16"/>
        <v>Чт</v>
      </c>
      <c r="I520" s="46"/>
      <c r="J520" s="39">
        <f t="shared" si="17"/>
        <v>46484</v>
      </c>
      <c r="K520" t="str">
        <f ca="1">IF(AND(B520&gt;='План недели'!$B$4,B520&lt;'План недели'!$D$4,D520&lt;&gt;"",G520&lt;&gt;"Отменён"),COUNTIFS($B$5:B520,"&gt;="&amp;'План недели'!$B$4,$B$5:B520,"&lt;"&amp;'План недели'!$D$4,$D$5:D520,"&lt;&gt;",$G$5:G520,"&lt;&gt;Отменён"),"")</f>
        <v/>
      </c>
    </row>
    <row r="521" spans="1:11">
      <c r="A521" t="str">
        <f>IF(B521="","","VIS_"&amp;(YEAR(B521)*10000+MONTH(B521)*100+DAY(B521))&amp;"_"&amp;IF(COUNTIF($B$5:B521,B521)&lt;10,"00"&amp;COUNTIF($B$5:B521,B521),IF(COUNTIF($B$5:B521,B521)&lt;100,"0"&amp;COUNTIF($B$5:B521,B521),COUNTIF($B$5:B521,B521))))</f>
        <v>VIS_20270409_001</v>
      </c>
      <c r="B521" s="40">
        <v>46486</v>
      </c>
      <c r="C521" s="47" t="str">
        <f t="shared" si="16"/>
        <v>Пт</v>
      </c>
      <c r="I521" s="46"/>
      <c r="J521" s="39">
        <f t="shared" si="17"/>
        <v>46484</v>
      </c>
      <c r="K521" t="str">
        <f ca="1">IF(AND(B521&gt;='План недели'!$B$4,B521&lt;'План недели'!$D$4,D521&lt;&gt;"",G521&lt;&gt;"Отменён"),COUNTIFS($B$5:B521,"&gt;="&amp;'План недели'!$B$4,$B$5:B521,"&lt;"&amp;'План недели'!$D$4,$D$5:D521,"&lt;&gt;",$G$5:G521,"&lt;&gt;Отменён"),"")</f>
        <v/>
      </c>
    </row>
    <row r="522" spans="1:11">
      <c r="A522" t="str">
        <f>IF(B522="","","VIS_"&amp;(YEAR(B522)*10000+MONTH(B522)*100+DAY(B522))&amp;"_"&amp;IF(COUNTIF($B$5:B522,B522)&lt;10,"00"&amp;COUNTIF($B$5:B522,B522),IF(COUNTIF($B$5:B522,B522)&lt;100,"0"&amp;COUNTIF($B$5:B522,B522),COUNTIF($B$5:B522,B522))))</f>
        <v>VIS_20270410_001</v>
      </c>
      <c r="B522" s="42">
        <v>46487</v>
      </c>
      <c r="C522" s="49" t="str">
        <f t="shared" si="16"/>
        <v>Сб</v>
      </c>
      <c r="I522" s="46"/>
      <c r="J522" s="39">
        <f t="shared" si="17"/>
        <v>46484</v>
      </c>
      <c r="K522" t="str">
        <f ca="1">IF(AND(B522&gt;='План недели'!$B$4,B522&lt;'План недели'!$D$4,D522&lt;&gt;"",G522&lt;&gt;"Отменён"),COUNTIFS($B$5:B522,"&gt;="&amp;'План недели'!$B$4,$B$5:B522,"&lt;"&amp;'План недели'!$D$4,$D$5:D522,"&lt;&gt;",$G$5:G522,"&lt;&gt;Отменён"),"")</f>
        <v/>
      </c>
    </row>
    <row r="523" spans="1:11">
      <c r="A523" t="str">
        <f>IF(B523="","","VIS_"&amp;(YEAR(B523)*10000+MONTH(B523)*100+DAY(B523))&amp;"_"&amp;IF(COUNTIF($B$5:B523,B523)&lt;10,"00"&amp;COUNTIF($B$5:B523,B523),IF(COUNTIF($B$5:B523,B523)&lt;100,"0"&amp;COUNTIF($B$5:B523,B523),COUNTIF($B$5:B523,B523))))</f>
        <v>VIS_20270411_001</v>
      </c>
      <c r="B523" s="42">
        <v>46488</v>
      </c>
      <c r="C523" s="49" t="str">
        <f t="shared" si="16"/>
        <v>Вс</v>
      </c>
      <c r="I523" s="46"/>
      <c r="J523" s="39">
        <f t="shared" si="17"/>
        <v>46484</v>
      </c>
      <c r="K523" t="str">
        <f ca="1">IF(AND(B523&gt;='План недели'!$B$4,B523&lt;'План недели'!$D$4,D523&lt;&gt;"",G523&lt;&gt;"Отменён"),COUNTIFS($B$5:B523,"&gt;="&amp;'План недели'!$B$4,$B$5:B523,"&lt;"&amp;'План недели'!$D$4,$D$5:D523,"&lt;&gt;",$G$5:G523,"&lt;&gt;Отменён"),"")</f>
        <v/>
      </c>
    </row>
    <row r="524" spans="1:11">
      <c r="A524" t="str">
        <f>IF(B524="","","VIS_"&amp;(YEAR(B524)*10000+MONTH(B524)*100+DAY(B524))&amp;"_"&amp;IF(COUNTIF($B$5:B524,B524)&lt;10,"00"&amp;COUNTIF($B$5:B524,B524),IF(COUNTIF($B$5:B524,B524)&lt;100,"0"&amp;COUNTIF($B$5:B524,B524),COUNTIF($B$5:B524,B524))))</f>
        <v>VIS_20270412_001</v>
      </c>
      <c r="B524" s="40">
        <v>46489</v>
      </c>
      <c r="C524" s="47" t="str">
        <f t="shared" si="16"/>
        <v>Пн</v>
      </c>
      <c r="I524" s="46"/>
      <c r="J524" s="39">
        <f t="shared" si="17"/>
        <v>46484</v>
      </c>
      <c r="K524" t="str">
        <f ca="1">IF(AND(B524&gt;='План недели'!$B$4,B524&lt;'План недели'!$D$4,D524&lt;&gt;"",G524&lt;&gt;"Отменён"),COUNTIFS($B$5:B524,"&gt;="&amp;'План недели'!$B$4,$B$5:B524,"&lt;"&amp;'План недели'!$D$4,$D$5:D524,"&lt;&gt;",$G$5:G524,"&lt;&gt;Отменён"),"")</f>
        <v/>
      </c>
    </row>
    <row r="525" spans="1:11">
      <c r="A525" t="str">
        <f>IF(B525="","","VIS_"&amp;(YEAR(B525)*10000+MONTH(B525)*100+DAY(B525))&amp;"_"&amp;IF(COUNTIF($B$5:B525,B525)&lt;10,"00"&amp;COUNTIF($B$5:B525,B525),IF(COUNTIF($B$5:B525,B525)&lt;100,"0"&amp;COUNTIF($B$5:B525,B525),COUNTIF($B$5:B525,B525))))</f>
        <v>VIS_20270413_001</v>
      </c>
      <c r="B525" s="40">
        <v>46490</v>
      </c>
      <c r="C525" s="47" t="str">
        <f t="shared" si="16"/>
        <v>Вт</v>
      </c>
      <c r="I525" s="46"/>
      <c r="J525" s="39">
        <f t="shared" si="17"/>
        <v>46484</v>
      </c>
      <c r="K525" t="str">
        <f ca="1">IF(AND(B525&gt;='План недели'!$B$4,B525&lt;'План недели'!$D$4,D525&lt;&gt;"",G525&lt;&gt;"Отменён"),COUNTIFS($B$5:B525,"&gt;="&amp;'План недели'!$B$4,$B$5:B525,"&lt;"&amp;'План недели'!$D$4,$D$5:D525,"&lt;&gt;",$G$5:G525,"&lt;&gt;Отменён"),"")</f>
        <v/>
      </c>
    </row>
    <row r="526" spans="1:11">
      <c r="A526" t="str">
        <f>IF(B526="","","VIS_"&amp;(YEAR(B526)*10000+MONTH(B526)*100+DAY(B526))&amp;"_"&amp;IF(COUNTIF($B$5:B526,B526)&lt;10,"00"&amp;COUNTIF($B$5:B526,B526),IF(COUNTIF($B$5:B526,B526)&lt;100,"0"&amp;COUNTIF($B$5:B526,B526),COUNTIF($B$5:B526,B526))))</f>
        <v>VIS_20270414_001</v>
      </c>
      <c r="B526" s="40">
        <v>46491</v>
      </c>
      <c r="C526" s="47" t="str">
        <f t="shared" si="16"/>
        <v>Ср</v>
      </c>
      <c r="I526" s="46"/>
      <c r="J526" s="39">
        <f t="shared" si="17"/>
        <v>46491</v>
      </c>
      <c r="K526" t="str">
        <f ca="1">IF(AND(B526&gt;='План недели'!$B$4,B526&lt;'План недели'!$D$4,D526&lt;&gt;"",G526&lt;&gt;"Отменён"),COUNTIFS($B$5:B526,"&gt;="&amp;'План недели'!$B$4,$B$5:B526,"&lt;"&amp;'План недели'!$D$4,$D$5:D526,"&lt;&gt;",$G$5:G526,"&lt;&gt;Отменён"),"")</f>
        <v/>
      </c>
    </row>
    <row r="527" spans="1:11">
      <c r="A527" t="str">
        <f>IF(B527="","","VIS_"&amp;(YEAR(B527)*10000+MONTH(B527)*100+DAY(B527))&amp;"_"&amp;IF(COUNTIF($B$5:B527,B527)&lt;10,"00"&amp;COUNTIF($B$5:B527,B527),IF(COUNTIF($B$5:B527,B527)&lt;100,"0"&amp;COUNTIF($B$5:B527,B527),COUNTIF($B$5:B527,B527))))</f>
        <v>VIS_20270415_001</v>
      </c>
      <c r="B527" s="40">
        <v>46492</v>
      </c>
      <c r="C527" s="47" t="str">
        <f t="shared" si="16"/>
        <v>Чт</v>
      </c>
      <c r="I527" s="46"/>
      <c r="J527" s="39">
        <f t="shared" si="17"/>
        <v>46491</v>
      </c>
      <c r="K527" t="str">
        <f ca="1">IF(AND(B527&gt;='План недели'!$B$4,B527&lt;'План недели'!$D$4,D527&lt;&gt;"",G527&lt;&gt;"Отменён"),COUNTIFS($B$5:B527,"&gt;="&amp;'План недели'!$B$4,$B$5:B527,"&lt;"&amp;'План недели'!$D$4,$D$5:D527,"&lt;&gt;",$G$5:G527,"&lt;&gt;Отменён"),"")</f>
        <v/>
      </c>
    </row>
    <row r="528" spans="1:11">
      <c r="A528" t="str">
        <f>IF(B528="","","VIS_"&amp;(YEAR(B528)*10000+MONTH(B528)*100+DAY(B528))&amp;"_"&amp;IF(COUNTIF($B$5:B528,B528)&lt;10,"00"&amp;COUNTIF($B$5:B528,B528),IF(COUNTIF($B$5:B528,B528)&lt;100,"0"&amp;COUNTIF($B$5:B528,B528),COUNTIF($B$5:B528,B528))))</f>
        <v>VIS_20270416_001</v>
      </c>
      <c r="B528" s="40">
        <v>46493</v>
      </c>
      <c r="C528" s="47" t="str">
        <f t="shared" si="16"/>
        <v>Пт</v>
      </c>
      <c r="I528" s="46"/>
      <c r="J528" s="39">
        <f t="shared" si="17"/>
        <v>46491</v>
      </c>
      <c r="K528" t="str">
        <f ca="1">IF(AND(B528&gt;='План недели'!$B$4,B528&lt;'План недели'!$D$4,D528&lt;&gt;"",G528&lt;&gt;"Отменён"),COUNTIFS($B$5:B528,"&gt;="&amp;'План недели'!$B$4,$B$5:B528,"&lt;"&amp;'План недели'!$D$4,$D$5:D528,"&lt;&gt;",$G$5:G528,"&lt;&gt;Отменён"),"")</f>
        <v/>
      </c>
    </row>
    <row r="529" spans="1:11">
      <c r="A529" t="str">
        <f>IF(B529="","","VIS_"&amp;(YEAR(B529)*10000+MONTH(B529)*100+DAY(B529))&amp;"_"&amp;IF(COUNTIF($B$5:B529,B529)&lt;10,"00"&amp;COUNTIF($B$5:B529,B529),IF(COUNTIF($B$5:B529,B529)&lt;100,"0"&amp;COUNTIF($B$5:B529,B529),COUNTIF($B$5:B529,B529))))</f>
        <v>VIS_20270417_001</v>
      </c>
      <c r="B529" s="42">
        <v>46494</v>
      </c>
      <c r="C529" s="49" t="str">
        <f t="shared" si="16"/>
        <v>Сб</v>
      </c>
      <c r="I529" s="46"/>
      <c r="J529" s="39">
        <f t="shared" si="17"/>
        <v>46491</v>
      </c>
      <c r="K529" t="str">
        <f ca="1">IF(AND(B529&gt;='План недели'!$B$4,B529&lt;'План недели'!$D$4,D529&lt;&gt;"",G529&lt;&gt;"Отменён"),COUNTIFS($B$5:B529,"&gt;="&amp;'План недели'!$B$4,$B$5:B529,"&lt;"&amp;'План недели'!$D$4,$D$5:D529,"&lt;&gt;",$G$5:G529,"&lt;&gt;Отменён"),"")</f>
        <v/>
      </c>
    </row>
    <row r="530" spans="1:11">
      <c r="A530" t="str">
        <f>IF(B530="","","VIS_"&amp;(YEAR(B530)*10000+MONTH(B530)*100+DAY(B530))&amp;"_"&amp;IF(COUNTIF($B$5:B530,B530)&lt;10,"00"&amp;COUNTIF($B$5:B530,B530),IF(COUNTIF($B$5:B530,B530)&lt;100,"0"&amp;COUNTIF($B$5:B530,B530),COUNTIF($B$5:B530,B530))))</f>
        <v>VIS_20270418_001</v>
      </c>
      <c r="B530" s="42">
        <v>46495</v>
      </c>
      <c r="C530" s="49" t="str">
        <f t="shared" si="16"/>
        <v>Вс</v>
      </c>
      <c r="I530" s="46"/>
      <c r="J530" s="39">
        <f t="shared" si="17"/>
        <v>46491</v>
      </c>
      <c r="K530" t="str">
        <f ca="1">IF(AND(B530&gt;='План недели'!$B$4,B530&lt;'План недели'!$D$4,D530&lt;&gt;"",G530&lt;&gt;"Отменён"),COUNTIFS($B$5:B530,"&gt;="&amp;'План недели'!$B$4,$B$5:B530,"&lt;"&amp;'План недели'!$D$4,$D$5:D530,"&lt;&gt;",$G$5:G530,"&lt;&gt;Отменён"),"")</f>
        <v/>
      </c>
    </row>
    <row r="531" spans="1:11">
      <c r="A531" t="str">
        <f>IF(B531="","","VIS_"&amp;(YEAR(B531)*10000+MONTH(B531)*100+DAY(B531))&amp;"_"&amp;IF(COUNTIF($B$5:B531,B531)&lt;10,"00"&amp;COUNTIF($B$5:B531,B531),IF(COUNTIF($B$5:B531,B531)&lt;100,"0"&amp;COUNTIF($B$5:B531,B531),COUNTIF($B$5:B531,B531))))</f>
        <v>VIS_20270419_001</v>
      </c>
      <c r="B531" s="40">
        <v>46496</v>
      </c>
      <c r="C531" s="47" t="str">
        <f t="shared" si="16"/>
        <v>Пн</v>
      </c>
      <c r="I531" s="46"/>
      <c r="J531" s="39">
        <f t="shared" si="17"/>
        <v>46491</v>
      </c>
      <c r="K531" t="str">
        <f ca="1">IF(AND(B531&gt;='План недели'!$B$4,B531&lt;'План недели'!$D$4,D531&lt;&gt;"",G531&lt;&gt;"Отменён"),COUNTIFS($B$5:B531,"&gt;="&amp;'План недели'!$B$4,$B$5:B531,"&lt;"&amp;'План недели'!$D$4,$D$5:D531,"&lt;&gt;",$G$5:G531,"&lt;&gt;Отменён"),"")</f>
        <v/>
      </c>
    </row>
    <row r="532" spans="1:11">
      <c r="A532" t="str">
        <f>IF(B532="","","VIS_"&amp;(YEAR(B532)*10000+MONTH(B532)*100+DAY(B532))&amp;"_"&amp;IF(COUNTIF($B$5:B532,B532)&lt;10,"00"&amp;COUNTIF($B$5:B532,B532),IF(COUNTIF($B$5:B532,B532)&lt;100,"0"&amp;COUNTIF($B$5:B532,B532),COUNTIF($B$5:B532,B532))))</f>
        <v>VIS_20270420_001</v>
      </c>
      <c r="B532" s="40">
        <v>46497</v>
      </c>
      <c r="C532" s="47" t="str">
        <f t="shared" si="16"/>
        <v>Вт</v>
      </c>
      <c r="I532" s="46"/>
      <c r="J532" s="39">
        <f t="shared" si="17"/>
        <v>46491</v>
      </c>
      <c r="K532" t="str">
        <f ca="1">IF(AND(B532&gt;='План недели'!$B$4,B532&lt;'План недели'!$D$4,D532&lt;&gt;"",G532&lt;&gt;"Отменён"),COUNTIFS($B$5:B532,"&gt;="&amp;'План недели'!$B$4,$B$5:B532,"&lt;"&amp;'План недели'!$D$4,$D$5:D532,"&lt;&gt;",$G$5:G532,"&lt;&gt;Отменён"),"")</f>
        <v/>
      </c>
    </row>
    <row r="533" spans="1:11">
      <c r="A533" t="str">
        <f>IF(B533="","","VIS_"&amp;(YEAR(B533)*10000+MONTH(B533)*100+DAY(B533))&amp;"_"&amp;IF(COUNTIF($B$5:B533,B533)&lt;10,"00"&amp;COUNTIF($B$5:B533,B533),IF(COUNTIF($B$5:B533,B533)&lt;100,"0"&amp;COUNTIF($B$5:B533,B533),COUNTIF($B$5:B533,B533))))</f>
        <v>VIS_20270421_001</v>
      </c>
      <c r="B533" s="40">
        <v>46498</v>
      </c>
      <c r="C533" s="47" t="str">
        <f t="shared" si="16"/>
        <v>Ср</v>
      </c>
      <c r="I533" s="46"/>
      <c r="J533" s="39">
        <f t="shared" si="17"/>
        <v>46498</v>
      </c>
      <c r="K533" t="str">
        <f ca="1">IF(AND(B533&gt;='План недели'!$B$4,B533&lt;'План недели'!$D$4,D533&lt;&gt;"",G533&lt;&gt;"Отменён"),COUNTIFS($B$5:B533,"&gt;="&amp;'План недели'!$B$4,$B$5:B533,"&lt;"&amp;'План недели'!$D$4,$D$5:D533,"&lt;&gt;",$G$5:G533,"&lt;&gt;Отменён"),"")</f>
        <v/>
      </c>
    </row>
    <row r="534" spans="1:11">
      <c r="A534" t="str">
        <f>IF(B534="","","VIS_"&amp;(YEAR(B534)*10000+MONTH(B534)*100+DAY(B534))&amp;"_"&amp;IF(COUNTIF($B$5:B534,B534)&lt;10,"00"&amp;COUNTIF($B$5:B534,B534),IF(COUNTIF($B$5:B534,B534)&lt;100,"0"&amp;COUNTIF($B$5:B534,B534),COUNTIF($B$5:B534,B534))))</f>
        <v>VIS_20270422_001</v>
      </c>
      <c r="B534" s="40">
        <v>46499</v>
      </c>
      <c r="C534" s="47" t="str">
        <f t="shared" si="16"/>
        <v>Чт</v>
      </c>
      <c r="I534" s="46"/>
      <c r="J534" s="39">
        <f t="shared" si="17"/>
        <v>46498</v>
      </c>
      <c r="K534" t="str">
        <f ca="1">IF(AND(B534&gt;='План недели'!$B$4,B534&lt;'План недели'!$D$4,D534&lt;&gt;"",G534&lt;&gt;"Отменён"),COUNTIFS($B$5:B534,"&gt;="&amp;'План недели'!$B$4,$B$5:B534,"&lt;"&amp;'План недели'!$D$4,$D$5:D534,"&lt;&gt;",$G$5:G534,"&lt;&gt;Отменён"),"")</f>
        <v/>
      </c>
    </row>
    <row r="535" spans="1:11">
      <c r="A535" t="str">
        <f>IF(B535="","","VIS_"&amp;(YEAR(B535)*10000+MONTH(B535)*100+DAY(B535))&amp;"_"&amp;IF(COUNTIF($B$5:B535,B535)&lt;10,"00"&amp;COUNTIF($B$5:B535,B535),IF(COUNTIF($B$5:B535,B535)&lt;100,"0"&amp;COUNTIF($B$5:B535,B535),COUNTIF($B$5:B535,B535))))</f>
        <v>VIS_20270423_001</v>
      </c>
      <c r="B535" s="40">
        <v>46500</v>
      </c>
      <c r="C535" s="47" t="str">
        <f t="shared" si="16"/>
        <v>Пт</v>
      </c>
      <c r="I535" s="46"/>
      <c r="J535" s="39">
        <f t="shared" si="17"/>
        <v>46498</v>
      </c>
      <c r="K535" t="str">
        <f ca="1">IF(AND(B535&gt;='План недели'!$B$4,B535&lt;'План недели'!$D$4,D535&lt;&gt;"",G535&lt;&gt;"Отменён"),COUNTIFS($B$5:B535,"&gt;="&amp;'План недели'!$B$4,$B$5:B535,"&lt;"&amp;'План недели'!$D$4,$D$5:D535,"&lt;&gt;",$G$5:G535,"&lt;&gt;Отменён"),"")</f>
        <v/>
      </c>
    </row>
    <row r="536" spans="1:11">
      <c r="A536" t="str">
        <f>IF(B536="","","VIS_"&amp;(YEAR(B536)*10000+MONTH(B536)*100+DAY(B536))&amp;"_"&amp;IF(COUNTIF($B$5:B536,B536)&lt;10,"00"&amp;COUNTIF($B$5:B536,B536),IF(COUNTIF($B$5:B536,B536)&lt;100,"0"&amp;COUNTIF($B$5:B536,B536),COUNTIF($B$5:B536,B536))))</f>
        <v>VIS_20270424_001</v>
      </c>
      <c r="B536" s="42">
        <v>46501</v>
      </c>
      <c r="C536" s="49" t="str">
        <f t="shared" si="16"/>
        <v>Сб</v>
      </c>
      <c r="I536" s="46"/>
      <c r="J536" s="39">
        <f t="shared" si="17"/>
        <v>46498</v>
      </c>
      <c r="K536" t="str">
        <f ca="1">IF(AND(B536&gt;='План недели'!$B$4,B536&lt;'План недели'!$D$4,D536&lt;&gt;"",G536&lt;&gt;"Отменён"),COUNTIFS($B$5:B536,"&gt;="&amp;'План недели'!$B$4,$B$5:B536,"&lt;"&amp;'План недели'!$D$4,$D$5:D536,"&lt;&gt;",$G$5:G536,"&lt;&gt;Отменён"),"")</f>
        <v/>
      </c>
    </row>
    <row r="537" spans="1:11">
      <c r="A537" t="str">
        <f>IF(B537="","","VIS_"&amp;(YEAR(B537)*10000+MONTH(B537)*100+DAY(B537))&amp;"_"&amp;IF(COUNTIF($B$5:B537,B537)&lt;10,"00"&amp;COUNTIF($B$5:B537,B537),IF(COUNTIF($B$5:B537,B537)&lt;100,"0"&amp;COUNTIF($B$5:B537,B537),COUNTIF($B$5:B537,B537))))</f>
        <v>VIS_20270425_001</v>
      </c>
      <c r="B537" s="42">
        <v>46502</v>
      </c>
      <c r="C537" s="49" t="str">
        <f t="shared" si="16"/>
        <v>Вс</v>
      </c>
      <c r="I537" s="46"/>
      <c r="J537" s="39">
        <f t="shared" si="17"/>
        <v>46498</v>
      </c>
      <c r="K537" t="str">
        <f ca="1">IF(AND(B537&gt;='План недели'!$B$4,B537&lt;'План недели'!$D$4,D537&lt;&gt;"",G537&lt;&gt;"Отменён"),COUNTIFS($B$5:B537,"&gt;="&amp;'План недели'!$B$4,$B$5:B537,"&lt;"&amp;'План недели'!$D$4,$D$5:D537,"&lt;&gt;",$G$5:G537,"&lt;&gt;Отменён"),"")</f>
        <v/>
      </c>
    </row>
    <row r="538" spans="1:11">
      <c r="A538" t="str">
        <f>IF(B538="","","VIS_"&amp;(YEAR(B538)*10000+MONTH(B538)*100+DAY(B538))&amp;"_"&amp;IF(COUNTIF($B$5:B538,B538)&lt;10,"00"&amp;COUNTIF($B$5:B538,B538),IF(COUNTIF($B$5:B538,B538)&lt;100,"0"&amp;COUNTIF($B$5:B538,B538),COUNTIF($B$5:B538,B538))))</f>
        <v>VIS_20270426_001</v>
      </c>
      <c r="B538" s="40">
        <v>46503</v>
      </c>
      <c r="C538" s="47" t="str">
        <f t="shared" si="16"/>
        <v>Пн</v>
      </c>
      <c r="I538" s="46"/>
      <c r="J538" s="39">
        <f t="shared" si="17"/>
        <v>46498</v>
      </c>
      <c r="K538" t="str">
        <f ca="1">IF(AND(B538&gt;='План недели'!$B$4,B538&lt;'План недели'!$D$4,D538&lt;&gt;"",G538&lt;&gt;"Отменён"),COUNTIFS($B$5:B538,"&gt;="&amp;'План недели'!$B$4,$B$5:B538,"&lt;"&amp;'План недели'!$D$4,$D$5:D538,"&lt;&gt;",$G$5:G538,"&lt;&gt;Отменён"),"")</f>
        <v/>
      </c>
    </row>
    <row r="539" spans="1:11">
      <c r="A539" t="str">
        <f>IF(B539="","","VIS_"&amp;(YEAR(B539)*10000+MONTH(B539)*100+DAY(B539))&amp;"_"&amp;IF(COUNTIF($B$5:B539,B539)&lt;10,"00"&amp;COUNTIF($B$5:B539,B539),IF(COUNTIF($B$5:B539,B539)&lt;100,"0"&amp;COUNTIF($B$5:B539,B539),COUNTIF($B$5:B539,B539))))</f>
        <v>VIS_20270427_001</v>
      </c>
      <c r="B539" s="40">
        <v>46504</v>
      </c>
      <c r="C539" s="47" t="str">
        <f t="shared" si="16"/>
        <v>Вт</v>
      </c>
      <c r="I539" s="46"/>
      <c r="J539" s="39">
        <f t="shared" si="17"/>
        <v>46498</v>
      </c>
      <c r="K539" t="str">
        <f ca="1">IF(AND(B539&gt;='План недели'!$B$4,B539&lt;'План недели'!$D$4,D539&lt;&gt;"",G539&lt;&gt;"Отменён"),COUNTIFS($B$5:B539,"&gt;="&amp;'План недели'!$B$4,$B$5:B539,"&lt;"&amp;'План недели'!$D$4,$D$5:D539,"&lt;&gt;",$G$5:G539,"&lt;&gt;Отменён"),"")</f>
        <v/>
      </c>
    </row>
    <row r="540" spans="1:11">
      <c r="A540" t="str">
        <f>IF(B540="","","VIS_"&amp;(YEAR(B540)*10000+MONTH(B540)*100+DAY(B540))&amp;"_"&amp;IF(COUNTIF($B$5:B540,B540)&lt;10,"00"&amp;COUNTIF($B$5:B540,B540),IF(COUNTIF($B$5:B540,B540)&lt;100,"0"&amp;COUNTIF($B$5:B540,B540),COUNTIF($B$5:B540,B540))))</f>
        <v>VIS_20270428_001</v>
      </c>
      <c r="B540" s="40">
        <v>46505</v>
      </c>
      <c r="C540" s="47" t="str">
        <f t="shared" si="16"/>
        <v>Ср</v>
      </c>
      <c r="I540" s="46"/>
      <c r="J540" s="39">
        <f t="shared" si="17"/>
        <v>46505</v>
      </c>
      <c r="K540" t="str">
        <f ca="1">IF(AND(B540&gt;='План недели'!$B$4,B540&lt;'План недели'!$D$4,D540&lt;&gt;"",G540&lt;&gt;"Отменён"),COUNTIFS($B$5:B540,"&gt;="&amp;'План недели'!$B$4,$B$5:B540,"&lt;"&amp;'План недели'!$D$4,$D$5:D540,"&lt;&gt;",$G$5:G540,"&lt;&gt;Отменён"),"")</f>
        <v/>
      </c>
    </row>
    <row r="541" spans="1:11">
      <c r="A541" t="str">
        <f>IF(B541="","","VIS_"&amp;(YEAR(B541)*10000+MONTH(B541)*100+DAY(B541))&amp;"_"&amp;IF(COUNTIF($B$5:B541,B541)&lt;10,"00"&amp;COUNTIF($B$5:B541,B541),IF(COUNTIF($B$5:B541,B541)&lt;100,"0"&amp;COUNTIF($B$5:B541,B541),COUNTIF($B$5:B541,B541))))</f>
        <v>VIS_20270429_001</v>
      </c>
      <c r="B541" s="40">
        <v>46506</v>
      </c>
      <c r="C541" s="47" t="str">
        <f t="shared" si="16"/>
        <v>Чт</v>
      </c>
      <c r="I541" s="46"/>
      <c r="J541" s="39">
        <f t="shared" si="17"/>
        <v>46505</v>
      </c>
      <c r="K541" t="str">
        <f ca="1">IF(AND(B541&gt;='План недели'!$B$4,B541&lt;'План недели'!$D$4,D541&lt;&gt;"",G541&lt;&gt;"Отменён"),COUNTIFS($B$5:B541,"&gt;="&amp;'План недели'!$B$4,$B$5:B541,"&lt;"&amp;'План недели'!$D$4,$D$5:D541,"&lt;&gt;",$G$5:G541,"&lt;&gt;Отменён"),"")</f>
        <v/>
      </c>
    </row>
    <row r="542" spans="1:11">
      <c r="A542" t="str">
        <f>IF(B542="","","VIS_"&amp;(YEAR(B542)*10000+MONTH(B542)*100+DAY(B542))&amp;"_"&amp;IF(COUNTIF($B$5:B542,B542)&lt;10,"00"&amp;COUNTIF($B$5:B542,B542),IF(COUNTIF($B$5:B542,B542)&lt;100,"0"&amp;COUNTIF($B$5:B542,B542),COUNTIF($B$5:B542,B542))))</f>
        <v>VIS_20270430_001</v>
      </c>
      <c r="B542" s="40">
        <v>46507</v>
      </c>
      <c r="C542" s="47" t="str">
        <f t="shared" si="16"/>
        <v>Пт</v>
      </c>
      <c r="I542" s="46"/>
      <c r="J542" s="39">
        <f t="shared" si="17"/>
        <v>46505</v>
      </c>
      <c r="K542" t="str">
        <f ca="1">IF(AND(B542&gt;='План недели'!$B$4,B542&lt;'План недели'!$D$4,D542&lt;&gt;"",G542&lt;&gt;"Отменён"),COUNTIFS($B$5:B542,"&gt;="&amp;'План недели'!$B$4,$B$5:B542,"&lt;"&amp;'План недели'!$D$4,$D$5:D542,"&lt;&gt;",$G$5:G542,"&lt;&gt;Отменён"),"")</f>
        <v/>
      </c>
    </row>
    <row r="543" spans="1:11">
      <c r="A543" t="str">
        <f>IF(B543="","","VIS_"&amp;(YEAR(B543)*10000+MONTH(B543)*100+DAY(B543))&amp;"_"&amp;IF(COUNTIF($B$5:B543,B543)&lt;10,"00"&amp;COUNTIF($B$5:B543,B543),IF(COUNTIF($B$5:B543,B543)&lt;100,"0"&amp;COUNTIF($B$5:B543,B543),COUNTIF($B$5:B543,B543))))</f>
        <v>VIS_20270501_001</v>
      </c>
      <c r="B543" s="42">
        <v>46508</v>
      </c>
      <c r="C543" s="49" t="str">
        <f t="shared" si="16"/>
        <v>Сб</v>
      </c>
      <c r="I543" s="46"/>
      <c r="J543" s="39">
        <f t="shared" si="17"/>
        <v>46505</v>
      </c>
      <c r="K543" t="str">
        <f ca="1">IF(AND(B543&gt;='План недели'!$B$4,B543&lt;'План недели'!$D$4,D543&lt;&gt;"",G543&lt;&gt;"Отменён"),COUNTIFS($B$5:B543,"&gt;="&amp;'План недели'!$B$4,$B$5:B543,"&lt;"&amp;'План недели'!$D$4,$D$5:D543,"&lt;&gt;",$G$5:G543,"&lt;&gt;Отменён"),"")</f>
        <v/>
      </c>
    </row>
    <row r="544" spans="1:11">
      <c r="A544" t="str">
        <f>IF(B544="","","VIS_"&amp;(YEAR(B544)*10000+MONTH(B544)*100+DAY(B544))&amp;"_"&amp;IF(COUNTIF($B$5:B544,B544)&lt;10,"00"&amp;COUNTIF($B$5:B544,B544),IF(COUNTIF($B$5:B544,B544)&lt;100,"0"&amp;COUNTIF($B$5:B544,B544),COUNTIF($B$5:B544,B544))))</f>
        <v>VIS_20270502_001</v>
      </c>
      <c r="B544" s="42">
        <v>46509</v>
      </c>
      <c r="C544" s="49" t="str">
        <f t="shared" si="16"/>
        <v>Вс</v>
      </c>
      <c r="I544" s="46"/>
      <c r="J544" s="39">
        <f t="shared" si="17"/>
        <v>46505</v>
      </c>
      <c r="K544" t="str">
        <f ca="1">IF(AND(B544&gt;='План недели'!$B$4,B544&lt;'План недели'!$D$4,D544&lt;&gt;"",G544&lt;&gt;"Отменён"),COUNTIFS($B$5:B544,"&gt;="&amp;'План недели'!$B$4,$B$5:B544,"&lt;"&amp;'План недели'!$D$4,$D$5:D544,"&lt;&gt;",$G$5:G544,"&lt;&gt;Отменён"),"")</f>
        <v/>
      </c>
    </row>
    <row r="545" spans="1:11">
      <c r="A545" t="str">
        <f>IF(B545="","","VIS_"&amp;(YEAR(B545)*10000+MONTH(B545)*100+DAY(B545))&amp;"_"&amp;IF(COUNTIF($B$5:B545,B545)&lt;10,"00"&amp;COUNTIF($B$5:B545,B545),IF(COUNTIF($B$5:B545,B545)&lt;100,"0"&amp;COUNTIF($B$5:B545,B545),COUNTIF($B$5:B545,B545))))</f>
        <v>VIS_20270503_001</v>
      </c>
      <c r="B545" s="40">
        <v>46510</v>
      </c>
      <c r="C545" s="47" t="str">
        <f t="shared" si="16"/>
        <v>Пн</v>
      </c>
      <c r="I545" s="46"/>
      <c r="J545" s="39">
        <f t="shared" si="17"/>
        <v>46505</v>
      </c>
      <c r="K545" t="str">
        <f ca="1">IF(AND(B545&gt;='План недели'!$B$4,B545&lt;'План недели'!$D$4,D545&lt;&gt;"",G545&lt;&gt;"Отменён"),COUNTIFS($B$5:B545,"&gt;="&amp;'План недели'!$B$4,$B$5:B545,"&lt;"&amp;'План недели'!$D$4,$D$5:D545,"&lt;&gt;",$G$5:G545,"&lt;&gt;Отменён"),"")</f>
        <v/>
      </c>
    </row>
    <row r="546" spans="1:11">
      <c r="A546" t="str">
        <f>IF(B546="","","VIS_"&amp;(YEAR(B546)*10000+MONTH(B546)*100+DAY(B546))&amp;"_"&amp;IF(COUNTIF($B$5:B546,B546)&lt;10,"00"&amp;COUNTIF($B$5:B546,B546),IF(COUNTIF($B$5:B546,B546)&lt;100,"0"&amp;COUNTIF($B$5:B546,B546),COUNTIF($B$5:B546,B546))))</f>
        <v>VIS_20270504_001</v>
      </c>
      <c r="B546" s="40">
        <v>46511</v>
      </c>
      <c r="C546" s="47" t="str">
        <f t="shared" si="16"/>
        <v>Вт</v>
      </c>
      <c r="I546" s="46"/>
      <c r="J546" s="39">
        <f t="shared" si="17"/>
        <v>46505</v>
      </c>
      <c r="K546" t="str">
        <f ca="1">IF(AND(B546&gt;='План недели'!$B$4,B546&lt;'План недели'!$D$4,D546&lt;&gt;"",G546&lt;&gt;"Отменён"),COUNTIFS($B$5:B546,"&gt;="&amp;'План недели'!$B$4,$B$5:B546,"&lt;"&amp;'План недели'!$D$4,$D$5:D546,"&lt;&gt;",$G$5:G546,"&lt;&gt;Отменён"),"")</f>
        <v/>
      </c>
    </row>
    <row r="547" spans="1:11">
      <c r="A547" t="str">
        <f>IF(B547="","","VIS_"&amp;(YEAR(B547)*10000+MONTH(B547)*100+DAY(B547))&amp;"_"&amp;IF(COUNTIF($B$5:B547,B547)&lt;10,"00"&amp;COUNTIF($B$5:B547,B547),IF(COUNTIF($B$5:B547,B547)&lt;100,"0"&amp;COUNTIF($B$5:B547,B547),COUNTIF($B$5:B547,B547))))</f>
        <v>VIS_20270505_001</v>
      </c>
      <c r="B547" s="40">
        <v>46512</v>
      </c>
      <c r="C547" s="47" t="str">
        <f t="shared" si="16"/>
        <v>Ср</v>
      </c>
      <c r="I547" s="46"/>
      <c r="J547" s="39">
        <f t="shared" si="17"/>
        <v>46512</v>
      </c>
      <c r="K547" t="str">
        <f ca="1">IF(AND(B547&gt;='План недели'!$B$4,B547&lt;'План недели'!$D$4,D547&lt;&gt;"",G547&lt;&gt;"Отменён"),COUNTIFS($B$5:B547,"&gt;="&amp;'План недели'!$B$4,$B$5:B547,"&lt;"&amp;'План недели'!$D$4,$D$5:D547,"&lt;&gt;",$G$5:G547,"&lt;&gt;Отменён"),"")</f>
        <v/>
      </c>
    </row>
    <row r="548" spans="1:11">
      <c r="A548" t="str">
        <f>IF(B548="","","VIS_"&amp;(YEAR(B548)*10000+MONTH(B548)*100+DAY(B548))&amp;"_"&amp;IF(COUNTIF($B$5:B548,B548)&lt;10,"00"&amp;COUNTIF($B$5:B548,B548),IF(COUNTIF($B$5:B548,B548)&lt;100,"0"&amp;COUNTIF($B$5:B548,B548),COUNTIF($B$5:B548,B548))))</f>
        <v>VIS_20270506_001</v>
      </c>
      <c r="B548" s="40">
        <v>46513</v>
      </c>
      <c r="C548" s="47" t="str">
        <f t="shared" si="16"/>
        <v>Чт</v>
      </c>
      <c r="I548" s="46"/>
      <c r="J548" s="39">
        <f t="shared" si="17"/>
        <v>46512</v>
      </c>
      <c r="K548" t="str">
        <f ca="1">IF(AND(B548&gt;='План недели'!$B$4,B548&lt;'План недели'!$D$4,D548&lt;&gt;"",G548&lt;&gt;"Отменён"),COUNTIFS($B$5:B548,"&gt;="&amp;'План недели'!$B$4,$B$5:B548,"&lt;"&amp;'План недели'!$D$4,$D$5:D548,"&lt;&gt;",$G$5:G548,"&lt;&gt;Отменён"),"")</f>
        <v/>
      </c>
    </row>
    <row r="549" spans="1:11">
      <c r="A549" t="str">
        <f>IF(B549="","","VIS_"&amp;(YEAR(B549)*10000+MONTH(B549)*100+DAY(B549))&amp;"_"&amp;IF(COUNTIF($B$5:B549,B549)&lt;10,"00"&amp;COUNTIF($B$5:B549,B549),IF(COUNTIF($B$5:B549,B549)&lt;100,"0"&amp;COUNTIF($B$5:B549,B549),COUNTIF($B$5:B549,B549))))</f>
        <v>VIS_20270507_001</v>
      </c>
      <c r="B549" s="40">
        <v>46514</v>
      </c>
      <c r="C549" s="47" t="str">
        <f t="shared" si="16"/>
        <v>Пт</v>
      </c>
      <c r="I549" s="46"/>
      <c r="J549" s="39">
        <f t="shared" si="17"/>
        <v>46512</v>
      </c>
      <c r="K549" t="str">
        <f ca="1">IF(AND(B549&gt;='План недели'!$B$4,B549&lt;'План недели'!$D$4,D549&lt;&gt;"",G549&lt;&gt;"Отменён"),COUNTIFS($B$5:B549,"&gt;="&amp;'План недели'!$B$4,$B$5:B549,"&lt;"&amp;'План недели'!$D$4,$D$5:D549,"&lt;&gt;",$G$5:G549,"&lt;&gt;Отменён"),"")</f>
        <v/>
      </c>
    </row>
    <row r="550" spans="1:11">
      <c r="A550" t="str">
        <f>IF(B550="","","VIS_"&amp;(YEAR(B550)*10000+MONTH(B550)*100+DAY(B550))&amp;"_"&amp;IF(COUNTIF($B$5:B550,B550)&lt;10,"00"&amp;COUNTIF($B$5:B550,B550),IF(COUNTIF($B$5:B550,B550)&lt;100,"0"&amp;COUNTIF($B$5:B550,B550),COUNTIF($B$5:B550,B550))))</f>
        <v>VIS_20270508_001</v>
      </c>
      <c r="B550" s="42">
        <v>46515</v>
      </c>
      <c r="C550" s="49" t="str">
        <f t="shared" si="16"/>
        <v>Сб</v>
      </c>
      <c r="I550" s="46"/>
      <c r="J550" s="39">
        <f t="shared" si="17"/>
        <v>46512</v>
      </c>
      <c r="K550" t="str">
        <f ca="1">IF(AND(B550&gt;='План недели'!$B$4,B550&lt;'План недели'!$D$4,D550&lt;&gt;"",G550&lt;&gt;"Отменён"),COUNTIFS($B$5:B550,"&gt;="&amp;'План недели'!$B$4,$B$5:B550,"&lt;"&amp;'План недели'!$D$4,$D$5:D550,"&lt;&gt;",$G$5:G550,"&lt;&gt;Отменён"),"")</f>
        <v/>
      </c>
    </row>
    <row r="551" spans="1:11">
      <c r="A551" t="str">
        <f>IF(B551="","","VIS_"&amp;(YEAR(B551)*10000+MONTH(B551)*100+DAY(B551))&amp;"_"&amp;IF(COUNTIF($B$5:B551,B551)&lt;10,"00"&amp;COUNTIF($B$5:B551,B551),IF(COUNTIF($B$5:B551,B551)&lt;100,"0"&amp;COUNTIF($B$5:B551,B551),COUNTIF($B$5:B551,B551))))</f>
        <v>VIS_20270509_001</v>
      </c>
      <c r="B551" s="42">
        <v>46516</v>
      </c>
      <c r="C551" s="49" t="str">
        <f t="shared" si="16"/>
        <v>Вс</v>
      </c>
      <c r="I551" s="46"/>
      <c r="J551" s="39">
        <f t="shared" si="17"/>
        <v>46512</v>
      </c>
      <c r="K551" t="str">
        <f ca="1">IF(AND(B551&gt;='План недели'!$B$4,B551&lt;'План недели'!$D$4,D551&lt;&gt;"",G551&lt;&gt;"Отменён"),COUNTIFS($B$5:B551,"&gt;="&amp;'План недели'!$B$4,$B$5:B551,"&lt;"&amp;'План недели'!$D$4,$D$5:D551,"&lt;&gt;",$G$5:G551,"&lt;&gt;Отменён"),"")</f>
        <v/>
      </c>
    </row>
    <row r="552" spans="1:11">
      <c r="A552" t="str">
        <f>IF(B552="","","VIS_"&amp;(YEAR(B552)*10000+MONTH(B552)*100+DAY(B552))&amp;"_"&amp;IF(COUNTIF($B$5:B552,B552)&lt;10,"00"&amp;COUNTIF($B$5:B552,B552),IF(COUNTIF($B$5:B552,B552)&lt;100,"0"&amp;COUNTIF($B$5:B552,B552),COUNTIF($B$5:B552,B552))))</f>
        <v>VIS_20270510_001</v>
      </c>
      <c r="B552" s="40">
        <v>46517</v>
      </c>
      <c r="C552" s="47" t="str">
        <f t="shared" si="16"/>
        <v>Пн</v>
      </c>
      <c r="I552" s="46"/>
      <c r="J552" s="39">
        <f t="shared" si="17"/>
        <v>46512</v>
      </c>
      <c r="K552" t="str">
        <f ca="1">IF(AND(B552&gt;='План недели'!$B$4,B552&lt;'План недели'!$D$4,D552&lt;&gt;"",G552&lt;&gt;"Отменён"),COUNTIFS($B$5:B552,"&gt;="&amp;'План недели'!$B$4,$B$5:B552,"&lt;"&amp;'План недели'!$D$4,$D$5:D552,"&lt;&gt;",$G$5:G552,"&lt;&gt;Отменён"),"")</f>
        <v/>
      </c>
    </row>
    <row r="553" spans="1:11">
      <c r="A553" t="str">
        <f>IF(B553="","","VIS_"&amp;(YEAR(B553)*10000+MONTH(B553)*100+DAY(B553))&amp;"_"&amp;IF(COUNTIF($B$5:B553,B553)&lt;10,"00"&amp;COUNTIF($B$5:B553,B553),IF(COUNTIF($B$5:B553,B553)&lt;100,"0"&amp;COUNTIF($B$5:B553,B553),COUNTIF($B$5:B553,B553))))</f>
        <v>VIS_20270511_001</v>
      </c>
      <c r="B553" s="40">
        <v>46518</v>
      </c>
      <c r="C553" s="47" t="str">
        <f t="shared" si="16"/>
        <v>Вт</v>
      </c>
      <c r="I553" s="46"/>
      <c r="J553" s="39">
        <f t="shared" si="17"/>
        <v>46512</v>
      </c>
      <c r="K553" t="str">
        <f ca="1">IF(AND(B553&gt;='План недели'!$B$4,B553&lt;'План недели'!$D$4,D553&lt;&gt;"",G553&lt;&gt;"Отменён"),COUNTIFS($B$5:B553,"&gt;="&amp;'План недели'!$B$4,$B$5:B553,"&lt;"&amp;'План недели'!$D$4,$D$5:D553,"&lt;&gt;",$G$5:G553,"&lt;&gt;Отменён"),"")</f>
        <v/>
      </c>
    </row>
    <row r="554" spans="1:11">
      <c r="A554" t="str">
        <f>IF(B554="","","VIS_"&amp;(YEAR(B554)*10000+MONTH(B554)*100+DAY(B554))&amp;"_"&amp;IF(COUNTIF($B$5:B554,B554)&lt;10,"00"&amp;COUNTIF($B$5:B554,B554),IF(COUNTIF($B$5:B554,B554)&lt;100,"0"&amp;COUNTIF($B$5:B554,B554),COUNTIF($B$5:B554,B554))))</f>
        <v>VIS_20270512_001</v>
      </c>
      <c r="B554" s="40">
        <v>46519</v>
      </c>
      <c r="C554" s="47" t="str">
        <f t="shared" si="16"/>
        <v>Ср</v>
      </c>
      <c r="I554" s="46"/>
      <c r="J554" s="39">
        <f t="shared" si="17"/>
        <v>46519</v>
      </c>
      <c r="K554" t="str">
        <f ca="1">IF(AND(B554&gt;='План недели'!$B$4,B554&lt;'План недели'!$D$4,D554&lt;&gt;"",G554&lt;&gt;"Отменён"),COUNTIFS($B$5:B554,"&gt;="&amp;'План недели'!$B$4,$B$5:B554,"&lt;"&amp;'План недели'!$D$4,$D$5:D554,"&lt;&gt;",$G$5:G554,"&lt;&gt;Отменён"),"")</f>
        <v/>
      </c>
    </row>
    <row r="555" spans="1:11">
      <c r="A555" t="str">
        <f>IF(B555="","","VIS_"&amp;(YEAR(B555)*10000+MONTH(B555)*100+DAY(B555))&amp;"_"&amp;IF(COUNTIF($B$5:B555,B555)&lt;10,"00"&amp;COUNTIF($B$5:B555,B555),IF(COUNTIF($B$5:B555,B555)&lt;100,"0"&amp;COUNTIF($B$5:B555,B555),COUNTIF($B$5:B555,B555))))</f>
        <v>VIS_20270513_001</v>
      </c>
      <c r="B555" s="40">
        <v>46520</v>
      </c>
      <c r="C555" s="47" t="str">
        <f t="shared" si="16"/>
        <v>Чт</v>
      </c>
      <c r="I555" s="46"/>
      <c r="J555" s="39">
        <f t="shared" si="17"/>
        <v>46519</v>
      </c>
      <c r="K555" t="str">
        <f ca="1">IF(AND(B555&gt;='План недели'!$B$4,B555&lt;'План недели'!$D$4,D555&lt;&gt;"",G555&lt;&gt;"Отменён"),COUNTIFS($B$5:B555,"&gt;="&amp;'План недели'!$B$4,$B$5:B555,"&lt;"&amp;'План недели'!$D$4,$D$5:D555,"&lt;&gt;",$G$5:G555,"&lt;&gt;Отменён"),"")</f>
        <v/>
      </c>
    </row>
    <row r="556" spans="1:11">
      <c r="A556" t="str">
        <f>IF(B556="","","VIS_"&amp;(YEAR(B556)*10000+MONTH(B556)*100+DAY(B556))&amp;"_"&amp;IF(COUNTIF($B$5:B556,B556)&lt;10,"00"&amp;COUNTIF($B$5:B556,B556),IF(COUNTIF($B$5:B556,B556)&lt;100,"0"&amp;COUNTIF($B$5:B556,B556),COUNTIF($B$5:B556,B556))))</f>
        <v>VIS_20270514_001</v>
      </c>
      <c r="B556" s="40">
        <v>46521</v>
      </c>
      <c r="C556" s="47" t="str">
        <f t="shared" si="16"/>
        <v>Пт</v>
      </c>
      <c r="I556" s="46"/>
      <c r="J556" s="39">
        <f t="shared" si="17"/>
        <v>46519</v>
      </c>
      <c r="K556" t="str">
        <f ca="1">IF(AND(B556&gt;='План недели'!$B$4,B556&lt;'План недели'!$D$4,D556&lt;&gt;"",G556&lt;&gt;"Отменён"),COUNTIFS($B$5:B556,"&gt;="&amp;'План недели'!$B$4,$B$5:B556,"&lt;"&amp;'План недели'!$D$4,$D$5:D556,"&lt;&gt;",$G$5:G556,"&lt;&gt;Отменён"),"")</f>
        <v/>
      </c>
    </row>
    <row r="557" spans="1:11">
      <c r="A557" t="str">
        <f>IF(B557="","","VIS_"&amp;(YEAR(B557)*10000+MONTH(B557)*100+DAY(B557))&amp;"_"&amp;IF(COUNTIF($B$5:B557,B557)&lt;10,"00"&amp;COUNTIF($B$5:B557,B557),IF(COUNTIF($B$5:B557,B557)&lt;100,"0"&amp;COUNTIF($B$5:B557,B557),COUNTIF($B$5:B557,B557))))</f>
        <v>VIS_20270515_001</v>
      </c>
      <c r="B557" s="42">
        <v>46522</v>
      </c>
      <c r="C557" s="49" t="str">
        <f t="shared" si="16"/>
        <v>Сб</v>
      </c>
      <c r="I557" s="46"/>
      <c r="J557" s="39">
        <f t="shared" si="17"/>
        <v>46519</v>
      </c>
      <c r="K557" t="str">
        <f ca="1">IF(AND(B557&gt;='План недели'!$B$4,B557&lt;'План недели'!$D$4,D557&lt;&gt;"",G557&lt;&gt;"Отменён"),COUNTIFS($B$5:B557,"&gt;="&amp;'План недели'!$B$4,$B$5:B557,"&lt;"&amp;'План недели'!$D$4,$D$5:D557,"&lt;&gt;",$G$5:G557,"&lt;&gt;Отменён"),"")</f>
        <v/>
      </c>
    </row>
    <row r="558" spans="1:11">
      <c r="A558" t="str">
        <f>IF(B558="","","VIS_"&amp;(YEAR(B558)*10000+MONTH(B558)*100+DAY(B558))&amp;"_"&amp;IF(COUNTIF($B$5:B558,B558)&lt;10,"00"&amp;COUNTIF($B$5:B558,B558),IF(COUNTIF($B$5:B558,B558)&lt;100,"0"&amp;COUNTIF($B$5:B558,B558),COUNTIF($B$5:B558,B558))))</f>
        <v>VIS_20270516_001</v>
      </c>
      <c r="B558" s="42">
        <v>46523</v>
      </c>
      <c r="C558" s="49" t="str">
        <f t="shared" si="16"/>
        <v>Вс</v>
      </c>
      <c r="I558" s="46"/>
      <c r="J558" s="39">
        <f t="shared" si="17"/>
        <v>46519</v>
      </c>
      <c r="K558" t="str">
        <f ca="1">IF(AND(B558&gt;='План недели'!$B$4,B558&lt;'План недели'!$D$4,D558&lt;&gt;"",G558&lt;&gt;"Отменён"),COUNTIFS($B$5:B558,"&gt;="&amp;'План недели'!$B$4,$B$5:B558,"&lt;"&amp;'План недели'!$D$4,$D$5:D558,"&lt;&gt;",$G$5:G558,"&lt;&gt;Отменён"),"")</f>
        <v/>
      </c>
    </row>
    <row r="559" spans="1:11">
      <c r="A559" t="str">
        <f>IF(B559="","","VIS_"&amp;(YEAR(B559)*10000+MONTH(B559)*100+DAY(B559))&amp;"_"&amp;IF(COUNTIF($B$5:B559,B559)&lt;10,"00"&amp;COUNTIF($B$5:B559,B559),IF(COUNTIF($B$5:B559,B559)&lt;100,"0"&amp;COUNTIF($B$5:B559,B559),COUNTIF($B$5:B559,B559))))</f>
        <v>VIS_20270517_001</v>
      </c>
      <c r="B559" s="40">
        <v>46524</v>
      </c>
      <c r="C559" s="47" t="str">
        <f t="shared" si="16"/>
        <v>Пн</v>
      </c>
      <c r="I559" s="46"/>
      <c r="J559" s="39">
        <f t="shared" si="17"/>
        <v>46519</v>
      </c>
      <c r="K559" t="str">
        <f ca="1">IF(AND(B559&gt;='План недели'!$B$4,B559&lt;'План недели'!$D$4,D559&lt;&gt;"",G559&lt;&gt;"Отменён"),COUNTIFS($B$5:B559,"&gt;="&amp;'План недели'!$B$4,$B$5:B559,"&lt;"&amp;'План недели'!$D$4,$D$5:D559,"&lt;&gt;",$G$5:G559,"&lt;&gt;Отменён"),"")</f>
        <v/>
      </c>
    </row>
    <row r="560" spans="1:11">
      <c r="A560" t="str">
        <f>IF(B560="","","VIS_"&amp;(YEAR(B560)*10000+MONTH(B560)*100+DAY(B560))&amp;"_"&amp;IF(COUNTIF($B$5:B560,B560)&lt;10,"00"&amp;COUNTIF($B$5:B560,B560),IF(COUNTIF($B$5:B560,B560)&lt;100,"0"&amp;COUNTIF($B$5:B560,B560),COUNTIF($B$5:B560,B560))))</f>
        <v>VIS_20270518_001</v>
      </c>
      <c r="B560" s="40">
        <v>46525</v>
      </c>
      <c r="C560" s="47" t="str">
        <f t="shared" si="16"/>
        <v>Вт</v>
      </c>
      <c r="I560" s="46"/>
      <c r="J560" s="39">
        <f t="shared" si="17"/>
        <v>46519</v>
      </c>
      <c r="K560" t="str">
        <f ca="1">IF(AND(B560&gt;='План недели'!$B$4,B560&lt;'План недели'!$D$4,D560&lt;&gt;"",G560&lt;&gt;"Отменён"),COUNTIFS($B$5:B560,"&gt;="&amp;'План недели'!$B$4,$B$5:B560,"&lt;"&amp;'План недели'!$D$4,$D$5:D560,"&lt;&gt;",$G$5:G560,"&lt;&gt;Отменён"),"")</f>
        <v/>
      </c>
    </row>
    <row r="561" spans="1:11">
      <c r="A561" t="str">
        <f>IF(B561="","","VIS_"&amp;(YEAR(B561)*10000+MONTH(B561)*100+DAY(B561))&amp;"_"&amp;IF(COUNTIF($B$5:B561,B561)&lt;10,"00"&amp;COUNTIF($B$5:B561,B561),IF(COUNTIF($B$5:B561,B561)&lt;100,"0"&amp;COUNTIF($B$5:B561,B561),COUNTIF($B$5:B561,B561))))</f>
        <v>VIS_20270519_001</v>
      </c>
      <c r="B561" s="40">
        <v>46526</v>
      </c>
      <c r="C561" s="47" t="str">
        <f t="shared" si="16"/>
        <v>Ср</v>
      </c>
      <c r="I561" s="46"/>
      <c r="J561" s="39">
        <f t="shared" si="17"/>
        <v>46526</v>
      </c>
      <c r="K561" t="str">
        <f ca="1">IF(AND(B561&gt;='План недели'!$B$4,B561&lt;'План недели'!$D$4,D561&lt;&gt;"",G561&lt;&gt;"Отменён"),COUNTIFS($B$5:B561,"&gt;="&amp;'План недели'!$B$4,$B$5:B561,"&lt;"&amp;'План недели'!$D$4,$D$5:D561,"&lt;&gt;",$G$5:G561,"&lt;&gt;Отменён"),"")</f>
        <v/>
      </c>
    </row>
    <row r="562" spans="1:11">
      <c r="A562" t="str">
        <f>IF(B562="","","VIS_"&amp;(YEAR(B562)*10000+MONTH(B562)*100+DAY(B562))&amp;"_"&amp;IF(COUNTIF($B$5:B562,B562)&lt;10,"00"&amp;COUNTIF($B$5:B562,B562),IF(COUNTIF($B$5:B562,B562)&lt;100,"0"&amp;COUNTIF($B$5:B562,B562),COUNTIF($B$5:B562,B562))))</f>
        <v>VIS_20270520_001</v>
      </c>
      <c r="B562" s="40">
        <v>46527</v>
      </c>
      <c r="C562" s="47" t="str">
        <f t="shared" si="16"/>
        <v>Чт</v>
      </c>
      <c r="I562" s="46"/>
      <c r="J562" s="39">
        <f t="shared" si="17"/>
        <v>46526</v>
      </c>
      <c r="K562" t="str">
        <f ca="1">IF(AND(B562&gt;='План недели'!$B$4,B562&lt;'План недели'!$D$4,D562&lt;&gt;"",G562&lt;&gt;"Отменён"),COUNTIFS($B$5:B562,"&gt;="&amp;'План недели'!$B$4,$B$5:B562,"&lt;"&amp;'План недели'!$D$4,$D$5:D562,"&lt;&gt;",$G$5:G562,"&lt;&gt;Отменён"),"")</f>
        <v/>
      </c>
    </row>
    <row r="563" spans="1:11">
      <c r="A563" t="str">
        <f>IF(B563="","","VIS_"&amp;(YEAR(B563)*10000+MONTH(B563)*100+DAY(B563))&amp;"_"&amp;IF(COUNTIF($B$5:B563,B563)&lt;10,"00"&amp;COUNTIF($B$5:B563,B563),IF(COUNTIF($B$5:B563,B563)&lt;100,"0"&amp;COUNTIF($B$5:B563,B563),COUNTIF($B$5:B563,B563))))</f>
        <v>VIS_20270521_001</v>
      </c>
      <c r="B563" s="40">
        <v>46528</v>
      </c>
      <c r="C563" s="47" t="str">
        <f t="shared" si="16"/>
        <v>Пт</v>
      </c>
      <c r="I563" s="46"/>
      <c r="J563" s="39">
        <f t="shared" si="17"/>
        <v>46526</v>
      </c>
      <c r="K563" t="str">
        <f ca="1">IF(AND(B563&gt;='План недели'!$B$4,B563&lt;'План недели'!$D$4,D563&lt;&gt;"",G563&lt;&gt;"Отменён"),COUNTIFS($B$5:B563,"&gt;="&amp;'План недели'!$B$4,$B$5:B563,"&lt;"&amp;'План недели'!$D$4,$D$5:D563,"&lt;&gt;",$G$5:G563,"&lt;&gt;Отменён"),"")</f>
        <v/>
      </c>
    </row>
    <row r="564" spans="1:11">
      <c r="A564" t="str">
        <f>IF(B564="","","VIS_"&amp;(YEAR(B564)*10000+MONTH(B564)*100+DAY(B564))&amp;"_"&amp;IF(COUNTIF($B$5:B564,B564)&lt;10,"00"&amp;COUNTIF($B$5:B564,B564),IF(COUNTIF($B$5:B564,B564)&lt;100,"0"&amp;COUNTIF($B$5:B564,B564),COUNTIF($B$5:B564,B564))))</f>
        <v>VIS_20270522_001</v>
      </c>
      <c r="B564" s="42">
        <v>46529</v>
      </c>
      <c r="C564" s="49" t="str">
        <f t="shared" si="16"/>
        <v>Сб</v>
      </c>
      <c r="I564" s="46"/>
      <c r="J564" s="39">
        <f t="shared" si="17"/>
        <v>46526</v>
      </c>
      <c r="K564" t="str">
        <f ca="1">IF(AND(B564&gt;='План недели'!$B$4,B564&lt;'План недели'!$D$4,D564&lt;&gt;"",G564&lt;&gt;"Отменён"),COUNTIFS($B$5:B564,"&gt;="&amp;'План недели'!$B$4,$B$5:B564,"&lt;"&amp;'План недели'!$D$4,$D$5:D564,"&lt;&gt;",$G$5:G564,"&lt;&gt;Отменён"),"")</f>
        <v/>
      </c>
    </row>
    <row r="565" spans="1:11">
      <c r="A565" t="str">
        <f>IF(B565="","","VIS_"&amp;(YEAR(B565)*10000+MONTH(B565)*100+DAY(B565))&amp;"_"&amp;IF(COUNTIF($B$5:B565,B565)&lt;10,"00"&amp;COUNTIF($B$5:B565,B565),IF(COUNTIF($B$5:B565,B565)&lt;100,"0"&amp;COUNTIF($B$5:B565,B565),COUNTIF($B$5:B565,B565))))</f>
        <v>VIS_20270523_001</v>
      </c>
      <c r="B565" s="42">
        <v>46530</v>
      </c>
      <c r="C565" s="49" t="str">
        <f t="shared" si="16"/>
        <v>Вс</v>
      </c>
      <c r="I565" s="46"/>
      <c r="J565" s="39">
        <f t="shared" si="17"/>
        <v>46526</v>
      </c>
      <c r="K565" t="str">
        <f ca="1">IF(AND(B565&gt;='План недели'!$B$4,B565&lt;'План недели'!$D$4,D565&lt;&gt;"",G565&lt;&gt;"Отменён"),COUNTIFS($B$5:B565,"&gt;="&amp;'План недели'!$B$4,$B$5:B565,"&lt;"&amp;'План недели'!$D$4,$D$5:D565,"&lt;&gt;",$G$5:G565,"&lt;&gt;Отменён"),"")</f>
        <v/>
      </c>
    </row>
    <row r="566" spans="1:11">
      <c r="A566" t="str">
        <f>IF(B566="","","VIS_"&amp;(YEAR(B566)*10000+MONTH(B566)*100+DAY(B566))&amp;"_"&amp;IF(COUNTIF($B$5:B566,B566)&lt;10,"00"&amp;COUNTIF($B$5:B566,B566),IF(COUNTIF($B$5:B566,B566)&lt;100,"0"&amp;COUNTIF($B$5:B566,B566),COUNTIF($B$5:B566,B566))))</f>
        <v>VIS_20270524_001</v>
      </c>
      <c r="B566" s="40">
        <v>46531</v>
      </c>
      <c r="C566" s="47" t="str">
        <f t="shared" si="16"/>
        <v>Пн</v>
      </c>
      <c r="I566" s="46"/>
      <c r="J566" s="39">
        <f t="shared" si="17"/>
        <v>46526</v>
      </c>
      <c r="K566" t="str">
        <f ca="1">IF(AND(B566&gt;='План недели'!$B$4,B566&lt;'План недели'!$D$4,D566&lt;&gt;"",G566&lt;&gt;"Отменён"),COUNTIFS($B$5:B566,"&gt;="&amp;'План недели'!$B$4,$B$5:B566,"&lt;"&amp;'План недели'!$D$4,$D$5:D566,"&lt;&gt;",$G$5:G566,"&lt;&gt;Отменён"),"")</f>
        <v/>
      </c>
    </row>
    <row r="567" spans="1:11">
      <c r="A567" t="str">
        <f>IF(B567="","","VIS_"&amp;(YEAR(B567)*10000+MONTH(B567)*100+DAY(B567))&amp;"_"&amp;IF(COUNTIF($B$5:B567,B567)&lt;10,"00"&amp;COUNTIF($B$5:B567,B567),IF(COUNTIF($B$5:B567,B567)&lt;100,"0"&amp;COUNTIF($B$5:B567,B567),COUNTIF($B$5:B567,B567))))</f>
        <v>VIS_20270525_001</v>
      </c>
      <c r="B567" s="40">
        <v>46532</v>
      </c>
      <c r="C567" s="47" t="str">
        <f t="shared" si="16"/>
        <v>Вт</v>
      </c>
      <c r="I567" s="46"/>
      <c r="J567" s="39">
        <f t="shared" si="17"/>
        <v>46526</v>
      </c>
      <c r="K567" t="str">
        <f ca="1">IF(AND(B567&gt;='План недели'!$B$4,B567&lt;'План недели'!$D$4,D567&lt;&gt;"",G567&lt;&gt;"Отменён"),COUNTIFS($B$5:B567,"&gt;="&amp;'План недели'!$B$4,$B$5:B567,"&lt;"&amp;'План недели'!$D$4,$D$5:D567,"&lt;&gt;",$G$5:G567,"&lt;&gt;Отменён"),"")</f>
        <v/>
      </c>
    </row>
    <row r="568" spans="1:11">
      <c r="A568" t="str">
        <f>IF(B568="","","VIS_"&amp;(YEAR(B568)*10000+MONTH(B568)*100+DAY(B568))&amp;"_"&amp;IF(COUNTIF($B$5:B568,B568)&lt;10,"00"&amp;COUNTIF($B$5:B568,B568),IF(COUNTIF($B$5:B568,B568)&lt;100,"0"&amp;COUNTIF($B$5:B568,B568),COUNTIF($B$5:B568,B568))))</f>
        <v>VIS_20270526_001</v>
      </c>
      <c r="B568" s="40">
        <v>46533</v>
      </c>
      <c r="C568" s="47" t="str">
        <f t="shared" si="16"/>
        <v>Ср</v>
      </c>
      <c r="I568" s="46"/>
      <c r="J568" s="39">
        <f t="shared" si="17"/>
        <v>46533</v>
      </c>
      <c r="K568" t="str">
        <f ca="1">IF(AND(B568&gt;='План недели'!$B$4,B568&lt;'План недели'!$D$4,D568&lt;&gt;"",G568&lt;&gt;"Отменён"),COUNTIFS($B$5:B568,"&gt;="&amp;'План недели'!$B$4,$B$5:B568,"&lt;"&amp;'План недели'!$D$4,$D$5:D568,"&lt;&gt;",$G$5:G568,"&lt;&gt;Отменён"),"")</f>
        <v/>
      </c>
    </row>
    <row r="569" spans="1:11">
      <c r="A569" t="str">
        <f>IF(B569="","","VIS_"&amp;(YEAR(B569)*10000+MONTH(B569)*100+DAY(B569))&amp;"_"&amp;IF(COUNTIF($B$5:B569,B569)&lt;10,"00"&amp;COUNTIF($B$5:B569,B569),IF(COUNTIF($B$5:B569,B569)&lt;100,"0"&amp;COUNTIF($B$5:B569,B569),COUNTIF($B$5:B569,B569))))</f>
        <v>VIS_20270527_001</v>
      </c>
      <c r="B569" s="40">
        <v>46534</v>
      </c>
      <c r="C569" s="47" t="str">
        <f t="shared" si="16"/>
        <v>Чт</v>
      </c>
      <c r="I569" s="46"/>
      <c r="J569" s="39">
        <f t="shared" si="17"/>
        <v>46533</v>
      </c>
      <c r="K569" t="str">
        <f ca="1">IF(AND(B569&gt;='План недели'!$B$4,B569&lt;'План недели'!$D$4,D569&lt;&gt;"",G569&lt;&gt;"Отменён"),COUNTIFS($B$5:B569,"&gt;="&amp;'План недели'!$B$4,$B$5:B569,"&lt;"&amp;'План недели'!$D$4,$D$5:D569,"&lt;&gt;",$G$5:G569,"&lt;&gt;Отменён"),"")</f>
        <v/>
      </c>
    </row>
    <row r="570" spans="1:11">
      <c r="A570" t="str">
        <f>IF(B570="","","VIS_"&amp;(YEAR(B570)*10000+MONTH(B570)*100+DAY(B570))&amp;"_"&amp;IF(COUNTIF($B$5:B570,B570)&lt;10,"00"&amp;COUNTIF($B$5:B570,B570),IF(COUNTIF($B$5:B570,B570)&lt;100,"0"&amp;COUNTIF($B$5:B570,B570),COUNTIF($B$5:B570,B570))))</f>
        <v>VIS_20270528_001</v>
      </c>
      <c r="B570" s="40">
        <v>46535</v>
      </c>
      <c r="C570" s="47" t="str">
        <f t="shared" si="16"/>
        <v>Пт</v>
      </c>
      <c r="I570" s="46"/>
      <c r="J570" s="39">
        <f t="shared" si="17"/>
        <v>46533</v>
      </c>
      <c r="K570" t="str">
        <f ca="1">IF(AND(B570&gt;='План недели'!$B$4,B570&lt;'План недели'!$D$4,D570&lt;&gt;"",G570&lt;&gt;"Отменён"),COUNTIFS($B$5:B570,"&gt;="&amp;'План недели'!$B$4,$B$5:B570,"&lt;"&amp;'План недели'!$D$4,$D$5:D570,"&lt;&gt;",$G$5:G570,"&lt;&gt;Отменён"),"")</f>
        <v/>
      </c>
    </row>
    <row r="571" spans="1:11">
      <c r="A571" t="str">
        <f>IF(B571="","","VIS_"&amp;(YEAR(B571)*10000+MONTH(B571)*100+DAY(B571))&amp;"_"&amp;IF(COUNTIF($B$5:B571,B571)&lt;10,"00"&amp;COUNTIF($B$5:B571,B571),IF(COUNTIF($B$5:B571,B571)&lt;100,"0"&amp;COUNTIF($B$5:B571,B571),COUNTIF($B$5:B571,B571))))</f>
        <v>VIS_20270529_001</v>
      </c>
      <c r="B571" s="42">
        <v>46536</v>
      </c>
      <c r="C571" s="49" t="str">
        <f t="shared" si="16"/>
        <v>Сб</v>
      </c>
      <c r="I571" s="46"/>
      <c r="J571" s="39">
        <f t="shared" si="17"/>
        <v>46533</v>
      </c>
      <c r="K571" t="str">
        <f ca="1">IF(AND(B571&gt;='План недели'!$B$4,B571&lt;'План недели'!$D$4,D571&lt;&gt;"",G571&lt;&gt;"Отменён"),COUNTIFS($B$5:B571,"&gt;="&amp;'План недели'!$B$4,$B$5:B571,"&lt;"&amp;'План недели'!$D$4,$D$5:D571,"&lt;&gt;",$G$5:G571,"&lt;&gt;Отменён"),"")</f>
        <v/>
      </c>
    </row>
    <row r="572" spans="1:11">
      <c r="A572" t="str">
        <f>IF(B572="","","VIS_"&amp;(YEAR(B572)*10000+MONTH(B572)*100+DAY(B572))&amp;"_"&amp;IF(COUNTIF($B$5:B572,B572)&lt;10,"00"&amp;COUNTIF($B$5:B572,B572),IF(COUNTIF($B$5:B572,B572)&lt;100,"0"&amp;COUNTIF($B$5:B572,B572),COUNTIF($B$5:B572,B572))))</f>
        <v>VIS_20270530_001</v>
      </c>
      <c r="B572" s="42">
        <v>46537</v>
      </c>
      <c r="C572" s="49" t="str">
        <f t="shared" si="16"/>
        <v>Вс</v>
      </c>
      <c r="I572" s="46"/>
      <c r="J572" s="39">
        <f t="shared" si="17"/>
        <v>46533</v>
      </c>
      <c r="K572" t="str">
        <f ca="1">IF(AND(B572&gt;='План недели'!$B$4,B572&lt;'План недели'!$D$4,D572&lt;&gt;"",G572&lt;&gt;"Отменён"),COUNTIFS($B$5:B572,"&gt;="&amp;'План недели'!$B$4,$B$5:B572,"&lt;"&amp;'План недели'!$D$4,$D$5:D572,"&lt;&gt;",$G$5:G572,"&lt;&gt;Отменён"),"")</f>
        <v/>
      </c>
    </row>
    <row r="573" spans="1:11">
      <c r="A573" t="str">
        <f>IF(B573="","","VIS_"&amp;(YEAR(B573)*10000+MONTH(B573)*100+DAY(B573))&amp;"_"&amp;IF(COUNTIF($B$5:B573,B573)&lt;10,"00"&amp;COUNTIF($B$5:B573,B573),IF(COUNTIF($B$5:B573,B573)&lt;100,"0"&amp;COUNTIF($B$5:B573,B573),COUNTIF($B$5:B573,B573))))</f>
        <v>VIS_20270531_001</v>
      </c>
      <c r="B573" s="40">
        <v>46538</v>
      </c>
      <c r="C573" s="47" t="str">
        <f t="shared" si="16"/>
        <v>Пн</v>
      </c>
      <c r="I573" s="46"/>
      <c r="J573" s="39">
        <f t="shared" si="17"/>
        <v>46533</v>
      </c>
      <c r="K573" t="str">
        <f ca="1">IF(AND(B573&gt;='План недели'!$B$4,B573&lt;'План недели'!$D$4,D573&lt;&gt;"",G573&lt;&gt;"Отменён"),COUNTIFS($B$5:B573,"&gt;="&amp;'План недели'!$B$4,$B$5:B573,"&lt;"&amp;'План недели'!$D$4,$D$5:D573,"&lt;&gt;",$G$5:G573,"&lt;&gt;Отменён"),"")</f>
        <v/>
      </c>
    </row>
    <row r="574" spans="1:11">
      <c r="A574" t="str">
        <f>IF(B574="","","VIS_"&amp;(YEAR(B574)*10000+MONTH(B574)*100+DAY(B574))&amp;"_"&amp;IF(COUNTIF($B$5:B574,B574)&lt;10,"00"&amp;COUNTIF($B$5:B574,B574),IF(COUNTIF($B$5:B574,B574)&lt;100,"0"&amp;COUNTIF($B$5:B574,B574),COUNTIF($B$5:B574,B574))))</f>
        <v>VIS_20270601_001</v>
      </c>
      <c r="B574" s="40">
        <v>46539</v>
      </c>
      <c r="C574" s="47" t="str">
        <f t="shared" si="16"/>
        <v>Вт</v>
      </c>
      <c r="I574" s="46"/>
      <c r="J574" s="39">
        <f t="shared" si="17"/>
        <v>46533</v>
      </c>
      <c r="K574" t="str">
        <f ca="1">IF(AND(B574&gt;='План недели'!$B$4,B574&lt;'План недели'!$D$4,D574&lt;&gt;"",G574&lt;&gt;"Отменён"),COUNTIFS($B$5:B574,"&gt;="&amp;'План недели'!$B$4,$B$5:B574,"&lt;"&amp;'План недели'!$D$4,$D$5:D574,"&lt;&gt;",$G$5:G574,"&lt;&gt;Отменён"),"")</f>
        <v/>
      </c>
    </row>
    <row r="575" spans="1:11">
      <c r="A575" t="str">
        <f>IF(B575="","","VIS_"&amp;(YEAR(B575)*10000+MONTH(B575)*100+DAY(B575))&amp;"_"&amp;IF(COUNTIF($B$5:B575,B575)&lt;10,"00"&amp;COUNTIF($B$5:B575,B575),IF(COUNTIF($B$5:B575,B575)&lt;100,"0"&amp;COUNTIF($B$5:B575,B575),COUNTIF($B$5:B575,B575))))</f>
        <v>VIS_20270602_001</v>
      </c>
      <c r="B575" s="40">
        <v>46540</v>
      </c>
      <c r="C575" s="47" t="str">
        <f t="shared" si="16"/>
        <v>Ср</v>
      </c>
      <c r="I575" s="46"/>
      <c r="J575" s="39">
        <f t="shared" si="17"/>
        <v>46540</v>
      </c>
      <c r="K575" t="str">
        <f ca="1">IF(AND(B575&gt;='План недели'!$B$4,B575&lt;'План недели'!$D$4,D575&lt;&gt;"",G575&lt;&gt;"Отменён"),COUNTIFS($B$5:B575,"&gt;="&amp;'План недели'!$B$4,$B$5:B575,"&lt;"&amp;'План недели'!$D$4,$D$5:D575,"&lt;&gt;",$G$5:G575,"&lt;&gt;Отменён"),"")</f>
        <v/>
      </c>
    </row>
    <row r="576" spans="1:11">
      <c r="A576" t="str">
        <f>IF(B576="","","VIS_"&amp;(YEAR(B576)*10000+MONTH(B576)*100+DAY(B576))&amp;"_"&amp;IF(COUNTIF($B$5:B576,B576)&lt;10,"00"&amp;COUNTIF($B$5:B576,B576),IF(COUNTIF($B$5:B576,B576)&lt;100,"0"&amp;COUNTIF($B$5:B576,B576),COUNTIF($B$5:B576,B576))))</f>
        <v>VIS_20270603_001</v>
      </c>
      <c r="B576" s="40">
        <v>46541</v>
      </c>
      <c r="C576" s="47" t="str">
        <f t="shared" si="16"/>
        <v>Чт</v>
      </c>
      <c r="I576" s="46"/>
      <c r="J576" s="39">
        <f t="shared" si="17"/>
        <v>46540</v>
      </c>
      <c r="K576" t="str">
        <f ca="1">IF(AND(B576&gt;='План недели'!$B$4,B576&lt;'План недели'!$D$4,D576&lt;&gt;"",G576&lt;&gt;"Отменён"),COUNTIFS($B$5:B576,"&gt;="&amp;'План недели'!$B$4,$B$5:B576,"&lt;"&amp;'План недели'!$D$4,$D$5:D576,"&lt;&gt;",$G$5:G576,"&lt;&gt;Отменён"),"")</f>
        <v/>
      </c>
    </row>
    <row r="577" spans="1:11">
      <c r="A577" t="str">
        <f>IF(B577="","","VIS_"&amp;(YEAR(B577)*10000+MONTH(B577)*100+DAY(B577))&amp;"_"&amp;IF(COUNTIF($B$5:B577,B577)&lt;10,"00"&amp;COUNTIF($B$5:B577,B577),IF(COUNTIF($B$5:B577,B577)&lt;100,"0"&amp;COUNTIF($B$5:B577,B577),COUNTIF($B$5:B577,B577))))</f>
        <v>VIS_20270604_001</v>
      </c>
      <c r="B577" s="40">
        <v>46542</v>
      </c>
      <c r="C577" s="47" t="str">
        <f t="shared" si="16"/>
        <v>Пт</v>
      </c>
      <c r="I577" s="46"/>
      <c r="J577" s="39">
        <f t="shared" si="17"/>
        <v>46540</v>
      </c>
      <c r="K577" t="str">
        <f ca="1">IF(AND(B577&gt;='План недели'!$B$4,B577&lt;'План недели'!$D$4,D577&lt;&gt;"",G577&lt;&gt;"Отменён"),COUNTIFS($B$5:B577,"&gt;="&amp;'План недели'!$B$4,$B$5:B577,"&lt;"&amp;'План недели'!$D$4,$D$5:D577,"&lt;&gt;",$G$5:G577,"&lt;&gt;Отменён"),"")</f>
        <v/>
      </c>
    </row>
    <row r="578" spans="1:11">
      <c r="A578" t="str">
        <f>IF(B578="","","VIS_"&amp;(YEAR(B578)*10000+MONTH(B578)*100+DAY(B578))&amp;"_"&amp;IF(COUNTIF($B$5:B578,B578)&lt;10,"00"&amp;COUNTIF($B$5:B578,B578),IF(COUNTIF($B$5:B578,B578)&lt;100,"0"&amp;COUNTIF($B$5:B578,B578),COUNTIF($B$5:B578,B578))))</f>
        <v>VIS_20270605_001</v>
      </c>
      <c r="B578" s="42">
        <v>46543</v>
      </c>
      <c r="C578" s="49" t="str">
        <f t="shared" si="16"/>
        <v>Сб</v>
      </c>
      <c r="I578" s="46"/>
      <c r="J578" s="39">
        <f t="shared" si="17"/>
        <v>46540</v>
      </c>
      <c r="K578" t="str">
        <f ca="1">IF(AND(B578&gt;='План недели'!$B$4,B578&lt;'План недели'!$D$4,D578&lt;&gt;"",G578&lt;&gt;"Отменён"),COUNTIFS($B$5:B578,"&gt;="&amp;'План недели'!$B$4,$B$5:B578,"&lt;"&amp;'План недели'!$D$4,$D$5:D578,"&lt;&gt;",$G$5:G578,"&lt;&gt;Отменён"),"")</f>
        <v/>
      </c>
    </row>
    <row r="579" spans="1:11">
      <c r="A579" t="str">
        <f>IF(B579="","","VIS_"&amp;(YEAR(B579)*10000+MONTH(B579)*100+DAY(B579))&amp;"_"&amp;IF(COUNTIF($B$5:B579,B579)&lt;10,"00"&amp;COUNTIF($B$5:B579,B579),IF(COUNTIF($B$5:B579,B579)&lt;100,"0"&amp;COUNTIF($B$5:B579,B579),COUNTIF($B$5:B579,B579))))</f>
        <v>VIS_20270606_001</v>
      </c>
      <c r="B579" s="42">
        <v>46544</v>
      </c>
      <c r="C579" s="49" t="str">
        <f t="shared" si="16"/>
        <v>Вс</v>
      </c>
      <c r="I579" s="46"/>
      <c r="J579" s="39">
        <f t="shared" si="17"/>
        <v>46540</v>
      </c>
      <c r="K579" t="str">
        <f ca="1">IF(AND(B579&gt;='План недели'!$B$4,B579&lt;'План недели'!$D$4,D579&lt;&gt;"",G579&lt;&gt;"Отменён"),COUNTIFS($B$5:B579,"&gt;="&amp;'План недели'!$B$4,$B$5:B579,"&lt;"&amp;'План недели'!$D$4,$D$5:D579,"&lt;&gt;",$G$5:G579,"&lt;&gt;Отменён"),"")</f>
        <v/>
      </c>
    </row>
    <row r="580" spans="1:11">
      <c r="A580" t="str">
        <f>IF(B580="","","VIS_"&amp;(YEAR(B580)*10000+MONTH(B580)*100+DAY(B580))&amp;"_"&amp;IF(COUNTIF($B$5:B580,B580)&lt;10,"00"&amp;COUNTIF($B$5:B580,B580),IF(COUNTIF($B$5:B580,B580)&lt;100,"0"&amp;COUNTIF($B$5:B580,B580),COUNTIF($B$5:B580,B580))))</f>
        <v>VIS_20270607_001</v>
      </c>
      <c r="B580" s="40">
        <v>46545</v>
      </c>
      <c r="C580" s="47" t="str">
        <f t="shared" si="16"/>
        <v>Пн</v>
      </c>
      <c r="I580" s="46"/>
      <c r="J580" s="39">
        <f t="shared" si="17"/>
        <v>46540</v>
      </c>
      <c r="K580" t="str">
        <f ca="1">IF(AND(B580&gt;='План недели'!$B$4,B580&lt;'План недели'!$D$4,D580&lt;&gt;"",G580&lt;&gt;"Отменён"),COUNTIFS($B$5:B580,"&gt;="&amp;'План недели'!$B$4,$B$5:B580,"&lt;"&amp;'План недели'!$D$4,$D$5:D580,"&lt;&gt;",$G$5:G580,"&lt;&gt;Отменён"),"")</f>
        <v/>
      </c>
    </row>
    <row r="581" spans="1:11">
      <c r="A581" t="str">
        <f>IF(B581="","","VIS_"&amp;(YEAR(B581)*10000+MONTH(B581)*100+DAY(B581))&amp;"_"&amp;IF(COUNTIF($B$5:B581,B581)&lt;10,"00"&amp;COUNTIF($B$5:B581,B581),IF(COUNTIF($B$5:B581,B581)&lt;100,"0"&amp;COUNTIF($B$5:B581,B581),COUNTIF($B$5:B581,B581))))</f>
        <v>VIS_20270608_001</v>
      </c>
      <c r="B581" s="40">
        <v>46546</v>
      </c>
      <c r="C581" s="47" t="str">
        <f t="shared" ref="C581:C644" si="18">IF(B581="","",CHOOSE(WEEKDAY(B581,2),"Пн","Вт","Ср","Чт","Пт","Сб","Вс"))</f>
        <v>Вт</v>
      </c>
      <c r="I581" s="46"/>
      <c r="J581" s="39">
        <f t="shared" ref="J581:J644" si="19">IF(B581="","",B581-MOD(WEEKDAY(B581,2)-3,7))</f>
        <v>46540</v>
      </c>
      <c r="K581" t="str">
        <f ca="1">IF(AND(B581&gt;='План недели'!$B$4,B581&lt;'План недели'!$D$4,D581&lt;&gt;"",G581&lt;&gt;"Отменён"),COUNTIFS($B$5:B581,"&gt;="&amp;'План недели'!$B$4,$B$5:B581,"&lt;"&amp;'План недели'!$D$4,$D$5:D581,"&lt;&gt;",$G$5:G581,"&lt;&gt;Отменён"),"")</f>
        <v/>
      </c>
    </row>
    <row r="582" spans="1:11">
      <c r="A582" t="str">
        <f>IF(B582="","","VIS_"&amp;(YEAR(B582)*10000+MONTH(B582)*100+DAY(B582))&amp;"_"&amp;IF(COUNTIF($B$5:B582,B582)&lt;10,"00"&amp;COUNTIF($B$5:B582,B582),IF(COUNTIF($B$5:B582,B582)&lt;100,"0"&amp;COUNTIF($B$5:B582,B582),COUNTIF($B$5:B582,B582))))</f>
        <v>VIS_20270609_001</v>
      </c>
      <c r="B582" s="40">
        <v>46547</v>
      </c>
      <c r="C582" s="47" t="str">
        <f t="shared" si="18"/>
        <v>Ср</v>
      </c>
      <c r="I582" s="46"/>
      <c r="J582" s="39">
        <f t="shared" si="19"/>
        <v>46547</v>
      </c>
      <c r="K582" t="str">
        <f ca="1">IF(AND(B582&gt;='План недели'!$B$4,B582&lt;'План недели'!$D$4,D582&lt;&gt;"",G582&lt;&gt;"Отменён"),COUNTIFS($B$5:B582,"&gt;="&amp;'План недели'!$B$4,$B$5:B582,"&lt;"&amp;'План недели'!$D$4,$D$5:D582,"&lt;&gt;",$G$5:G582,"&lt;&gt;Отменён"),"")</f>
        <v/>
      </c>
    </row>
    <row r="583" spans="1:11">
      <c r="A583" t="str">
        <f>IF(B583="","","VIS_"&amp;(YEAR(B583)*10000+MONTH(B583)*100+DAY(B583))&amp;"_"&amp;IF(COUNTIF($B$5:B583,B583)&lt;10,"00"&amp;COUNTIF($B$5:B583,B583),IF(COUNTIF($B$5:B583,B583)&lt;100,"0"&amp;COUNTIF($B$5:B583,B583),COUNTIF($B$5:B583,B583))))</f>
        <v>VIS_20270610_001</v>
      </c>
      <c r="B583" s="40">
        <v>46548</v>
      </c>
      <c r="C583" s="47" t="str">
        <f t="shared" si="18"/>
        <v>Чт</v>
      </c>
      <c r="I583" s="46"/>
      <c r="J583" s="39">
        <f t="shared" si="19"/>
        <v>46547</v>
      </c>
      <c r="K583" t="str">
        <f ca="1">IF(AND(B583&gt;='План недели'!$B$4,B583&lt;'План недели'!$D$4,D583&lt;&gt;"",G583&lt;&gt;"Отменён"),COUNTIFS($B$5:B583,"&gt;="&amp;'План недели'!$B$4,$B$5:B583,"&lt;"&amp;'План недели'!$D$4,$D$5:D583,"&lt;&gt;",$G$5:G583,"&lt;&gt;Отменён"),"")</f>
        <v/>
      </c>
    </row>
    <row r="584" spans="1:11">
      <c r="A584" t="str">
        <f>IF(B584="","","VIS_"&amp;(YEAR(B584)*10000+MONTH(B584)*100+DAY(B584))&amp;"_"&amp;IF(COUNTIF($B$5:B584,B584)&lt;10,"00"&amp;COUNTIF($B$5:B584,B584),IF(COUNTIF($B$5:B584,B584)&lt;100,"0"&amp;COUNTIF($B$5:B584,B584),COUNTIF($B$5:B584,B584))))</f>
        <v>VIS_20270611_001</v>
      </c>
      <c r="B584" s="40">
        <v>46549</v>
      </c>
      <c r="C584" s="47" t="str">
        <f t="shared" si="18"/>
        <v>Пт</v>
      </c>
      <c r="I584" s="46"/>
      <c r="J584" s="39">
        <f t="shared" si="19"/>
        <v>46547</v>
      </c>
      <c r="K584" t="str">
        <f ca="1">IF(AND(B584&gt;='План недели'!$B$4,B584&lt;'План недели'!$D$4,D584&lt;&gt;"",G584&lt;&gt;"Отменён"),COUNTIFS($B$5:B584,"&gt;="&amp;'План недели'!$B$4,$B$5:B584,"&lt;"&amp;'План недели'!$D$4,$D$5:D584,"&lt;&gt;",$G$5:G584,"&lt;&gt;Отменён"),"")</f>
        <v/>
      </c>
    </row>
    <row r="585" spans="1:11">
      <c r="A585" t="str">
        <f>IF(B585="","","VIS_"&amp;(YEAR(B585)*10000+MONTH(B585)*100+DAY(B585))&amp;"_"&amp;IF(COUNTIF($B$5:B585,B585)&lt;10,"00"&amp;COUNTIF($B$5:B585,B585),IF(COUNTIF($B$5:B585,B585)&lt;100,"0"&amp;COUNTIF($B$5:B585,B585),COUNTIF($B$5:B585,B585))))</f>
        <v>VIS_20270612_001</v>
      </c>
      <c r="B585" s="42">
        <v>46550</v>
      </c>
      <c r="C585" s="49" t="str">
        <f t="shared" si="18"/>
        <v>Сб</v>
      </c>
      <c r="I585" s="46"/>
      <c r="J585" s="39">
        <f t="shared" si="19"/>
        <v>46547</v>
      </c>
      <c r="K585" t="str">
        <f ca="1">IF(AND(B585&gt;='План недели'!$B$4,B585&lt;'План недели'!$D$4,D585&lt;&gt;"",G585&lt;&gt;"Отменён"),COUNTIFS($B$5:B585,"&gt;="&amp;'План недели'!$B$4,$B$5:B585,"&lt;"&amp;'План недели'!$D$4,$D$5:D585,"&lt;&gt;",$G$5:G585,"&lt;&gt;Отменён"),"")</f>
        <v/>
      </c>
    </row>
    <row r="586" spans="1:11">
      <c r="A586" t="str">
        <f>IF(B586="","","VIS_"&amp;(YEAR(B586)*10000+MONTH(B586)*100+DAY(B586))&amp;"_"&amp;IF(COUNTIF($B$5:B586,B586)&lt;10,"00"&amp;COUNTIF($B$5:B586,B586),IF(COUNTIF($B$5:B586,B586)&lt;100,"0"&amp;COUNTIF($B$5:B586,B586),COUNTIF($B$5:B586,B586))))</f>
        <v>VIS_20270613_001</v>
      </c>
      <c r="B586" s="42">
        <v>46551</v>
      </c>
      <c r="C586" s="49" t="str">
        <f t="shared" si="18"/>
        <v>Вс</v>
      </c>
      <c r="I586" s="46"/>
      <c r="J586" s="39">
        <f t="shared" si="19"/>
        <v>46547</v>
      </c>
      <c r="K586" t="str">
        <f ca="1">IF(AND(B586&gt;='План недели'!$B$4,B586&lt;'План недели'!$D$4,D586&lt;&gt;"",G586&lt;&gt;"Отменён"),COUNTIFS($B$5:B586,"&gt;="&amp;'План недели'!$B$4,$B$5:B586,"&lt;"&amp;'План недели'!$D$4,$D$5:D586,"&lt;&gt;",$G$5:G586,"&lt;&gt;Отменён"),"")</f>
        <v/>
      </c>
    </row>
    <row r="587" spans="1:11">
      <c r="A587" t="str">
        <f>IF(B587="","","VIS_"&amp;(YEAR(B587)*10000+MONTH(B587)*100+DAY(B587))&amp;"_"&amp;IF(COUNTIF($B$5:B587,B587)&lt;10,"00"&amp;COUNTIF($B$5:B587,B587),IF(COUNTIF($B$5:B587,B587)&lt;100,"0"&amp;COUNTIF($B$5:B587,B587),COUNTIF($B$5:B587,B587))))</f>
        <v>VIS_20270614_001</v>
      </c>
      <c r="B587" s="40">
        <v>46552</v>
      </c>
      <c r="C587" s="47" t="str">
        <f t="shared" si="18"/>
        <v>Пн</v>
      </c>
      <c r="I587" s="46"/>
      <c r="J587" s="39">
        <f t="shared" si="19"/>
        <v>46547</v>
      </c>
      <c r="K587" t="str">
        <f ca="1">IF(AND(B587&gt;='План недели'!$B$4,B587&lt;'План недели'!$D$4,D587&lt;&gt;"",G587&lt;&gt;"Отменён"),COUNTIFS($B$5:B587,"&gt;="&amp;'План недели'!$B$4,$B$5:B587,"&lt;"&amp;'План недели'!$D$4,$D$5:D587,"&lt;&gt;",$G$5:G587,"&lt;&gt;Отменён"),"")</f>
        <v/>
      </c>
    </row>
    <row r="588" spans="1:11">
      <c r="A588" t="str">
        <f>IF(B588="","","VIS_"&amp;(YEAR(B588)*10000+MONTH(B588)*100+DAY(B588))&amp;"_"&amp;IF(COUNTIF($B$5:B588,B588)&lt;10,"00"&amp;COUNTIF($B$5:B588,B588),IF(COUNTIF($B$5:B588,B588)&lt;100,"0"&amp;COUNTIF($B$5:B588,B588),COUNTIF($B$5:B588,B588))))</f>
        <v>VIS_20270615_001</v>
      </c>
      <c r="B588" s="40">
        <v>46553</v>
      </c>
      <c r="C588" s="47" t="str">
        <f t="shared" si="18"/>
        <v>Вт</v>
      </c>
      <c r="I588" s="46"/>
      <c r="J588" s="39">
        <f t="shared" si="19"/>
        <v>46547</v>
      </c>
      <c r="K588" t="str">
        <f ca="1">IF(AND(B588&gt;='План недели'!$B$4,B588&lt;'План недели'!$D$4,D588&lt;&gt;"",G588&lt;&gt;"Отменён"),COUNTIFS($B$5:B588,"&gt;="&amp;'План недели'!$B$4,$B$5:B588,"&lt;"&amp;'План недели'!$D$4,$D$5:D588,"&lt;&gt;",$G$5:G588,"&lt;&gt;Отменён"),"")</f>
        <v/>
      </c>
    </row>
    <row r="589" spans="1:11">
      <c r="A589" t="str">
        <f>IF(B589="","","VIS_"&amp;(YEAR(B589)*10000+MONTH(B589)*100+DAY(B589))&amp;"_"&amp;IF(COUNTIF($B$5:B589,B589)&lt;10,"00"&amp;COUNTIF($B$5:B589,B589),IF(COUNTIF($B$5:B589,B589)&lt;100,"0"&amp;COUNTIF($B$5:B589,B589),COUNTIF($B$5:B589,B589))))</f>
        <v>VIS_20270616_001</v>
      </c>
      <c r="B589" s="40">
        <v>46554</v>
      </c>
      <c r="C589" s="47" t="str">
        <f t="shared" si="18"/>
        <v>Ср</v>
      </c>
      <c r="I589" s="46"/>
      <c r="J589" s="39">
        <f t="shared" si="19"/>
        <v>46554</v>
      </c>
      <c r="K589" t="str">
        <f ca="1">IF(AND(B589&gt;='План недели'!$B$4,B589&lt;'План недели'!$D$4,D589&lt;&gt;"",G589&lt;&gt;"Отменён"),COUNTIFS($B$5:B589,"&gt;="&amp;'План недели'!$B$4,$B$5:B589,"&lt;"&amp;'План недели'!$D$4,$D$5:D589,"&lt;&gt;",$G$5:G589,"&lt;&gt;Отменён"),"")</f>
        <v/>
      </c>
    </row>
    <row r="590" spans="1:11">
      <c r="A590" t="str">
        <f>IF(B590="","","VIS_"&amp;(YEAR(B590)*10000+MONTH(B590)*100+DAY(B590))&amp;"_"&amp;IF(COUNTIF($B$5:B590,B590)&lt;10,"00"&amp;COUNTIF($B$5:B590,B590),IF(COUNTIF($B$5:B590,B590)&lt;100,"0"&amp;COUNTIF($B$5:B590,B590),COUNTIF($B$5:B590,B590))))</f>
        <v>VIS_20270617_001</v>
      </c>
      <c r="B590" s="40">
        <v>46555</v>
      </c>
      <c r="C590" s="47" t="str">
        <f t="shared" si="18"/>
        <v>Чт</v>
      </c>
      <c r="I590" s="46"/>
      <c r="J590" s="39">
        <f t="shared" si="19"/>
        <v>46554</v>
      </c>
      <c r="K590" t="str">
        <f ca="1">IF(AND(B590&gt;='План недели'!$B$4,B590&lt;'План недели'!$D$4,D590&lt;&gt;"",G590&lt;&gt;"Отменён"),COUNTIFS($B$5:B590,"&gt;="&amp;'План недели'!$B$4,$B$5:B590,"&lt;"&amp;'План недели'!$D$4,$D$5:D590,"&lt;&gt;",$G$5:G590,"&lt;&gt;Отменён"),"")</f>
        <v/>
      </c>
    </row>
    <row r="591" spans="1:11">
      <c r="A591" t="str">
        <f>IF(B591="","","VIS_"&amp;(YEAR(B591)*10000+MONTH(B591)*100+DAY(B591))&amp;"_"&amp;IF(COUNTIF($B$5:B591,B591)&lt;10,"00"&amp;COUNTIF($B$5:B591,B591),IF(COUNTIF($B$5:B591,B591)&lt;100,"0"&amp;COUNTIF($B$5:B591,B591),COUNTIF($B$5:B591,B591))))</f>
        <v>VIS_20270618_001</v>
      </c>
      <c r="B591" s="40">
        <v>46556</v>
      </c>
      <c r="C591" s="47" t="str">
        <f t="shared" si="18"/>
        <v>Пт</v>
      </c>
      <c r="I591" s="46"/>
      <c r="J591" s="39">
        <f t="shared" si="19"/>
        <v>46554</v>
      </c>
      <c r="K591" t="str">
        <f ca="1">IF(AND(B591&gt;='План недели'!$B$4,B591&lt;'План недели'!$D$4,D591&lt;&gt;"",G591&lt;&gt;"Отменён"),COUNTIFS($B$5:B591,"&gt;="&amp;'План недели'!$B$4,$B$5:B591,"&lt;"&amp;'План недели'!$D$4,$D$5:D591,"&lt;&gt;",$G$5:G591,"&lt;&gt;Отменён"),"")</f>
        <v/>
      </c>
    </row>
    <row r="592" spans="1:11">
      <c r="A592" t="str">
        <f>IF(B592="","","VIS_"&amp;(YEAR(B592)*10000+MONTH(B592)*100+DAY(B592))&amp;"_"&amp;IF(COUNTIF($B$5:B592,B592)&lt;10,"00"&amp;COUNTIF($B$5:B592,B592),IF(COUNTIF($B$5:B592,B592)&lt;100,"0"&amp;COUNTIF($B$5:B592,B592),COUNTIF($B$5:B592,B592))))</f>
        <v>VIS_20270619_001</v>
      </c>
      <c r="B592" s="42">
        <v>46557</v>
      </c>
      <c r="C592" s="49" t="str">
        <f t="shared" si="18"/>
        <v>Сб</v>
      </c>
      <c r="I592" s="46"/>
      <c r="J592" s="39">
        <f t="shared" si="19"/>
        <v>46554</v>
      </c>
      <c r="K592" t="str">
        <f ca="1">IF(AND(B592&gt;='План недели'!$B$4,B592&lt;'План недели'!$D$4,D592&lt;&gt;"",G592&lt;&gt;"Отменён"),COUNTIFS($B$5:B592,"&gt;="&amp;'План недели'!$B$4,$B$5:B592,"&lt;"&amp;'План недели'!$D$4,$D$5:D592,"&lt;&gt;",$G$5:G592,"&lt;&gt;Отменён"),"")</f>
        <v/>
      </c>
    </row>
    <row r="593" spans="1:11">
      <c r="A593" t="str">
        <f>IF(B593="","","VIS_"&amp;(YEAR(B593)*10000+MONTH(B593)*100+DAY(B593))&amp;"_"&amp;IF(COUNTIF($B$5:B593,B593)&lt;10,"00"&amp;COUNTIF($B$5:B593,B593),IF(COUNTIF($B$5:B593,B593)&lt;100,"0"&amp;COUNTIF($B$5:B593,B593),COUNTIF($B$5:B593,B593))))</f>
        <v>VIS_20270620_001</v>
      </c>
      <c r="B593" s="42">
        <v>46558</v>
      </c>
      <c r="C593" s="49" t="str">
        <f t="shared" si="18"/>
        <v>Вс</v>
      </c>
      <c r="I593" s="46"/>
      <c r="J593" s="39">
        <f t="shared" si="19"/>
        <v>46554</v>
      </c>
      <c r="K593" t="str">
        <f ca="1">IF(AND(B593&gt;='План недели'!$B$4,B593&lt;'План недели'!$D$4,D593&lt;&gt;"",G593&lt;&gt;"Отменён"),COUNTIFS($B$5:B593,"&gt;="&amp;'План недели'!$B$4,$B$5:B593,"&lt;"&amp;'План недели'!$D$4,$D$5:D593,"&lt;&gt;",$G$5:G593,"&lt;&gt;Отменён"),"")</f>
        <v/>
      </c>
    </row>
    <row r="594" spans="1:11">
      <c r="A594" t="str">
        <f>IF(B594="","","VIS_"&amp;(YEAR(B594)*10000+MONTH(B594)*100+DAY(B594))&amp;"_"&amp;IF(COUNTIF($B$5:B594,B594)&lt;10,"00"&amp;COUNTIF($B$5:B594,B594),IF(COUNTIF($B$5:B594,B594)&lt;100,"0"&amp;COUNTIF($B$5:B594,B594),COUNTIF($B$5:B594,B594))))</f>
        <v>VIS_20270621_001</v>
      </c>
      <c r="B594" s="40">
        <v>46559</v>
      </c>
      <c r="C594" s="47" t="str">
        <f t="shared" si="18"/>
        <v>Пн</v>
      </c>
      <c r="I594" s="46"/>
      <c r="J594" s="39">
        <f t="shared" si="19"/>
        <v>46554</v>
      </c>
      <c r="K594" t="str">
        <f ca="1">IF(AND(B594&gt;='План недели'!$B$4,B594&lt;'План недели'!$D$4,D594&lt;&gt;"",G594&lt;&gt;"Отменён"),COUNTIFS($B$5:B594,"&gt;="&amp;'План недели'!$B$4,$B$5:B594,"&lt;"&amp;'План недели'!$D$4,$D$5:D594,"&lt;&gt;",$G$5:G594,"&lt;&gt;Отменён"),"")</f>
        <v/>
      </c>
    </row>
    <row r="595" spans="1:11">
      <c r="A595" t="str">
        <f>IF(B595="","","VIS_"&amp;(YEAR(B595)*10000+MONTH(B595)*100+DAY(B595))&amp;"_"&amp;IF(COUNTIF($B$5:B595,B595)&lt;10,"00"&amp;COUNTIF($B$5:B595,B595),IF(COUNTIF($B$5:B595,B595)&lt;100,"0"&amp;COUNTIF($B$5:B595,B595),COUNTIF($B$5:B595,B595))))</f>
        <v>VIS_20270622_001</v>
      </c>
      <c r="B595" s="40">
        <v>46560</v>
      </c>
      <c r="C595" s="47" t="str">
        <f t="shared" si="18"/>
        <v>Вт</v>
      </c>
      <c r="I595" s="46"/>
      <c r="J595" s="39">
        <f t="shared" si="19"/>
        <v>46554</v>
      </c>
      <c r="K595" t="str">
        <f ca="1">IF(AND(B595&gt;='План недели'!$B$4,B595&lt;'План недели'!$D$4,D595&lt;&gt;"",G595&lt;&gt;"Отменён"),COUNTIFS($B$5:B595,"&gt;="&amp;'План недели'!$B$4,$B$5:B595,"&lt;"&amp;'План недели'!$D$4,$D$5:D595,"&lt;&gt;",$G$5:G595,"&lt;&gt;Отменён"),"")</f>
        <v/>
      </c>
    </row>
    <row r="596" spans="1:11">
      <c r="A596" t="str">
        <f>IF(B596="","","VIS_"&amp;(YEAR(B596)*10000+MONTH(B596)*100+DAY(B596))&amp;"_"&amp;IF(COUNTIF($B$5:B596,B596)&lt;10,"00"&amp;COUNTIF($B$5:B596,B596),IF(COUNTIF($B$5:B596,B596)&lt;100,"0"&amp;COUNTIF($B$5:B596,B596),COUNTIF($B$5:B596,B596))))</f>
        <v>VIS_20270623_001</v>
      </c>
      <c r="B596" s="40">
        <v>46561</v>
      </c>
      <c r="C596" s="47" t="str">
        <f t="shared" si="18"/>
        <v>Ср</v>
      </c>
      <c r="I596" s="46"/>
      <c r="J596" s="39">
        <f t="shared" si="19"/>
        <v>46561</v>
      </c>
      <c r="K596" t="str">
        <f ca="1">IF(AND(B596&gt;='План недели'!$B$4,B596&lt;'План недели'!$D$4,D596&lt;&gt;"",G596&lt;&gt;"Отменён"),COUNTIFS($B$5:B596,"&gt;="&amp;'План недели'!$B$4,$B$5:B596,"&lt;"&amp;'План недели'!$D$4,$D$5:D596,"&lt;&gt;",$G$5:G596,"&lt;&gt;Отменён"),"")</f>
        <v/>
      </c>
    </row>
    <row r="597" spans="1:11">
      <c r="A597" t="str">
        <f>IF(B597="","","VIS_"&amp;(YEAR(B597)*10000+MONTH(B597)*100+DAY(B597))&amp;"_"&amp;IF(COUNTIF($B$5:B597,B597)&lt;10,"00"&amp;COUNTIF($B$5:B597,B597),IF(COUNTIF($B$5:B597,B597)&lt;100,"0"&amp;COUNTIF($B$5:B597,B597),COUNTIF($B$5:B597,B597))))</f>
        <v>VIS_20270624_001</v>
      </c>
      <c r="B597" s="40">
        <v>46562</v>
      </c>
      <c r="C597" s="47" t="str">
        <f t="shared" si="18"/>
        <v>Чт</v>
      </c>
      <c r="I597" s="46"/>
      <c r="J597" s="39">
        <f t="shared" si="19"/>
        <v>46561</v>
      </c>
      <c r="K597" t="str">
        <f ca="1">IF(AND(B597&gt;='План недели'!$B$4,B597&lt;'План недели'!$D$4,D597&lt;&gt;"",G597&lt;&gt;"Отменён"),COUNTIFS($B$5:B597,"&gt;="&amp;'План недели'!$B$4,$B$5:B597,"&lt;"&amp;'План недели'!$D$4,$D$5:D597,"&lt;&gt;",$G$5:G597,"&lt;&gt;Отменён"),"")</f>
        <v/>
      </c>
    </row>
    <row r="598" spans="1:11">
      <c r="A598" t="str">
        <f>IF(B598="","","VIS_"&amp;(YEAR(B598)*10000+MONTH(B598)*100+DAY(B598))&amp;"_"&amp;IF(COUNTIF($B$5:B598,B598)&lt;10,"00"&amp;COUNTIF($B$5:B598,B598),IF(COUNTIF($B$5:B598,B598)&lt;100,"0"&amp;COUNTIF($B$5:B598,B598),COUNTIF($B$5:B598,B598))))</f>
        <v>VIS_20270625_001</v>
      </c>
      <c r="B598" s="40">
        <v>46563</v>
      </c>
      <c r="C598" s="47" t="str">
        <f t="shared" si="18"/>
        <v>Пт</v>
      </c>
      <c r="I598" s="46"/>
      <c r="J598" s="39">
        <f t="shared" si="19"/>
        <v>46561</v>
      </c>
      <c r="K598" t="str">
        <f ca="1">IF(AND(B598&gt;='План недели'!$B$4,B598&lt;'План недели'!$D$4,D598&lt;&gt;"",G598&lt;&gt;"Отменён"),COUNTIFS($B$5:B598,"&gt;="&amp;'План недели'!$B$4,$B$5:B598,"&lt;"&amp;'План недели'!$D$4,$D$5:D598,"&lt;&gt;",$G$5:G598,"&lt;&gt;Отменён"),"")</f>
        <v/>
      </c>
    </row>
    <row r="599" spans="1:11">
      <c r="A599" t="str">
        <f>IF(B599="","","VIS_"&amp;(YEAR(B599)*10000+MONTH(B599)*100+DAY(B599))&amp;"_"&amp;IF(COUNTIF($B$5:B599,B599)&lt;10,"00"&amp;COUNTIF($B$5:B599,B599),IF(COUNTIF($B$5:B599,B599)&lt;100,"0"&amp;COUNTIF($B$5:B599,B599),COUNTIF($B$5:B599,B599))))</f>
        <v>VIS_20270626_001</v>
      </c>
      <c r="B599" s="42">
        <v>46564</v>
      </c>
      <c r="C599" s="49" t="str">
        <f t="shared" si="18"/>
        <v>Сб</v>
      </c>
      <c r="I599" s="46"/>
      <c r="J599" s="39">
        <f t="shared" si="19"/>
        <v>46561</v>
      </c>
      <c r="K599" t="str">
        <f ca="1">IF(AND(B599&gt;='План недели'!$B$4,B599&lt;'План недели'!$D$4,D599&lt;&gt;"",G599&lt;&gt;"Отменён"),COUNTIFS($B$5:B599,"&gt;="&amp;'План недели'!$B$4,$B$5:B599,"&lt;"&amp;'План недели'!$D$4,$D$5:D599,"&lt;&gt;",$G$5:G599,"&lt;&gt;Отменён"),"")</f>
        <v/>
      </c>
    </row>
    <row r="600" spans="1:11">
      <c r="A600" t="str">
        <f>IF(B600="","","VIS_"&amp;(YEAR(B600)*10000+MONTH(B600)*100+DAY(B600))&amp;"_"&amp;IF(COUNTIF($B$5:B600,B600)&lt;10,"00"&amp;COUNTIF($B$5:B600,B600),IF(COUNTIF($B$5:B600,B600)&lt;100,"0"&amp;COUNTIF($B$5:B600,B600),COUNTIF($B$5:B600,B600))))</f>
        <v>VIS_20270627_001</v>
      </c>
      <c r="B600" s="42">
        <v>46565</v>
      </c>
      <c r="C600" s="49" t="str">
        <f t="shared" si="18"/>
        <v>Вс</v>
      </c>
      <c r="I600" s="46"/>
      <c r="J600" s="39">
        <f t="shared" si="19"/>
        <v>46561</v>
      </c>
      <c r="K600" t="str">
        <f ca="1">IF(AND(B600&gt;='План недели'!$B$4,B600&lt;'План недели'!$D$4,D600&lt;&gt;"",G600&lt;&gt;"Отменён"),COUNTIFS($B$5:B600,"&gt;="&amp;'План недели'!$B$4,$B$5:B600,"&lt;"&amp;'План недели'!$D$4,$D$5:D600,"&lt;&gt;",$G$5:G600,"&lt;&gt;Отменён"),"")</f>
        <v/>
      </c>
    </row>
    <row r="601" spans="1:11">
      <c r="A601" t="str">
        <f>IF(B601="","","VIS_"&amp;(YEAR(B601)*10000+MONTH(B601)*100+DAY(B601))&amp;"_"&amp;IF(COUNTIF($B$5:B601,B601)&lt;10,"00"&amp;COUNTIF($B$5:B601,B601),IF(COUNTIF($B$5:B601,B601)&lt;100,"0"&amp;COUNTIF($B$5:B601,B601),COUNTIF($B$5:B601,B601))))</f>
        <v>VIS_20270628_001</v>
      </c>
      <c r="B601" s="40">
        <v>46566</v>
      </c>
      <c r="C601" s="47" t="str">
        <f t="shared" si="18"/>
        <v>Пн</v>
      </c>
      <c r="I601" s="46"/>
      <c r="J601" s="39">
        <f t="shared" si="19"/>
        <v>46561</v>
      </c>
      <c r="K601" t="str">
        <f ca="1">IF(AND(B601&gt;='План недели'!$B$4,B601&lt;'План недели'!$D$4,D601&lt;&gt;"",G601&lt;&gt;"Отменён"),COUNTIFS($B$5:B601,"&gt;="&amp;'План недели'!$B$4,$B$5:B601,"&lt;"&amp;'План недели'!$D$4,$D$5:D601,"&lt;&gt;",$G$5:G601,"&lt;&gt;Отменён"),"")</f>
        <v/>
      </c>
    </row>
    <row r="602" spans="1:11">
      <c r="A602" t="str">
        <f>IF(B602="","","VIS_"&amp;(YEAR(B602)*10000+MONTH(B602)*100+DAY(B602))&amp;"_"&amp;IF(COUNTIF($B$5:B602,B602)&lt;10,"00"&amp;COUNTIF($B$5:B602,B602),IF(COUNTIF($B$5:B602,B602)&lt;100,"0"&amp;COUNTIF($B$5:B602,B602),COUNTIF($B$5:B602,B602))))</f>
        <v>VIS_20270629_001</v>
      </c>
      <c r="B602" s="40">
        <v>46567</v>
      </c>
      <c r="C602" s="47" t="str">
        <f t="shared" si="18"/>
        <v>Вт</v>
      </c>
      <c r="I602" s="46"/>
      <c r="J602" s="39">
        <f t="shared" si="19"/>
        <v>46561</v>
      </c>
      <c r="K602" t="str">
        <f ca="1">IF(AND(B602&gt;='План недели'!$B$4,B602&lt;'План недели'!$D$4,D602&lt;&gt;"",G602&lt;&gt;"Отменён"),COUNTIFS($B$5:B602,"&gt;="&amp;'План недели'!$B$4,$B$5:B602,"&lt;"&amp;'План недели'!$D$4,$D$5:D602,"&lt;&gt;",$G$5:G602,"&lt;&gt;Отменён"),"")</f>
        <v/>
      </c>
    </row>
    <row r="603" spans="1:11">
      <c r="A603" t="str">
        <f>IF(B603="","","VIS_"&amp;(YEAR(B603)*10000+MONTH(B603)*100+DAY(B603))&amp;"_"&amp;IF(COUNTIF($B$5:B603,B603)&lt;10,"00"&amp;COUNTIF($B$5:B603,B603),IF(COUNTIF($B$5:B603,B603)&lt;100,"0"&amp;COUNTIF($B$5:B603,B603),COUNTIF($B$5:B603,B603))))</f>
        <v>VIS_20270630_001</v>
      </c>
      <c r="B603" s="40">
        <v>46568</v>
      </c>
      <c r="C603" s="47" t="str">
        <f t="shared" si="18"/>
        <v>Ср</v>
      </c>
      <c r="I603" s="46"/>
      <c r="J603" s="39">
        <f t="shared" si="19"/>
        <v>46568</v>
      </c>
      <c r="K603" t="str">
        <f ca="1">IF(AND(B603&gt;='План недели'!$B$4,B603&lt;'План недели'!$D$4,D603&lt;&gt;"",G603&lt;&gt;"Отменён"),COUNTIFS($B$5:B603,"&gt;="&amp;'План недели'!$B$4,$B$5:B603,"&lt;"&amp;'План недели'!$D$4,$D$5:D603,"&lt;&gt;",$G$5:G603,"&lt;&gt;Отменён"),"")</f>
        <v/>
      </c>
    </row>
    <row r="604" spans="1:11">
      <c r="A604" t="str">
        <f>IF(B604="","","VIS_"&amp;(YEAR(B604)*10000+MONTH(B604)*100+DAY(B604))&amp;"_"&amp;IF(COUNTIF($B$5:B604,B604)&lt;10,"00"&amp;COUNTIF($B$5:B604,B604),IF(COUNTIF($B$5:B604,B604)&lt;100,"0"&amp;COUNTIF($B$5:B604,B604),COUNTIF($B$5:B604,B604))))</f>
        <v>VIS_20270701_001</v>
      </c>
      <c r="B604" s="40">
        <v>46569</v>
      </c>
      <c r="C604" s="47" t="str">
        <f t="shared" si="18"/>
        <v>Чт</v>
      </c>
      <c r="I604" s="46"/>
      <c r="J604" s="39">
        <f t="shared" si="19"/>
        <v>46568</v>
      </c>
      <c r="K604" t="str">
        <f ca="1">IF(AND(B604&gt;='План недели'!$B$4,B604&lt;'План недели'!$D$4,D604&lt;&gt;"",G604&lt;&gt;"Отменён"),COUNTIFS($B$5:B604,"&gt;="&amp;'План недели'!$B$4,$B$5:B604,"&lt;"&amp;'План недели'!$D$4,$D$5:D604,"&lt;&gt;",$G$5:G604,"&lt;&gt;Отменён"),"")</f>
        <v/>
      </c>
    </row>
    <row r="605" spans="1:11">
      <c r="A605" t="str">
        <f>IF(B605="","","VIS_"&amp;(YEAR(B605)*10000+MONTH(B605)*100+DAY(B605))&amp;"_"&amp;IF(COUNTIF($B$5:B605,B605)&lt;10,"00"&amp;COUNTIF($B$5:B605,B605),IF(COUNTIF($B$5:B605,B605)&lt;100,"0"&amp;COUNTIF($B$5:B605,B605),COUNTIF($B$5:B605,B605))))</f>
        <v>VIS_20270702_001</v>
      </c>
      <c r="B605" s="40">
        <v>46570</v>
      </c>
      <c r="C605" s="47" t="str">
        <f t="shared" si="18"/>
        <v>Пт</v>
      </c>
      <c r="I605" s="46"/>
      <c r="J605" s="39">
        <f t="shared" si="19"/>
        <v>46568</v>
      </c>
      <c r="K605" t="str">
        <f ca="1">IF(AND(B605&gt;='План недели'!$B$4,B605&lt;'План недели'!$D$4,D605&lt;&gt;"",G605&lt;&gt;"Отменён"),COUNTIFS($B$5:B605,"&gt;="&amp;'План недели'!$B$4,$B$5:B605,"&lt;"&amp;'План недели'!$D$4,$D$5:D605,"&lt;&gt;",$G$5:G605,"&lt;&gt;Отменён"),"")</f>
        <v/>
      </c>
    </row>
    <row r="606" spans="1:11">
      <c r="A606" t="str">
        <f>IF(B606="","","VIS_"&amp;(YEAR(B606)*10000+MONTH(B606)*100+DAY(B606))&amp;"_"&amp;IF(COUNTIF($B$5:B606,B606)&lt;10,"00"&amp;COUNTIF($B$5:B606,B606),IF(COUNTIF($B$5:B606,B606)&lt;100,"0"&amp;COUNTIF($B$5:B606,B606),COUNTIF($B$5:B606,B606))))</f>
        <v>VIS_20270703_001</v>
      </c>
      <c r="B606" s="42">
        <v>46571</v>
      </c>
      <c r="C606" s="49" t="str">
        <f t="shared" si="18"/>
        <v>Сб</v>
      </c>
      <c r="I606" s="46"/>
      <c r="J606" s="39">
        <f t="shared" si="19"/>
        <v>46568</v>
      </c>
      <c r="K606" t="str">
        <f ca="1">IF(AND(B606&gt;='План недели'!$B$4,B606&lt;'План недели'!$D$4,D606&lt;&gt;"",G606&lt;&gt;"Отменён"),COUNTIFS($B$5:B606,"&gt;="&amp;'План недели'!$B$4,$B$5:B606,"&lt;"&amp;'План недели'!$D$4,$D$5:D606,"&lt;&gt;",$G$5:G606,"&lt;&gt;Отменён"),"")</f>
        <v/>
      </c>
    </row>
    <row r="607" spans="1:11">
      <c r="A607" t="str">
        <f>IF(B607="","","VIS_"&amp;(YEAR(B607)*10000+MONTH(B607)*100+DAY(B607))&amp;"_"&amp;IF(COUNTIF($B$5:B607,B607)&lt;10,"00"&amp;COUNTIF($B$5:B607,B607),IF(COUNTIF($B$5:B607,B607)&lt;100,"0"&amp;COUNTIF($B$5:B607,B607),COUNTIF($B$5:B607,B607))))</f>
        <v>VIS_20270704_001</v>
      </c>
      <c r="B607" s="42">
        <v>46572</v>
      </c>
      <c r="C607" s="49" t="str">
        <f t="shared" si="18"/>
        <v>Вс</v>
      </c>
      <c r="I607" s="46"/>
      <c r="J607" s="39">
        <f t="shared" si="19"/>
        <v>46568</v>
      </c>
      <c r="K607" t="str">
        <f ca="1">IF(AND(B607&gt;='План недели'!$B$4,B607&lt;'План недели'!$D$4,D607&lt;&gt;"",G607&lt;&gt;"Отменён"),COUNTIFS($B$5:B607,"&gt;="&amp;'План недели'!$B$4,$B$5:B607,"&lt;"&amp;'План недели'!$D$4,$D$5:D607,"&lt;&gt;",$G$5:G607,"&lt;&gt;Отменён"),"")</f>
        <v/>
      </c>
    </row>
    <row r="608" spans="1:11">
      <c r="A608" t="str">
        <f>IF(B608="","","VIS_"&amp;(YEAR(B608)*10000+MONTH(B608)*100+DAY(B608))&amp;"_"&amp;IF(COUNTIF($B$5:B608,B608)&lt;10,"00"&amp;COUNTIF($B$5:B608,B608),IF(COUNTIF($B$5:B608,B608)&lt;100,"0"&amp;COUNTIF($B$5:B608,B608),COUNTIF($B$5:B608,B608))))</f>
        <v>VIS_20270705_001</v>
      </c>
      <c r="B608" s="40">
        <v>46573</v>
      </c>
      <c r="C608" s="47" t="str">
        <f t="shared" si="18"/>
        <v>Пн</v>
      </c>
      <c r="I608" s="46"/>
      <c r="J608" s="39">
        <f t="shared" si="19"/>
        <v>46568</v>
      </c>
      <c r="K608" t="str">
        <f ca="1">IF(AND(B608&gt;='План недели'!$B$4,B608&lt;'План недели'!$D$4,D608&lt;&gt;"",G608&lt;&gt;"Отменён"),COUNTIFS($B$5:B608,"&gt;="&amp;'План недели'!$B$4,$B$5:B608,"&lt;"&amp;'План недели'!$D$4,$D$5:D608,"&lt;&gt;",$G$5:G608,"&lt;&gt;Отменён"),"")</f>
        <v/>
      </c>
    </row>
    <row r="609" spans="1:11">
      <c r="A609" t="str">
        <f>IF(B609="","","VIS_"&amp;(YEAR(B609)*10000+MONTH(B609)*100+DAY(B609))&amp;"_"&amp;IF(COUNTIF($B$5:B609,B609)&lt;10,"00"&amp;COUNTIF($B$5:B609,B609),IF(COUNTIF($B$5:B609,B609)&lt;100,"0"&amp;COUNTIF($B$5:B609,B609),COUNTIF($B$5:B609,B609))))</f>
        <v>VIS_20270706_001</v>
      </c>
      <c r="B609" s="40">
        <v>46574</v>
      </c>
      <c r="C609" s="47" t="str">
        <f t="shared" si="18"/>
        <v>Вт</v>
      </c>
      <c r="I609" s="46"/>
      <c r="J609" s="39">
        <f t="shared" si="19"/>
        <v>46568</v>
      </c>
      <c r="K609" t="str">
        <f ca="1">IF(AND(B609&gt;='План недели'!$B$4,B609&lt;'План недели'!$D$4,D609&lt;&gt;"",G609&lt;&gt;"Отменён"),COUNTIFS($B$5:B609,"&gt;="&amp;'План недели'!$B$4,$B$5:B609,"&lt;"&amp;'План недели'!$D$4,$D$5:D609,"&lt;&gt;",$G$5:G609,"&lt;&gt;Отменён"),"")</f>
        <v/>
      </c>
    </row>
    <row r="610" spans="1:11">
      <c r="A610" t="str">
        <f>IF(B610="","","VIS_"&amp;(YEAR(B610)*10000+MONTH(B610)*100+DAY(B610))&amp;"_"&amp;IF(COUNTIF($B$5:B610,B610)&lt;10,"00"&amp;COUNTIF($B$5:B610,B610),IF(COUNTIF($B$5:B610,B610)&lt;100,"0"&amp;COUNTIF($B$5:B610,B610),COUNTIF($B$5:B610,B610))))</f>
        <v>VIS_20270707_001</v>
      </c>
      <c r="B610" s="40">
        <v>46575</v>
      </c>
      <c r="C610" s="47" t="str">
        <f t="shared" si="18"/>
        <v>Ср</v>
      </c>
      <c r="I610" s="46"/>
      <c r="J610" s="39">
        <f t="shared" si="19"/>
        <v>46575</v>
      </c>
      <c r="K610" t="str">
        <f ca="1">IF(AND(B610&gt;='План недели'!$B$4,B610&lt;'План недели'!$D$4,D610&lt;&gt;"",G610&lt;&gt;"Отменён"),COUNTIFS($B$5:B610,"&gt;="&amp;'План недели'!$B$4,$B$5:B610,"&lt;"&amp;'План недели'!$D$4,$D$5:D610,"&lt;&gt;",$G$5:G610,"&lt;&gt;Отменён"),"")</f>
        <v/>
      </c>
    </row>
    <row r="611" spans="1:11">
      <c r="A611" t="str">
        <f>IF(B611="","","VIS_"&amp;(YEAR(B611)*10000+MONTH(B611)*100+DAY(B611))&amp;"_"&amp;IF(COUNTIF($B$5:B611,B611)&lt;10,"00"&amp;COUNTIF($B$5:B611,B611),IF(COUNTIF($B$5:B611,B611)&lt;100,"0"&amp;COUNTIF($B$5:B611,B611),COUNTIF($B$5:B611,B611))))</f>
        <v>VIS_20270708_001</v>
      </c>
      <c r="B611" s="40">
        <v>46576</v>
      </c>
      <c r="C611" s="47" t="str">
        <f t="shared" si="18"/>
        <v>Чт</v>
      </c>
      <c r="I611" s="46"/>
      <c r="J611" s="39">
        <f t="shared" si="19"/>
        <v>46575</v>
      </c>
      <c r="K611" t="str">
        <f ca="1">IF(AND(B611&gt;='План недели'!$B$4,B611&lt;'План недели'!$D$4,D611&lt;&gt;"",G611&lt;&gt;"Отменён"),COUNTIFS($B$5:B611,"&gt;="&amp;'План недели'!$B$4,$B$5:B611,"&lt;"&amp;'План недели'!$D$4,$D$5:D611,"&lt;&gt;",$G$5:G611,"&lt;&gt;Отменён"),"")</f>
        <v/>
      </c>
    </row>
    <row r="612" spans="1:11">
      <c r="A612" t="str">
        <f>IF(B612="","","VIS_"&amp;(YEAR(B612)*10000+MONTH(B612)*100+DAY(B612))&amp;"_"&amp;IF(COUNTIF($B$5:B612,B612)&lt;10,"00"&amp;COUNTIF($B$5:B612,B612),IF(COUNTIF($B$5:B612,B612)&lt;100,"0"&amp;COUNTIF($B$5:B612,B612),COUNTIF($B$5:B612,B612))))</f>
        <v>VIS_20270709_001</v>
      </c>
      <c r="B612" s="40">
        <v>46577</v>
      </c>
      <c r="C612" s="47" t="str">
        <f t="shared" si="18"/>
        <v>Пт</v>
      </c>
      <c r="I612" s="46"/>
      <c r="J612" s="39">
        <f t="shared" si="19"/>
        <v>46575</v>
      </c>
      <c r="K612" t="str">
        <f ca="1">IF(AND(B612&gt;='План недели'!$B$4,B612&lt;'План недели'!$D$4,D612&lt;&gt;"",G612&lt;&gt;"Отменён"),COUNTIFS($B$5:B612,"&gt;="&amp;'План недели'!$B$4,$B$5:B612,"&lt;"&amp;'План недели'!$D$4,$D$5:D612,"&lt;&gt;",$G$5:G612,"&lt;&gt;Отменён"),"")</f>
        <v/>
      </c>
    </row>
    <row r="613" spans="1:11">
      <c r="A613" t="str">
        <f>IF(B613="","","VIS_"&amp;(YEAR(B613)*10000+MONTH(B613)*100+DAY(B613))&amp;"_"&amp;IF(COUNTIF($B$5:B613,B613)&lt;10,"00"&amp;COUNTIF($B$5:B613,B613),IF(COUNTIF($B$5:B613,B613)&lt;100,"0"&amp;COUNTIF($B$5:B613,B613),COUNTIF($B$5:B613,B613))))</f>
        <v>VIS_20270710_001</v>
      </c>
      <c r="B613" s="42">
        <v>46578</v>
      </c>
      <c r="C613" s="49" t="str">
        <f t="shared" si="18"/>
        <v>Сб</v>
      </c>
      <c r="I613" s="46"/>
      <c r="J613" s="39">
        <f t="shared" si="19"/>
        <v>46575</v>
      </c>
      <c r="K613" t="str">
        <f ca="1">IF(AND(B613&gt;='План недели'!$B$4,B613&lt;'План недели'!$D$4,D613&lt;&gt;"",G613&lt;&gt;"Отменён"),COUNTIFS($B$5:B613,"&gt;="&amp;'План недели'!$B$4,$B$5:B613,"&lt;"&amp;'План недели'!$D$4,$D$5:D613,"&lt;&gt;",$G$5:G613,"&lt;&gt;Отменён"),"")</f>
        <v/>
      </c>
    </row>
    <row r="614" spans="1:11">
      <c r="A614" t="str">
        <f>IF(B614="","","VIS_"&amp;(YEAR(B614)*10000+MONTH(B614)*100+DAY(B614))&amp;"_"&amp;IF(COUNTIF($B$5:B614,B614)&lt;10,"00"&amp;COUNTIF($B$5:B614,B614),IF(COUNTIF($B$5:B614,B614)&lt;100,"0"&amp;COUNTIF($B$5:B614,B614),COUNTIF($B$5:B614,B614))))</f>
        <v>VIS_20270711_001</v>
      </c>
      <c r="B614" s="42">
        <v>46579</v>
      </c>
      <c r="C614" s="49" t="str">
        <f t="shared" si="18"/>
        <v>Вс</v>
      </c>
      <c r="I614" s="46"/>
      <c r="J614" s="39">
        <f t="shared" si="19"/>
        <v>46575</v>
      </c>
      <c r="K614" t="str">
        <f ca="1">IF(AND(B614&gt;='План недели'!$B$4,B614&lt;'План недели'!$D$4,D614&lt;&gt;"",G614&lt;&gt;"Отменён"),COUNTIFS($B$5:B614,"&gt;="&amp;'План недели'!$B$4,$B$5:B614,"&lt;"&amp;'План недели'!$D$4,$D$5:D614,"&lt;&gt;",$G$5:G614,"&lt;&gt;Отменён"),"")</f>
        <v/>
      </c>
    </row>
    <row r="615" spans="1:11">
      <c r="A615" t="str">
        <f>IF(B615="","","VIS_"&amp;(YEAR(B615)*10000+MONTH(B615)*100+DAY(B615))&amp;"_"&amp;IF(COUNTIF($B$5:B615,B615)&lt;10,"00"&amp;COUNTIF($B$5:B615,B615),IF(COUNTIF($B$5:B615,B615)&lt;100,"0"&amp;COUNTIF($B$5:B615,B615),COUNTIF($B$5:B615,B615))))</f>
        <v>VIS_20270712_001</v>
      </c>
      <c r="B615" s="40">
        <v>46580</v>
      </c>
      <c r="C615" s="47" t="str">
        <f t="shared" si="18"/>
        <v>Пн</v>
      </c>
      <c r="I615" s="46"/>
      <c r="J615" s="39">
        <f t="shared" si="19"/>
        <v>46575</v>
      </c>
      <c r="K615" t="str">
        <f ca="1">IF(AND(B615&gt;='План недели'!$B$4,B615&lt;'План недели'!$D$4,D615&lt;&gt;"",G615&lt;&gt;"Отменён"),COUNTIFS($B$5:B615,"&gt;="&amp;'План недели'!$B$4,$B$5:B615,"&lt;"&amp;'План недели'!$D$4,$D$5:D615,"&lt;&gt;",$G$5:G615,"&lt;&gt;Отменён"),"")</f>
        <v/>
      </c>
    </row>
    <row r="616" spans="1:11">
      <c r="A616" t="str">
        <f>IF(B616="","","VIS_"&amp;(YEAR(B616)*10000+MONTH(B616)*100+DAY(B616))&amp;"_"&amp;IF(COUNTIF($B$5:B616,B616)&lt;10,"00"&amp;COUNTIF($B$5:B616,B616),IF(COUNTIF($B$5:B616,B616)&lt;100,"0"&amp;COUNTIF($B$5:B616,B616),COUNTIF($B$5:B616,B616))))</f>
        <v>VIS_20270713_001</v>
      </c>
      <c r="B616" s="40">
        <v>46581</v>
      </c>
      <c r="C616" s="47" t="str">
        <f t="shared" si="18"/>
        <v>Вт</v>
      </c>
      <c r="I616" s="46"/>
      <c r="J616" s="39">
        <f t="shared" si="19"/>
        <v>46575</v>
      </c>
      <c r="K616" t="str">
        <f ca="1">IF(AND(B616&gt;='План недели'!$B$4,B616&lt;'План недели'!$D$4,D616&lt;&gt;"",G616&lt;&gt;"Отменён"),COUNTIFS($B$5:B616,"&gt;="&amp;'План недели'!$B$4,$B$5:B616,"&lt;"&amp;'План недели'!$D$4,$D$5:D616,"&lt;&gt;",$G$5:G616,"&lt;&gt;Отменён"),"")</f>
        <v/>
      </c>
    </row>
    <row r="617" spans="1:11">
      <c r="A617" t="str">
        <f>IF(B617="","","VIS_"&amp;(YEAR(B617)*10000+MONTH(B617)*100+DAY(B617))&amp;"_"&amp;IF(COUNTIF($B$5:B617,B617)&lt;10,"00"&amp;COUNTIF($B$5:B617,B617),IF(COUNTIF($B$5:B617,B617)&lt;100,"0"&amp;COUNTIF($B$5:B617,B617),COUNTIF($B$5:B617,B617))))</f>
        <v>VIS_20270714_001</v>
      </c>
      <c r="B617" s="40">
        <v>46582</v>
      </c>
      <c r="C617" s="47" t="str">
        <f t="shared" si="18"/>
        <v>Ср</v>
      </c>
      <c r="I617" s="46"/>
      <c r="J617" s="39">
        <f t="shared" si="19"/>
        <v>46582</v>
      </c>
      <c r="K617" t="str">
        <f ca="1">IF(AND(B617&gt;='План недели'!$B$4,B617&lt;'План недели'!$D$4,D617&lt;&gt;"",G617&lt;&gt;"Отменён"),COUNTIFS($B$5:B617,"&gt;="&amp;'План недели'!$B$4,$B$5:B617,"&lt;"&amp;'План недели'!$D$4,$D$5:D617,"&lt;&gt;",$G$5:G617,"&lt;&gt;Отменён"),"")</f>
        <v/>
      </c>
    </row>
    <row r="618" spans="1:11">
      <c r="A618" t="str">
        <f>IF(B618="","","VIS_"&amp;(YEAR(B618)*10000+MONTH(B618)*100+DAY(B618))&amp;"_"&amp;IF(COUNTIF($B$5:B618,B618)&lt;10,"00"&amp;COUNTIF($B$5:B618,B618),IF(COUNTIF($B$5:B618,B618)&lt;100,"0"&amp;COUNTIF($B$5:B618,B618),COUNTIF($B$5:B618,B618))))</f>
        <v>VIS_20270715_001</v>
      </c>
      <c r="B618" s="40">
        <v>46583</v>
      </c>
      <c r="C618" s="47" t="str">
        <f t="shared" si="18"/>
        <v>Чт</v>
      </c>
      <c r="I618" s="46"/>
      <c r="J618" s="39">
        <f t="shared" si="19"/>
        <v>46582</v>
      </c>
      <c r="K618" t="str">
        <f ca="1">IF(AND(B618&gt;='План недели'!$B$4,B618&lt;'План недели'!$D$4,D618&lt;&gt;"",G618&lt;&gt;"Отменён"),COUNTIFS($B$5:B618,"&gt;="&amp;'План недели'!$B$4,$B$5:B618,"&lt;"&amp;'План недели'!$D$4,$D$5:D618,"&lt;&gt;",$G$5:G618,"&lt;&gt;Отменён"),"")</f>
        <v/>
      </c>
    </row>
    <row r="619" spans="1:11">
      <c r="A619" t="str">
        <f>IF(B619="","","VIS_"&amp;(YEAR(B619)*10000+MONTH(B619)*100+DAY(B619))&amp;"_"&amp;IF(COUNTIF($B$5:B619,B619)&lt;10,"00"&amp;COUNTIF($B$5:B619,B619),IF(COUNTIF($B$5:B619,B619)&lt;100,"0"&amp;COUNTIF($B$5:B619,B619),COUNTIF($B$5:B619,B619))))</f>
        <v>VIS_20270716_001</v>
      </c>
      <c r="B619" s="40">
        <v>46584</v>
      </c>
      <c r="C619" s="47" t="str">
        <f t="shared" si="18"/>
        <v>Пт</v>
      </c>
      <c r="I619" s="46"/>
      <c r="J619" s="39">
        <f t="shared" si="19"/>
        <v>46582</v>
      </c>
      <c r="K619" t="str">
        <f ca="1">IF(AND(B619&gt;='План недели'!$B$4,B619&lt;'План недели'!$D$4,D619&lt;&gt;"",G619&lt;&gt;"Отменён"),COUNTIFS($B$5:B619,"&gt;="&amp;'План недели'!$B$4,$B$5:B619,"&lt;"&amp;'План недели'!$D$4,$D$5:D619,"&lt;&gt;",$G$5:G619,"&lt;&gt;Отменён"),"")</f>
        <v/>
      </c>
    </row>
    <row r="620" spans="1:11">
      <c r="A620" t="str">
        <f>IF(B620="","","VIS_"&amp;(YEAR(B620)*10000+MONTH(B620)*100+DAY(B620))&amp;"_"&amp;IF(COUNTIF($B$5:B620,B620)&lt;10,"00"&amp;COUNTIF($B$5:B620,B620),IF(COUNTIF($B$5:B620,B620)&lt;100,"0"&amp;COUNTIF($B$5:B620,B620),COUNTIF($B$5:B620,B620))))</f>
        <v>VIS_20270717_001</v>
      </c>
      <c r="B620" s="42">
        <v>46585</v>
      </c>
      <c r="C620" s="49" t="str">
        <f t="shared" si="18"/>
        <v>Сб</v>
      </c>
      <c r="I620" s="46"/>
      <c r="J620" s="39">
        <f t="shared" si="19"/>
        <v>46582</v>
      </c>
      <c r="K620" t="str">
        <f ca="1">IF(AND(B620&gt;='План недели'!$B$4,B620&lt;'План недели'!$D$4,D620&lt;&gt;"",G620&lt;&gt;"Отменён"),COUNTIFS($B$5:B620,"&gt;="&amp;'План недели'!$B$4,$B$5:B620,"&lt;"&amp;'План недели'!$D$4,$D$5:D620,"&lt;&gt;",$G$5:G620,"&lt;&gt;Отменён"),"")</f>
        <v/>
      </c>
    </row>
    <row r="621" spans="1:11">
      <c r="A621" t="str">
        <f>IF(B621="","","VIS_"&amp;(YEAR(B621)*10000+MONTH(B621)*100+DAY(B621))&amp;"_"&amp;IF(COUNTIF($B$5:B621,B621)&lt;10,"00"&amp;COUNTIF($B$5:B621,B621),IF(COUNTIF($B$5:B621,B621)&lt;100,"0"&amp;COUNTIF($B$5:B621,B621),COUNTIF($B$5:B621,B621))))</f>
        <v>VIS_20270718_001</v>
      </c>
      <c r="B621" s="42">
        <v>46586</v>
      </c>
      <c r="C621" s="49" t="str">
        <f t="shared" si="18"/>
        <v>Вс</v>
      </c>
      <c r="I621" s="46"/>
      <c r="J621" s="39">
        <f t="shared" si="19"/>
        <v>46582</v>
      </c>
      <c r="K621" t="str">
        <f ca="1">IF(AND(B621&gt;='План недели'!$B$4,B621&lt;'План недели'!$D$4,D621&lt;&gt;"",G621&lt;&gt;"Отменён"),COUNTIFS($B$5:B621,"&gt;="&amp;'План недели'!$B$4,$B$5:B621,"&lt;"&amp;'План недели'!$D$4,$D$5:D621,"&lt;&gt;",$G$5:G621,"&lt;&gt;Отменён"),"")</f>
        <v/>
      </c>
    </row>
    <row r="622" spans="1:11">
      <c r="A622" t="str">
        <f>IF(B622="","","VIS_"&amp;(YEAR(B622)*10000+MONTH(B622)*100+DAY(B622))&amp;"_"&amp;IF(COUNTIF($B$5:B622,B622)&lt;10,"00"&amp;COUNTIF($B$5:B622,B622),IF(COUNTIF($B$5:B622,B622)&lt;100,"0"&amp;COUNTIF($B$5:B622,B622),COUNTIF($B$5:B622,B622))))</f>
        <v>VIS_20270719_001</v>
      </c>
      <c r="B622" s="40">
        <v>46587</v>
      </c>
      <c r="C622" s="47" t="str">
        <f t="shared" si="18"/>
        <v>Пн</v>
      </c>
      <c r="I622" s="46"/>
      <c r="J622" s="39">
        <f t="shared" si="19"/>
        <v>46582</v>
      </c>
      <c r="K622" t="str">
        <f ca="1">IF(AND(B622&gt;='План недели'!$B$4,B622&lt;'План недели'!$D$4,D622&lt;&gt;"",G622&lt;&gt;"Отменён"),COUNTIFS($B$5:B622,"&gt;="&amp;'План недели'!$B$4,$B$5:B622,"&lt;"&amp;'План недели'!$D$4,$D$5:D622,"&lt;&gt;",$G$5:G622,"&lt;&gt;Отменён"),"")</f>
        <v/>
      </c>
    </row>
    <row r="623" spans="1:11">
      <c r="A623" t="str">
        <f>IF(B623="","","VIS_"&amp;(YEAR(B623)*10000+MONTH(B623)*100+DAY(B623))&amp;"_"&amp;IF(COUNTIF($B$5:B623,B623)&lt;10,"00"&amp;COUNTIF($B$5:B623,B623),IF(COUNTIF($B$5:B623,B623)&lt;100,"0"&amp;COUNTIF($B$5:B623,B623),COUNTIF($B$5:B623,B623))))</f>
        <v>VIS_20270720_001</v>
      </c>
      <c r="B623" s="40">
        <v>46588</v>
      </c>
      <c r="C623" s="47" t="str">
        <f t="shared" si="18"/>
        <v>Вт</v>
      </c>
      <c r="I623" s="46"/>
      <c r="J623" s="39">
        <f t="shared" si="19"/>
        <v>46582</v>
      </c>
      <c r="K623" t="str">
        <f ca="1">IF(AND(B623&gt;='План недели'!$B$4,B623&lt;'План недели'!$D$4,D623&lt;&gt;"",G623&lt;&gt;"Отменён"),COUNTIFS($B$5:B623,"&gt;="&amp;'План недели'!$B$4,$B$5:B623,"&lt;"&amp;'План недели'!$D$4,$D$5:D623,"&lt;&gt;",$G$5:G623,"&lt;&gt;Отменён"),"")</f>
        <v/>
      </c>
    </row>
    <row r="624" spans="1:11">
      <c r="A624" t="str">
        <f>IF(B624="","","VIS_"&amp;(YEAR(B624)*10000+MONTH(B624)*100+DAY(B624))&amp;"_"&amp;IF(COUNTIF($B$5:B624,B624)&lt;10,"00"&amp;COUNTIF($B$5:B624,B624),IF(COUNTIF($B$5:B624,B624)&lt;100,"0"&amp;COUNTIF($B$5:B624,B624),COUNTIF($B$5:B624,B624))))</f>
        <v>VIS_20270721_001</v>
      </c>
      <c r="B624" s="40">
        <v>46589</v>
      </c>
      <c r="C624" s="47" t="str">
        <f t="shared" si="18"/>
        <v>Ср</v>
      </c>
      <c r="I624" s="46"/>
      <c r="J624" s="39">
        <f t="shared" si="19"/>
        <v>46589</v>
      </c>
      <c r="K624" t="str">
        <f ca="1">IF(AND(B624&gt;='План недели'!$B$4,B624&lt;'План недели'!$D$4,D624&lt;&gt;"",G624&lt;&gt;"Отменён"),COUNTIFS($B$5:B624,"&gt;="&amp;'План недели'!$B$4,$B$5:B624,"&lt;"&amp;'План недели'!$D$4,$D$5:D624,"&lt;&gt;",$G$5:G624,"&lt;&gt;Отменён"),"")</f>
        <v/>
      </c>
    </row>
    <row r="625" spans="1:11">
      <c r="A625" t="str">
        <f>IF(B625="","","VIS_"&amp;(YEAR(B625)*10000+MONTH(B625)*100+DAY(B625))&amp;"_"&amp;IF(COUNTIF($B$5:B625,B625)&lt;10,"00"&amp;COUNTIF($B$5:B625,B625),IF(COUNTIF($B$5:B625,B625)&lt;100,"0"&amp;COUNTIF($B$5:B625,B625),COUNTIF($B$5:B625,B625))))</f>
        <v>VIS_20270722_001</v>
      </c>
      <c r="B625" s="40">
        <v>46590</v>
      </c>
      <c r="C625" s="47" t="str">
        <f t="shared" si="18"/>
        <v>Чт</v>
      </c>
      <c r="I625" s="46"/>
      <c r="J625" s="39">
        <f t="shared" si="19"/>
        <v>46589</v>
      </c>
      <c r="K625" t="str">
        <f ca="1">IF(AND(B625&gt;='План недели'!$B$4,B625&lt;'План недели'!$D$4,D625&lt;&gt;"",G625&lt;&gt;"Отменён"),COUNTIFS($B$5:B625,"&gt;="&amp;'План недели'!$B$4,$B$5:B625,"&lt;"&amp;'План недели'!$D$4,$D$5:D625,"&lt;&gt;",$G$5:G625,"&lt;&gt;Отменён"),"")</f>
        <v/>
      </c>
    </row>
    <row r="626" spans="1:11">
      <c r="A626" t="str">
        <f>IF(B626="","","VIS_"&amp;(YEAR(B626)*10000+MONTH(B626)*100+DAY(B626))&amp;"_"&amp;IF(COUNTIF($B$5:B626,B626)&lt;10,"00"&amp;COUNTIF($B$5:B626,B626),IF(COUNTIF($B$5:B626,B626)&lt;100,"0"&amp;COUNTIF($B$5:B626,B626),COUNTIF($B$5:B626,B626))))</f>
        <v>VIS_20270723_001</v>
      </c>
      <c r="B626" s="40">
        <v>46591</v>
      </c>
      <c r="C626" s="47" t="str">
        <f t="shared" si="18"/>
        <v>Пт</v>
      </c>
      <c r="I626" s="46"/>
      <c r="J626" s="39">
        <f t="shared" si="19"/>
        <v>46589</v>
      </c>
      <c r="K626" t="str">
        <f ca="1">IF(AND(B626&gt;='План недели'!$B$4,B626&lt;'План недели'!$D$4,D626&lt;&gt;"",G626&lt;&gt;"Отменён"),COUNTIFS($B$5:B626,"&gt;="&amp;'План недели'!$B$4,$B$5:B626,"&lt;"&amp;'План недели'!$D$4,$D$5:D626,"&lt;&gt;",$G$5:G626,"&lt;&gt;Отменён"),"")</f>
        <v/>
      </c>
    </row>
    <row r="627" spans="1:11">
      <c r="A627" t="str">
        <f>IF(B627="","","VIS_"&amp;(YEAR(B627)*10000+MONTH(B627)*100+DAY(B627))&amp;"_"&amp;IF(COUNTIF($B$5:B627,B627)&lt;10,"00"&amp;COUNTIF($B$5:B627,B627),IF(COUNTIF($B$5:B627,B627)&lt;100,"0"&amp;COUNTIF($B$5:B627,B627),COUNTIF($B$5:B627,B627))))</f>
        <v>VIS_20270724_001</v>
      </c>
      <c r="B627" s="42">
        <v>46592</v>
      </c>
      <c r="C627" s="49" t="str">
        <f t="shared" si="18"/>
        <v>Сб</v>
      </c>
      <c r="I627" s="46"/>
      <c r="J627" s="39">
        <f t="shared" si="19"/>
        <v>46589</v>
      </c>
      <c r="K627" t="str">
        <f ca="1">IF(AND(B627&gt;='План недели'!$B$4,B627&lt;'План недели'!$D$4,D627&lt;&gt;"",G627&lt;&gt;"Отменён"),COUNTIFS($B$5:B627,"&gt;="&amp;'План недели'!$B$4,$B$5:B627,"&lt;"&amp;'План недели'!$D$4,$D$5:D627,"&lt;&gt;",$G$5:G627,"&lt;&gt;Отменён"),"")</f>
        <v/>
      </c>
    </row>
    <row r="628" spans="1:11">
      <c r="A628" t="str">
        <f>IF(B628="","","VIS_"&amp;(YEAR(B628)*10000+MONTH(B628)*100+DAY(B628))&amp;"_"&amp;IF(COUNTIF($B$5:B628,B628)&lt;10,"00"&amp;COUNTIF($B$5:B628,B628),IF(COUNTIF($B$5:B628,B628)&lt;100,"0"&amp;COUNTIF($B$5:B628,B628),COUNTIF($B$5:B628,B628))))</f>
        <v>VIS_20270725_001</v>
      </c>
      <c r="B628" s="42">
        <v>46593</v>
      </c>
      <c r="C628" s="49" t="str">
        <f t="shared" si="18"/>
        <v>Вс</v>
      </c>
      <c r="I628" s="46"/>
      <c r="J628" s="39">
        <f t="shared" si="19"/>
        <v>46589</v>
      </c>
      <c r="K628" t="str">
        <f ca="1">IF(AND(B628&gt;='План недели'!$B$4,B628&lt;'План недели'!$D$4,D628&lt;&gt;"",G628&lt;&gt;"Отменён"),COUNTIFS($B$5:B628,"&gt;="&amp;'План недели'!$B$4,$B$5:B628,"&lt;"&amp;'План недели'!$D$4,$D$5:D628,"&lt;&gt;",$G$5:G628,"&lt;&gt;Отменён"),"")</f>
        <v/>
      </c>
    </row>
    <row r="629" spans="1:11">
      <c r="A629" t="str">
        <f>IF(B629="","","VIS_"&amp;(YEAR(B629)*10000+MONTH(B629)*100+DAY(B629))&amp;"_"&amp;IF(COUNTIF($B$5:B629,B629)&lt;10,"00"&amp;COUNTIF($B$5:B629,B629),IF(COUNTIF($B$5:B629,B629)&lt;100,"0"&amp;COUNTIF($B$5:B629,B629),COUNTIF($B$5:B629,B629))))</f>
        <v>VIS_20270726_001</v>
      </c>
      <c r="B629" s="40">
        <v>46594</v>
      </c>
      <c r="C629" s="47" t="str">
        <f t="shared" si="18"/>
        <v>Пн</v>
      </c>
      <c r="I629" s="46"/>
      <c r="J629" s="39">
        <f t="shared" si="19"/>
        <v>46589</v>
      </c>
      <c r="K629" t="str">
        <f ca="1">IF(AND(B629&gt;='План недели'!$B$4,B629&lt;'План недели'!$D$4,D629&lt;&gt;"",G629&lt;&gt;"Отменён"),COUNTIFS($B$5:B629,"&gt;="&amp;'План недели'!$B$4,$B$5:B629,"&lt;"&amp;'План недели'!$D$4,$D$5:D629,"&lt;&gt;",$G$5:G629,"&lt;&gt;Отменён"),"")</f>
        <v/>
      </c>
    </row>
    <row r="630" spans="1:11">
      <c r="A630" t="str">
        <f>IF(B630="","","VIS_"&amp;(YEAR(B630)*10000+MONTH(B630)*100+DAY(B630))&amp;"_"&amp;IF(COUNTIF($B$5:B630,B630)&lt;10,"00"&amp;COUNTIF($B$5:B630,B630),IF(COUNTIF($B$5:B630,B630)&lt;100,"0"&amp;COUNTIF($B$5:B630,B630),COUNTIF($B$5:B630,B630))))</f>
        <v>VIS_20270727_001</v>
      </c>
      <c r="B630" s="40">
        <v>46595</v>
      </c>
      <c r="C630" s="47" t="str">
        <f t="shared" si="18"/>
        <v>Вт</v>
      </c>
      <c r="I630" s="46"/>
      <c r="J630" s="39">
        <f t="shared" si="19"/>
        <v>46589</v>
      </c>
      <c r="K630" t="str">
        <f ca="1">IF(AND(B630&gt;='План недели'!$B$4,B630&lt;'План недели'!$D$4,D630&lt;&gt;"",G630&lt;&gt;"Отменён"),COUNTIFS($B$5:B630,"&gt;="&amp;'План недели'!$B$4,$B$5:B630,"&lt;"&amp;'План недели'!$D$4,$D$5:D630,"&lt;&gt;",$G$5:G630,"&lt;&gt;Отменён"),"")</f>
        <v/>
      </c>
    </row>
    <row r="631" spans="1:11">
      <c r="A631" t="str">
        <f>IF(B631="","","VIS_"&amp;(YEAR(B631)*10000+MONTH(B631)*100+DAY(B631))&amp;"_"&amp;IF(COUNTIF($B$5:B631,B631)&lt;10,"00"&amp;COUNTIF($B$5:B631,B631),IF(COUNTIF($B$5:B631,B631)&lt;100,"0"&amp;COUNTIF($B$5:B631,B631),COUNTIF($B$5:B631,B631))))</f>
        <v>VIS_20270728_001</v>
      </c>
      <c r="B631" s="40">
        <v>46596</v>
      </c>
      <c r="C631" s="47" t="str">
        <f t="shared" si="18"/>
        <v>Ср</v>
      </c>
      <c r="I631" s="46"/>
      <c r="J631" s="39">
        <f t="shared" si="19"/>
        <v>46596</v>
      </c>
      <c r="K631" t="str">
        <f ca="1">IF(AND(B631&gt;='План недели'!$B$4,B631&lt;'План недели'!$D$4,D631&lt;&gt;"",G631&lt;&gt;"Отменён"),COUNTIFS($B$5:B631,"&gt;="&amp;'План недели'!$B$4,$B$5:B631,"&lt;"&amp;'План недели'!$D$4,$D$5:D631,"&lt;&gt;",$G$5:G631,"&lt;&gt;Отменён"),"")</f>
        <v/>
      </c>
    </row>
    <row r="632" spans="1:11">
      <c r="A632" t="str">
        <f>IF(B632="","","VIS_"&amp;(YEAR(B632)*10000+MONTH(B632)*100+DAY(B632))&amp;"_"&amp;IF(COUNTIF($B$5:B632,B632)&lt;10,"00"&amp;COUNTIF($B$5:B632,B632),IF(COUNTIF($B$5:B632,B632)&lt;100,"0"&amp;COUNTIF($B$5:B632,B632),COUNTIF($B$5:B632,B632))))</f>
        <v>VIS_20270729_001</v>
      </c>
      <c r="B632" s="40">
        <v>46597</v>
      </c>
      <c r="C632" s="47" t="str">
        <f t="shared" si="18"/>
        <v>Чт</v>
      </c>
      <c r="I632" s="46"/>
      <c r="J632" s="39">
        <f t="shared" si="19"/>
        <v>46596</v>
      </c>
      <c r="K632" t="str">
        <f ca="1">IF(AND(B632&gt;='План недели'!$B$4,B632&lt;'План недели'!$D$4,D632&lt;&gt;"",G632&lt;&gt;"Отменён"),COUNTIFS($B$5:B632,"&gt;="&amp;'План недели'!$B$4,$B$5:B632,"&lt;"&amp;'План недели'!$D$4,$D$5:D632,"&lt;&gt;",$G$5:G632,"&lt;&gt;Отменён"),"")</f>
        <v/>
      </c>
    </row>
    <row r="633" spans="1:11">
      <c r="A633" t="str">
        <f>IF(B633="","","VIS_"&amp;(YEAR(B633)*10000+MONTH(B633)*100+DAY(B633))&amp;"_"&amp;IF(COUNTIF($B$5:B633,B633)&lt;10,"00"&amp;COUNTIF($B$5:B633,B633),IF(COUNTIF($B$5:B633,B633)&lt;100,"0"&amp;COUNTIF($B$5:B633,B633),COUNTIF($B$5:B633,B633))))</f>
        <v>VIS_20270730_001</v>
      </c>
      <c r="B633" s="40">
        <v>46598</v>
      </c>
      <c r="C633" s="47" t="str">
        <f t="shared" si="18"/>
        <v>Пт</v>
      </c>
      <c r="I633" s="46"/>
      <c r="J633" s="39">
        <f t="shared" si="19"/>
        <v>46596</v>
      </c>
      <c r="K633" t="str">
        <f ca="1">IF(AND(B633&gt;='План недели'!$B$4,B633&lt;'План недели'!$D$4,D633&lt;&gt;"",G633&lt;&gt;"Отменён"),COUNTIFS($B$5:B633,"&gt;="&amp;'План недели'!$B$4,$B$5:B633,"&lt;"&amp;'План недели'!$D$4,$D$5:D633,"&lt;&gt;",$G$5:G633,"&lt;&gt;Отменён"),"")</f>
        <v/>
      </c>
    </row>
    <row r="634" spans="1:11">
      <c r="A634" t="str">
        <f>IF(B634="","","VIS_"&amp;(YEAR(B634)*10000+MONTH(B634)*100+DAY(B634))&amp;"_"&amp;IF(COUNTIF($B$5:B634,B634)&lt;10,"00"&amp;COUNTIF($B$5:B634,B634),IF(COUNTIF($B$5:B634,B634)&lt;100,"0"&amp;COUNTIF($B$5:B634,B634),COUNTIF($B$5:B634,B634))))</f>
        <v>VIS_20270731_001</v>
      </c>
      <c r="B634" s="42">
        <v>46599</v>
      </c>
      <c r="C634" s="49" t="str">
        <f t="shared" si="18"/>
        <v>Сб</v>
      </c>
      <c r="I634" s="46"/>
      <c r="J634" s="39">
        <f t="shared" si="19"/>
        <v>46596</v>
      </c>
      <c r="K634" t="str">
        <f ca="1">IF(AND(B634&gt;='План недели'!$B$4,B634&lt;'План недели'!$D$4,D634&lt;&gt;"",G634&lt;&gt;"Отменён"),COUNTIFS($B$5:B634,"&gt;="&amp;'План недели'!$B$4,$B$5:B634,"&lt;"&amp;'План недели'!$D$4,$D$5:D634,"&lt;&gt;",$G$5:G634,"&lt;&gt;Отменён"),"")</f>
        <v/>
      </c>
    </row>
    <row r="635" spans="1:11">
      <c r="A635" t="str">
        <f>IF(B635="","","VIS_"&amp;(YEAR(B635)*10000+MONTH(B635)*100+DAY(B635))&amp;"_"&amp;IF(COUNTIF($B$5:B635,B635)&lt;10,"00"&amp;COUNTIF($B$5:B635,B635),IF(COUNTIF($B$5:B635,B635)&lt;100,"0"&amp;COUNTIF($B$5:B635,B635),COUNTIF($B$5:B635,B635))))</f>
        <v>VIS_20270801_001</v>
      </c>
      <c r="B635" s="42">
        <v>46600</v>
      </c>
      <c r="C635" s="49" t="str">
        <f t="shared" si="18"/>
        <v>Вс</v>
      </c>
      <c r="I635" s="46"/>
      <c r="J635" s="39">
        <f t="shared" si="19"/>
        <v>46596</v>
      </c>
      <c r="K635" t="str">
        <f ca="1">IF(AND(B635&gt;='План недели'!$B$4,B635&lt;'План недели'!$D$4,D635&lt;&gt;"",G635&lt;&gt;"Отменён"),COUNTIFS($B$5:B635,"&gt;="&amp;'План недели'!$B$4,$B$5:B635,"&lt;"&amp;'План недели'!$D$4,$D$5:D635,"&lt;&gt;",$G$5:G635,"&lt;&gt;Отменён"),"")</f>
        <v/>
      </c>
    </row>
    <row r="636" spans="1:11">
      <c r="A636" t="str">
        <f>IF(B636="","","VIS_"&amp;(YEAR(B636)*10000+MONTH(B636)*100+DAY(B636))&amp;"_"&amp;IF(COUNTIF($B$5:B636,B636)&lt;10,"00"&amp;COUNTIF($B$5:B636,B636),IF(COUNTIF($B$5:B636,B636)&lt;100,"0"&amp;COUNTIF($B$5:B636,B636),COUNTIF($B$5:B636,B636))))</f>
        <v>VIS_20270802_001</v>
      </c>
      <c r="B636" s="40">
        <v>46601</v>
      </c>
      <c r="C636" s="47" t="str">
        <f t="shared" si="18"/>
        <v>Пн</v>
      </c>
      <c r="I636" s="46"/>
      <c r="J636" s="39">
        <f t="shared" si="19"/>
        <v>46596</v>
      </c>
      <c r="K636" t="str">
        <f ca="1">IF(AND(B636&gt;='План недели'!$B$4,B636&lt;'План недели'!$D$4,D636&lt;&gt;"",G636&lt;&gt;"Отменён"),COUNTIFS($B$5:B636,"&gt;="&amp;'План недели'!$B$4,$B$5:B636,"&lt;"&amp;'План недели'!$D$4,$D$5:D636,"&lt;&gt;",$G$5:G636,"&lt;&gt;Отменён"),"")</f>
        <v/>
      </c>
    </row>
    <row r="637" spans="1:11">
      <c r="A637" t="str">
        <f>IF(B637="","","VIS_"&amp;(YEAR(B637)*10000+MONTH(B637)*100+DAY(B637))&amp;"_"&amp;IF(COUNTIF($B$5:B637,B637)&lt;10,"00"&amp;COUNTIF($B$5:B637,B637),IF(COUNTIF($B$5:B637,B637)&lt;100,"0"&amp;COUNTIF($B$5:B637,B637),COUNTIF($B$5:B637,B637))))</f>
        <v>VIS_20270803_001</v>
      </c>
      <c r="B637" s="40">
        <v>46602</v>
      </c>
      <c r="C637" s="47" t="str">
        <f t="shared" si="18"/>
        <v>Вт</v>
      </c>
      <c r="I637" s="46"/>
      <c r="J637" s="39">
        <f t="shared" si="19"/>
        <v>46596</v>
      </c>
      <c r="K637" t="str">
        <f ca="1">IF(AND(B637&gt;='План недели'!$B$4,B637&lt;'План недели'!$D$4,D637&lt;&gt;"",G637&lt;&gt;"Отменён"),COUNTIFS($B$5:B637,"&gt;="&amp;'План недели'!$B$4,$B$5:B637,"&lt;"&amp;'План недели'!$D$4,$D$5:D637,"&lt;&gt;",$G$5:G637,"&lt;&gt;Отменён"),"")</f>
        <v/>
      </c>
    </row>
    <row r="638" spans="1:11">
      <c r="A638" t="str">
        <f>IF(B638="","","VIS_"&amp;(YEAR(B638)*10000+MONTH(B638)*100+DAY(B638))&amp;"_"&amp;IF(COUNTIF($B$5:B638,B638)&lt;10,"00"&amp;COUNTIF($B$5:B638,B638),IF(COUNTIF($B$5:B638,B638)&lt;100,"0"&amp;COUNTIF($B$5:B638,B638),COUNTIF($B$5:B638,B638))))</f>
        <v>VIS_20270804_001</v>
      </c>
      <c r="B638" s="40">
        <v>46603</v>
      </c>
      <c r="C638" s="47" t="str">
        <f t="shared" si="18"/>
        <v>Ср</v>
      </c>
      <c r="I638" s="46"/>
      <c r="J638" s="39">
        <f t="shared" si="19"/>
        <v>46603</v>
      </c>
      <c r="K638" t="str">
        <f ca="1">IF(AND(B638&gt;='План недели'!$B$4,B638&lt;'План недели'!$D$4,D638&lt;&gt;"",G638&lt;&gt;"Отменён"),COUNTIFS($B$5:B638,"&gt;="&amp;'План недели'!$B$4,$B$5:B638,"&lt;"&amp;'План недели'!$D$4,$D$5:D638,"&lt;&gt;",$G$5:G638,"&lt;&gt;Отменён"),"")</f>
        <v/>
      </c>
    </row>
    <row r="639" spans="1:11">
      <c r="A639" t="str">
        <f>IF(B639="","","VIS_"&amp;(YEAR(B639)*10000+MONTH(B639)*100+DAY(B639))&amp;"_"&amp;IF(COUNTIF($B$5:B639,B639)&lt;10,"00"&amp;COUNTIF($B$5:B639,B639),IF(COUNTIF($B$5:B639,B639)&lt;100,"0"&amp;COUNTIF($B$5:B639,B639),COUNTIF($B$5:B639,B639))))</f>
        <v>VIS_20270805_001</v>
      </c>
      <c r="B639" s="40">
        <v>46604</v>
      </c>
      <c r="C639" s="47" t="str">
        <f t="shared" si="18"/>
        <v>Чт</v>
      </c>
      <c r="I639" s="46"/>
      <c r="J639" s="39">
        <f t="shared" si="19"/>
        <v>46603</v>
      </c>
      <c r="K639" t="str">
        <f ca="1">IF(AND(B639&gt;='План недели'!$B$4,B639&lt;'План недели'!$D$4,D639&lt;&gt;"",G639&lt;&gt;"Отменён"),COUNTIFS($B$5:B639,"&gt;="&amp;'План недели'!$B$4,$B$5:B639,"&lt;"&amp;'План недели'!$D$4,$D$5:D639,"&lt;&gt;",$G$5:G639,"&lt;&gt;Отменён"),"")</f>
        <v/>
      </c>
    </row>
    <row r="640" spans="1:11">
      <c r="A640" t="str">
        <f>IF(B640="","","VIS_"&amp;(YEAR(B640)*10000+MONTH(B640)*100+DAY(B640))&amp;"_"&amp;IF(COUNTIF($B$5:B640,B640)&lt;10,"00"&amp;COUNTIF($B$5:B640,B640),IF(COUNTIF($B$5:B640,B640)&lt;100,"0"&amp;COUNTIF($B$5:B640,B640),COUNTIF($B$5:B640,B640))))</f>
        <v>VIS_20270806_001</v>
      </c>
      <c r="B640" s="40">
        <v>46605</v>
      </c>
      <c r="C640" s="47" t="str">
        <f t="shared" si="18"/>
        <v>Пт</v>
      </c>
      <c r="I640" s="46"/>
      <c r="J640" s="39">
        <f t="shared" si="19"/>
        <v>46603</v>
      </c>
      <c r="K640" t="str">
        <f ca="1">IF(AND(B640&gt;='План недели'!$B$4,B640&lt;'План недели'!$D$4,D640&lt;&gt;"",G640&lt;&gt;"Отменён"),COUNTIFS($B$5:B640,"&gt;="&amp;'План недели'!$B$4,$B$5:B640,"&lt;"&amp;'План недели'!$D$4,$D$5:D640,"&lt;&gt;",$G$5:G640,"&lt;&gt;Отменён"),"")</f>
        <v/>
      </c>
    </row>
    <row r="641" spans="1:11">
      <c r="A641" t="str">
        <f>IF(B641="","","VIS_"&amp;(YEAR(B641)*10000+MONTH(B641)*100+DAY(B641))&amp;"_"&amp;IF(COUNTIF($B$5:B641,B641)&lt;10,"00"&amp;COUNTIF($B$5:B641,B641),IF(COUNTIF($B$5:B641,B641)&lt;100,"0"&amp;COUNTIF($B$5:B641,B641),COUNTIF($B$5:B641,B641))))</f>
        <v>VIS_20270807_001</v>
      </c>
      <c r="B641" s="42">
        <v>46606</v>
      </c>
      <c r="C641" s="49" t="str">
        <f t="shared" si="18"/>
        <v>Сб</v>
      </c>
      <c r="I641" s="46"/>
      <c r="J641" s="39">
        <f t="shared" si="19"/>
        <v>46603</v>
      </c>
      <c r="K641" t="str">
        <f ca="1">IF(AND(B641&gt;='План недели'!$B$4,B641&lt;'План недели'!$D$4,D641&lt;&gt;"",G641&lt;&gt;"Отменён"),COUNTIFS($B$5:B641,"&gt;="&amp;'План недели'!$B$4,$B$5:B641,"&lt;"&amp;'План недели'!$D$4,$D$5:D641,"&lt;&gt;",$G$5:G641,"&lt;&gt;Отменён"),"")</f>
        <v/>
      </c>
    </row>
    <row r="642" spans="1:11">
      <c r="A642" t="str">
        <f>IF(B642="","","VIS_"&amp;(YEAR(B642)*10000+MONTH(B642)*100+DAY(B642))&amp;"_"&amp;IF(COUNTIF($B$5:B642,B642)&lt;10,"00"&amp;COUNTIF($B$5:B642,B642),IF(COUNTIF($B$5:B642,B642)&lt;100,"0"&amp;COUNTIF($B$5:B642,B642),COUNTIF($B$5:B642,B642))))</f>
        <v>VIS_20270808_001</v>
      </c>
      <c r="B642" s="42">
        <v>46607</v>
      </c>
      <c r="C642" s="49" t="str">
        <f t="shared" si="18"/>
        <v>Вс</v>
      </c>
      <c r="I642" s="46"/>
      <c r="J642" s="39">
        <f t="shared" si="19"/>
        <v>46603</v>
      </c>
      <c r="K642" t="str">
        <f ca="1">IF(AND(B642&gt;='План недели'!$B$4,B642&lt;'План недели'!$D$4,D642&lt;&gt;"",G642&lt;&gt;"Отменён"),COUNTIFS($B$5:B642,"&gt;="&amp;'План недели'!$B$4,$B$5:B642,"&lt;"&amp;'План недели'!$D$4,$D$5:D642,"&lt;&gt;",$G$5:G642,"&lt;&gt;Отменён"),"")</f>
        <v/>
      </c>
    </row>
    <row r="643" spans="1:11">
      <c r="A643" t="str">
        <f>IF(B643="","","VIS_"&amp;(YEAR(B643)*10000+MONTH(B643)*100+DAY(B643))&amp;"_"&amp;IF(COUNTIF($B$5:B643,B643)&lt;10,"00"&amp;COUNTIF($B$5:B643,B643),IF(COUNTIF($B$5:B643,B643)&lt;100,"0"&amp;COUNTIF($B$5:B643,B643),COUNTIF($B$5:B643,B643))))</f>
        <v>VIS_20270809_001</v>
      </c>
      <c r="B643" s="40">
        <v>46608</v>
      </c>
      <c r="C643" s="47" t="str">
        <f t="shared" si="18"/>
        <v>Пн</v>
      </c>
      <c r="I643" s="46"/>
      <c r="J643" s="39">
        <f t="shared" si="19"/>
        <v>46603</v>
      </c>
      <c r="K643" t="str">
        <f ca="1">IF(AND(B643&gt;='План недели'!$B$4,B643&lt;'План недели'!$D$4,D643&lt;&gt;"",G643&lt;&gt;"Отменён"),COUNTIFS($B$5:B643,"&gt;="&amp;'План недели'!$B$4,$B$5:B643,"&lt;"&amp;'План недели'!$D$4,$D$5:D643,"&lt;&gt;",$G$5:G643,"&lt;&gt;Отменён"),"")</f>
        <v/>
      </c>
    </row>
    <row r="644" spans="1:11">
      <c r="A644" t="str">
        <f>IF(B644="","","VIS_"&amp;(YEAR(B644)*10000+MONTH(B644)*100+DAY(B644))&amp;"_"&amp;IF(COUNTIF($B$5:B644,B644)&lt;10,"00"&amp;COUNTIF($B$5:B644,B644),IF(COUNTIF($B$5:B644,B644)&lt;100,"0"&amp;COUNTIF($B$5:B644,B644),COUNTIF($B$5:B644,B644))))</f>
        <v>VIS_20270810_001</v>
      </c>
      <c r="B644" s="40">
        <v>46609</v>
      </c>
      <c r="C644" s="47" t="str">
        <f t="shared" si="18"/>
        <v>Вт</v>
      </c>
      <c r="I644" s="46"/>
      <c r="J644" s="39">
        <f t="shared" si="19"/>
        <v>46603</v>
      </c>
      <c r="K644" t="str">
        <f ca="1">IF(AND(B644&gt;='План недели'!$B$4,B644&lt;'План недели'!$D$4,D644&lt;&gt;"",G644&lt;&gt;"Отменён"),COUNTIFS($B$5:B644,"&gt;="&amp;'План недели'!$B$4,$B$5:B644,"&lt;"&amp;'План недели'!$D$4,$D$5:D644,"&lt;&gt;",$G$5:G644,"&lt;&gt;Отменён"),"")</f>
        <v/>
      </c>
    </row>
    <row r="645" spans="1:11">
      <c r="A645" t="str">
        <f>IF(B645="","","VIS_"&amp;(YEAR(B645)*10000+MONTH(B645)*100+DAY(B645))&amp;"_"&amp;IF(COUNTIF($B$5:B645,B645)&lt;10,"00"&amp;COUNTIF($B$5:B645,B645),IF(COUNTIF($B$5:B645,B645)&lt;100,"0"&amp;COUNTIF($B$5:B645,B645),COUNTIF($B$5:B645,B645))))</f>
        <v>VIS_20270811_001</v>
      </c>
      <c r="B645" s="40">
        <v>46610</v>
      </c>
      <c r="C645" s="47" t="str">
        <f t="shared" ref="C645:C708" si="20">IF(B645="","",CHOOSE(WEEKDAY(B645,2),"Пн","Вт","Ср","Чт","Пт","Сб","Вс"))</f>
        <v>Ср</v>
      </c>
      <c r="I645" s="46"/>
      <c r="J645" s="39">
        <f t="shared" ref="J645:J708" si="21">IF(B645="","",B645-MOD(WEEKDAY(B645,2)-3,7))</f>
        <v>46610</v>
      </c>
      <c r="K645" t="str">
        <f ca="1">IF(AND(B645&gt;='План недели'!$B$4,B645&lt;'План недели'!$D$4,D645&lt;&gt;"",G645&lt;&gt;"Отменён"),COUNTIFS($B$5:B645,"&gt;="&amp;'План недели'!$B$4,$B$5:B645,"&lt;"&amp;'План недели'!$D$4,$D$5:D645,"&lt;&gt;",$G$5:G645,"&lt;&gt;Отменён"),"")</f>
        <v/>
      </c>
    </row>
    <row r="646" spans="1:11">
      <c r="A646" t="str">
        <f>IF(B646="","","VIS_"&amp;(YEAR(B646)*10000+MONTH(B646)*100+DAY(B646))&amp;"_"&amp;IF(COUNTIF($B$5:B646,B646)&lt;10,"00"&amp;COUNTIF($B$5:B646,B646),IF(COUNTIF($B$5:B646,B646)&lt;100,"0"&amp;COUNTIF($B$5:B646,B646),COUNTIF($B$5:B646,B646))))</f>
        <v>VIS_20270812_001</v>
      </c>
      <c r="B646" s="40">
        <v>46611</v>
      </c>
      <c r="C646" s="47" t="str">
        <f t="shared" si="20"/>
        <v>Чт</v>
      </c>
      <c r="I646" s="46"/>
      <c r="J646" s="39">
        <f t="shared" si="21"/>
        <v>46610</v>
      </c>
      <c r="K646" t="str">
        <f ca="1">IF(AND(B646&gt;='План недели'!$B$4,B646&lt;'План недели'!$D$4,D646&lt;&gt;"",G646&lt;&gt;"Отменён"),COUNTIFS($B$5:B646,"&gt;="&amp;'План недели'!$B$4,$B$5:B646,"&lt;"&amp;'План недели'!$D$4,$D$5:D646,"&lt;&gt;",$G$5:G646,"&lt;&gt;Отменён"),"")</f>
        <v/>
      </c>
    </row>
    <row r="647" spans="1:11">
      <c r="A647" t="str">
        <f>IF(B647="","","VIS_"&amp;(YEAR(B647)*10000+MONTH(B647)*100+DAY(B647))&amp;"_"&amp;IF(COUNTIF($B$5:B647,B647)&lt;10,"00"&amp;COUNTIF($B$5:B647,B647),IF(COUNTIF($B$5:B647,B647)&lt;100,"0"&amp;COUNTIF($B$5:B647,B647),COUNTIF($B$5:B647,B647))))</f>
        <v>VIS_20270813_001</v>
      </c>
      <c r="B647" s="40">
        <v>46612</v>
      </c>
      <c r="C647" s="47" t="str">
        <f t="shared" si="20"/>
        <v>Пт</v>
      </c>
      <c r="I647" s="46"/>
      <c r="J647" s="39">
        <f t="shared" si="21"/>
        <v>46610</v>
      </c>
      <c r="K647" t="str">
        <f ca="1">IF(AND(B647&gt;='План недели'!$B$4,B647&lt;'План недели'!$D$4,D647&lt;&gt;"",G647&lt;&gt;"Отменён"),COUNTIFS($B$5:B647,"&gt;="&amp;'План недели'!$B$4,$B$5:B647,"&lt;"&amp;'План недели'!$D$4,$D$5:D647,"&lt;&gt;",$G$5:G647,"&lt;&gt;Отменён"),"")</f>
        <v/>
      </c>
    </row>
    <row r="648" spans="1:11">
      <c r="A648" t="str">
        <f>IF(B648="","","VIS_"&amp;(YEAR(B648)*10000+MONTH(B648)*100+DAY(B648))&amp;"_"&amp;IF(COUNTIF($B$5:B648,B648)&lt;10,"00"&amp;COUNTIF($B$5:B648,B648),IF(COUNTIF($B$5:B648,B648)&lt;100,"0"&amp;COUNTIF($B$5:B648,B648),COUNTIF($B$5:B648,B648))))</f>
        <v>VIS_20270814_001</v>
      </c>
      <c r="B648" s="42">
        <v>46613</v>
      </c>
      <c r="C648" s="49" t="str">
        <f t="shared" si="20"/>
        <v>Сб</v>
      </c>
      <c r="I648" s="46"/>
      <c r="J648" s="39">
        <f t="shared" si="21"/>
        <v>46610</v>
      </c>
      <c r="K648" t="str">
        <f ca="1">IF(AND(B648&gt;='План недели'!$B$4,B648&lt;'План недели'!$D$4,D648&lt;&gt;"",G648&lt;&gt;"Отменён"),COUNTIFS($B$5:B648,"&gt;="&amp;'План недели'!$B$4,$B$5:B648,"&lt;"&amp;'План недели'!$D$4,$D$5:D648,"&lt;&gt;",$G$5:G648,"&lt;&gt;Отменён"),"")</f>
        <v/>
      </c>
    </row>
    <row r="649" spans="1:11">
      <c r="A649" t="str">
        <f>IF(B649="","","VIS_"&amp;(YEAR(B649)*10000+MONTH(B649)*100+DAY(B649))&amp;"_"&amp;IF(COUNTIF($B$5:B649,B649)&lt;10,"00"&amp;COUNTIF($B$5:B649,B649),IF(COUNTIF($B$5:B649,B649)&lt;100,"0"&amp;COUNTIF($B$5:B649,B649),COUNTIF($B$5:B649,B649))))</f>
        <v>VIS_20270815_001</v>
      </c>
      <c r="B649" s="42">
        <v>46614</v>
      </c>
      <c r="C649" s="49" t="str">
        <f t="shared" si="20"/>
        <v>Вс</v>
      </c>
      <c r="I649" s="46"/>
      <c r="J649" s="39">
        <f t="shared" si="21"/>
        <v>46610</v>
      </c>
      <c r="K649" t="str">
        <f ca="1">IF(AND(B649&gt;='План недели'!$B$4,B649&lt;'План недели'!$D$4,D649&lt;&gt;"",G649&lt;&gt;"Отменён"),COUNTIFS($B$5:B649,"&gt;="&amp;'План недели'!$B$4,$B$5:B649,"&lt;"&amp;'План недели'!$D$4,$D$5:D649,"&lt;&gt;",$G$5:G649,"&lt;&gt;Отменён"),"")</f>
        <v/>
      </c>
    </row>
    <row r="650" spans="1:11">
      <c r="A650" t="str">
        <f>IF(B650="","","VIS_"&amp;(YEAR(B650)*10000+MONTH(B650)*100+DAY(B650))&amp;"_"&amp;IF(COUNTIF($B$5:B650,B650)&lt;10,"00"&amp;COUNTIF($B$5:B650,B650),IF(COUNTIF($B$5:B650,B650)&lt;100,"0"&amp;COUNTIF($B$5:B650,B650),COUNTIF($B$5:B650,B650))))</f>
        <v>VIS_20270816_001</v>
      </c>
      <c r="B650" s="40">
        <v>46615</v>
      </c>
      <c r="C650" s="47" t="str">
        <f t="shared" si="20"/>
        <v>Пн</v>
      </c>
      <c r="I650" s="46"/>
      <c r="J650" s="39">
        <f t="shared" si="21"/>
        <v>46610</v>
      </c>
      <c r="K650" t="str">
        <f ca="1">IF(AND(B650&gt;='План недели'!$B$4,B650&lt;'План недели'!$D$4,D650&lt;&gt;"",G650&lt;&gt;"Отменён"),COUNTIFS($B$5:B650,"&gt;="&amp;'План недели'!$B$4,$B$5:B650,"&lt;"&amp;'План недели'!$D$4,$D$5:D650,"&lt;&gt;",$G$5:G650,"&lt;&gt;Отменён"),"")</f>
        <v/>
      </c>
    </row>
    <row r="651" spans="1:11">
      <c r="A651" t="str">
        <f>IF(B651="","","VIS_"&amp;(YEAR(B651)*10000+MONTH(B651)*100+DAY(B651))&amp;"_"&amp;IF(COUNTIF($B$5:B651,B651)&lt;10,"00"&amp;COUNTIF($B$5:B651,B651),IF(COUNTIF($B$5:B651,B651)&lt;100,"0"&amp;COUNTIF($B$5:B651,B651),COUNTIF($B$5:B651,B651))))</f>
        <v>VIS_20270817_001</v>
      </c>
      <c r="B651" s="40">
        <v>46616</v>
      </c>
      <c r="C651" s="47" t="str">
        <f t="shared" si="20"/>
        <v>Вт</v>
      </c>
      <c r="I651" s="46"/>
      <c r="J651" s="39">
        <f t="shared" si="21"/>
        <v>46610</v>
      </c>
      <c r="K651" t="str">
        <f ca="1">IF(AND(B651&gt;='План недели'!$B$4,B651&lt;'План недели'!$D$4,D651&lt;&gt;"",G651&lt;&gt;"Отменён"),COUNTIFS($B$5:B651,"&gt;="&amp;'План недели'!$B$4,$B$5:B651,"&lt;"&amp;'План недели'!$D$4,$D$5:D651,"&lt;&gt;",$G$5:G651,"&lt;&gt;Отменён"),"")</f>
        <v/>
      </c>
    </row>
    <row r="652" spans="1:11">
      <c r="A652" t="str">
        <f>IF(B652="","","VIS_"&amp;(YEAR(B652)*10000+MONTH(B652)*100+DAY(B652))&amp;"_"&amp;IF(COUNTIF($B$5:B652,B652)&lt;10,"00"&amp;COUNTIF($B$5:B652,B652),IF(COUNTIF($B$5:B652,B652)&lt;100,"0"&amp;COUNTIF($B$5:B652,B652),COUNTIF($B$5:B652,B652))))</f>
        <v>VIS_20270818_001</v>
      </c>
      <c r="B652" s="40">
        <v>46617</v>
      </c>
      <c r="C652" s="47" t="str">
        <f t="shared" si="20"/>
        <v>Ср</v>
      </c>
      <c r="I652" s="46"/>
      <c r="J652" s="39">
        <f t="shared" si="21"/>
        <v>46617</v>
      </c>
      <c r="K652" t="str">
        <f ca="1">IF(AND(B652&gt;='План недели'!$B$4,B652&lt;'План недели'!$D$4,D652&lt;&gt;"",G652&lt;&gt;"Отменён"),COUNTIFS($B$5:B652,"&gt;="&amp;'План недели'!$B$4,$B$5:B652,"&lt;"&amp;'План недели'!$D$4,$D$5:D652,"&lt;&gt;",$G$5:G652,"&lt;&gt;Отменён"),"")</f>
        <v/>
      </c>
    </row>
    <row r="653" spans="1:11">
      <c r="A653" t="str">
        <f>IF(B653="","","VIS_"&amp;(YEAR(B653)*10000+MONTH(B653)*100+DAY(B653))&amp;"_"&amp;IF(COUNTIF($B$5:B653,B653)&lt;10,"00"&amp;COUNTIF($B$5:B653,B653),IF(COUNTIF($B$5:B653,B653)&lt;100,"0"&amp;COUNTIF($B$5:B653,B653),COUNTIF($B$5:B653,B653))))</f>
        <v>VIS_20270819_001</v>
      </c>
      <c r="B653" s="40">
        <v>46618</v>
      </c>
      <c r="C653" s="47" t="str">
        <f t="shared" si="20"/>
        <v>Чт</v>
      </c>
      <c r="I653" s="46"/>
      <c r="J653" s="39">
        <f t="shared" si="21"/>
        <v>46617</v>
      </c>
      <c r="K653" t="str">
        <f ca="1">IF(AND(B653&gt;='План недели'!$B$4,B653&lt;'План недели'!$D$4,D653&lt;&gt;"",G653&lt;&gt;"Отменён"),COUNTIFS($B$5:B653,"&gt;="&amp;'План недели'!$B$4,$B$5:B653,"&lt;"&amp;'План недели'!$D$4,$D$5:D653,"&lt;&gt;",$G$5:G653,"&lt;&gt;Отменён"),"")</f>
        <v/>
      </c>
    </row>
    <row r="654" spans="1:11">
      <c r="A654" t="str">
        <f>IF(B654="","","VIS_"&amp;(YEAR(B654)*10000+MONTH(B654)*100+DAY(B654))&amp;"_"&amp;IF(COUNTIF($B$5:B654,B654)&lt;10,"00"&amp;COUNTIF($B$5:B654,B654),IF(COUNTIF($B$5:B654,B654)&lt;100,"0"&amp;COUNTIF($B$5:B654,B654),COUNTIF($B$5:B654,B654))))</f>
        <v>VIS_20270820_001</v>
      </c>
      <c r="B654" s="40">
        <v>46619</v>
      </c>
      <c r="C654" s="47" t="str">
        <f t="shared" si="20"/>
        <v>Пт</v>
      </c>
      <c r="I654" s="46"/>
      <c r="J654" s="39">
        <f t="shared" si="21"/>
        <v>46617</v>
      </c>
      <c r="K654" t="str">
        <f ca="1">IF(AND(B654&gt;='План недели'!$B$4,B654&lt;'План недели'!$D$4,D654&lt;&gt;"",G654&lt;&gt;"Отменён"),COUNTIFS($B$5:B654,"&gt;="&amp;'План недели'!$B$4,$B$5:B654,"&lt;"&amp;'План недели'!$D$4,$D$5:D654,"&lt;&gt;",$G$5:G654,"&lt;&gt;Отменён"),"")</f>
        <v/>
      </c>
    </row>
    <row r="655" spans="1:11">
      <c r="A655" t="str">
        <f>IF(B655="","","VIS_"&amp;(YEAR(B655)*10000+MONTH(B655)*100+DAY(B655))&amp;"_"&amp;IF(COUNTIF($B$5:B655,B655)&lt;10,"00"&amp;COUNTIF($B$5:B655,B655),IF(COUNTIF($B$5:B655,B655)&lt;100,"0"&amp;COUNTIF($B$5:B655,B655),COUNTIF($B$5:B655,B655))))</f>
        <v>VIS_20270821_001</v>
      </c>
      <c r="B655" s="42">
        <v>46620</v>
      </c>
      <c r="C655" s="49" t="str">
        <f t="shared" si="20"/>
        <v>Сб</v>
      </c>
      <c r="I655" s="46"/>
      <c r="J655" s="39">
        <f t="shared" si="21"/>
        <v>46617</v>
      </c>
      <c r="K655" t="str">
        <f ca="1">IF(AND(B655&gt;='План недели'!$B$4,B655&lt;'План недели'!$D$4,D655&lt;&gt;"",G655&lt;&gt;"Отменён"),COUNTIFS($B$5:B655,"&gt;="&amp;'План недели'!$B$4,$B$5:B655,"&lt;"&amp;'План недели'!$D$4,$D$5:D655,"&lt;&gt;",$G$5:G655,"&lt;&gt;Отменён"),"")</f>
        <v/>
      </c>
    </row>
    <row r="656" spans="1:11">
      <c r="A656" t="str">
        <f>IF(B656="","","VIS_"&amp;(YEAR(B656)*10000+MONTH(B656)*100+DAY(B656))&amp;"_"&amp;IF(COUNTIF($B$5:B656,B656)&lt;10,"00"&amp;COUNTIF($B$5:B656,B656),IF(COUNTIF($B$5:B656,B656)&lt;100,"0"&amp;COUNTIF($B$5:B656,B656),COUNTIF($B$5:B656,B656))))</f>
        <v>VIS_20270822_001</v>
      </c>
      <c r="B656" s="42">
        <v>46621</v>
      </c>
      <c r="C656" s="49" t="str">
        <f t="shared" si="20"/>
        <v>Вс</v>
      </c>
      <c r="I656" s="46"/>
      <c r="J656" s="39">
        <f t="shared" si="21"/>
        <v>46617</v>
      </c>
      <c r="K656" t="str">
        <f ca="1">IF(AND(B656&gt;='План недели'!$B$4,B656&lt;'План недели'!$D$4,D656&lt;&gt;"",G656&lt;&gt;"Отменён"),COUNTIFS($B$5:B656,"&gt;="&amp;'План недели'!$B$4,$B$5:B656,"&lt;"&amp;'План недели'!$D$4,$D$5:D656,"&lt;&gt;",$G$5:G656,"&lt;&gt;Отменён"),"")</f>
        <v/>
      </c>
    </row>
    <row r="657" spans="1:11">
      <c r="A657" t="str">
        <f>IF(B657="","","VIS_"&amp;(YEAR(B657)*10000+MONTH(B657)*100+DAY(B657))&amp;"_"&amp;IF(COUNTIF($B$5:B657,B657)&lt;10,"00"&amp;COUNTIF($B$5:B657,B657),IF(COUNTIF($B$5:B657,B657)&lt;100,"0"&amp;COUNTIF($B$5:B657,B657),COUNTIF($B$5:B657,B657))))</f>
        <v>VIS_20270823_001</v>
      </c>
      <c r="B657" s="40">
        <v>46622</v>
      </c>
      <c r="C657" s="47" t="str">
        <f t="shared" si="20"/>
        <v>Пн</v>
      </c>
      <c r="I657" s="46"/>
      <c r="J657" s="39">
        <f t="shared" si="21"/>
        <v>46617</v>
      </c>
      <c r="K657" t="str">
        <f ca="1">IF(AND(B657&gt;='План недели'!$B$4,B657&lt;'План недели'!$D$4,D657&lt;&gt;"",G657&lt;&gt;"Отменён"),COUNTIFS($B$5:B657,"&gt;="&amp;'План недели'!$B$4,$B$5:B657,"&lt;"&amp;'План недели'!$D$4,$D$5:D657,"&lt;&gt;",$G$5:G657,"&lt;&gt;Отменён"),"")</f>
        <v/>
      </c>
    </row>
    <row r="658" spans="1:11">
      <c r="A658" t="str">
        <f>IF(B658="","","VIS_"&amp;(YEAR(B658)*10000+MONTH(B658)*100+DAY(B658))&amp;"_"&amp;IF(COUNTIF($B$5:B658,B658)&lt;10,"00"&amp;COUNTIF($B$5:B658,B658),IF(COUNTIF($B$5:B658,B658)&lt;100,"0"&amp;COUNTIF($B$5:B658,B658),COUNTIF($B$5:B658,B658))))</f>
        <v>VIS_20270824_001</v>
      </c>
      <c r="B658" s="40">
        <v>46623</v>
      </c>
      <c r="C658" s="47" t="str">
        <f t="shared" si="20"/>
        <v>Вт</v>
      </c>
      <c r="I658" s="46"/>
      <c r="J658" s="39">
        <f t="shared" si="21"/>
        <v>46617</v>
      </c>
      <c r="K658" t="str">
        <f ca="1">IF(AND(B658&gt;='План недели'!$B$4,B658&lt;'План недели'!$D$4,D658&lt;&gt;"",G658&lt;&gt;"Отменён"),COUNTIFS($B$5:B658,"&gt;="&amp;'План недели'!$B$4,$B$5:B658,"&lt;"&amp;'План недели'!$D$4,$D$5:D658,"&lt;&gt;",$G$5:G658,"&lt;&gt;Отменён"),"")</f>
        <v/>
      </c>
    </row>
    <row r="659" spans="1:11">
      <c r="A659" t="str">
        <f>IF(B659="","","VIS_"&amp;(YEAR(B659)*10000+MONTH(B659)*100+DAY(B659))&amp;"_"&amp;IF(COUNTIF($B$5:B659,B659)&lt;10,"00"&amp;COUNTIF($B$5:B659,B659),IF(COUNTIF($B$5:B659,B659)&lt;100,"0"&amp;COUNTIF($B$5:B659,B659),COUNTIF($B$5:B659,B659))))</f>
        <v>VIS_20270825_001</v>
      </c>
      <c r="B659" s="40">
        <v>46624</v>
      </c>
      <c r="C659" s="47" t="str">
        <f t="shared" si="20"/>
        <v>Ср</v>
      </c>
      <c r="I659" s="46"/>
      <c r="J659" s="39">
        <f t="shared" si="21"/>
        <v>46624</v>
      </c>
      <c r="K659" t="str">
        <f ca="1">IF(AND(B659&gt;='План недели'!$B$4,B659&lt;'План недели'!$D$4,D659&lt;&gt;"",G659&lt;&gt;"Отменён"),COUNTIFS($B$5:B659,"&gt;="&amp;'План недели'!$B$4,$B$5:B659,"&lt;"&amp;'План недели'!$D$4,$D$5:D659,"&lt;&gt;",$G$5:G659,"&lt;&gt;Отменён"),"")</f>
        <v/>
      </c>
    </row>
    <row r="660" spans="1:11">
      <c r="A660" t="str">
        <f>IF(B660="","","VIS_"&amp;(YEAR(B660)*10000+MONTH(B660)*100+DAY(B660))&amp;"_"&amp;IF(COUNTIF($B$5:B660,B660)&lt;10,"00"&amp;COUNTIF($B$5:B660,B660),IF(COUNTIF($B$5:B660,B660)&lt;100,"0"&amp;COUNTIF($B$5:B660,B660),COUNTIF($B$5:B660,B660))))</f>
        <v>VIS_20270826_001</v>
      </c>
      <c r="B660" s="40">
        <v>46625</v>
      </c>
      <c r="C660" s="47" t="str">
        <f t="shared" si="20"/>
        <v>Чт</v>
      </c>
      <c r="I660" s="46"/>
      <c r="J660" s="39">
        <f t="shared" si="21"/>
        <v>46624</v>
      </c>
      <c r="K660" t="str">
        <f ca="1">IF(AND(B660&gt;='План недели'!$B$4,B660&lt;'План недели'!$D$4,D660&lt;&gt;"",G660&lt;&gt;"Отменён"),COUNTIFS($B$5:B660,"&gt;="&amp;'План недели'!$B$4,$B$5:B660,"&lt;"&amp;'План недели'!$D$4,$D$5:D660,"&lt;&gt;",$G$5:G660,"&lt;&gt;Отменён"),"")</f>
        <v/>
      </c>
    </row>
    <row r="661" spans="1:11">
      <c r="A661" t="str">
        <f>IF(B661="","","VIS_"&amp;(YEAR(B661)*10000+MONTH(B661)*100+DAY(B661))&amp;"_"&amp;IF(COUNTIF($B$5:B661,B661)&lt;10,"00"&amp;COUNTIF($B$5:B661,B661),IF(COUNTIF($B$5:B661,B661)&lt;100,"0"&amp;COUNTIF($B$5:B661,B661),COUNTIF($B$5:B661,B661))))</f>
        <v>VIS_20270827_001</v>
      </c>
      <c r="B661" s="40">
        <v>46626</v>
      </c>
      <c r="C661" s="47" t="str">
        <f t="shared" si="20"/>
        <v>Пт</v>
      </c>
      <c r="I661" s="46"/>
      <c r="J661" s="39">
        <f t="shared" si="21"/>
        <v>46624</v>
      </c>
      <c r="K661" t="str">
        <f ca="1">IF(AND(B661&gt;='План недели'!$B$4,B661&lt;'План недели'!$D$4,D661&lt;&gt;"",G661&lt;&gt;"Отменён"),COUNTIFS($B$5:B661,"&gt;="&amp;'План недели'!$B$4,$B$5:B661,"&lt;"&amp;'План недели'!$D$4,$D$5:D661,"&lt;&gt;",$G$5:G661,"&lt;&gt;Отменён"),"")</f>
        <v/>
      </c>
    </row>
    <row r="662" spans="1:11">
      <c r="A662" t="str">
        <f>IF(B662="","","VIS_"&amp;(YEAR(B662)*10000+MONTH(B662)*100+DAY(B662))&amp;"_"&amp;IF(COUNTIF($B$5:B662,B662)&lt;10,"00"&amp;COUNTIF($B$5:B662,B662),IF(COUNTIF($B$5:B662,B662)&lt;100,"0"&amp;COUNTIF($B$5:B662,B662),COUNTIF($B$5:B662,B662))))</f>
        <v>VIS_20270828_001</v>
      </c>
      <c r="B662" s="42">
        <v>46627</v>
      </c>
      <c r="C662" s="49" t="str">
        <f t="shared" si="20"/>
        <v>Сб</v>
      </c>
      <c r="I662" s="46"/>
      <c r="J662" s="39">
        <f t="shared" si="21"/>
        <v>46624</v>
      </c>
      <c r="K662" t="str">
        <f ca="1">IF(AND(B662&gt;='План недели'!$B$4,B662&lt;'План недели'!$D$4,D662&lt;&gt;"",G662&lt;&gt;"Отменён"),COUNTIFS($B$5:B662,"&gt;="&amp;'План недели'!$B$4,$B$5:B662,"&lt;"&amp;'План недели'!$D$4,$D$5:D662,"&lt;&gt;",$G$5:G662,"&lt;&gt;Отменён"),"")</f>
        <v/>
      </c>
    </row>
    <row r="663" spans="1:11">
      <c r="A663" t="str">
        <f>IF(B663="","","VIS_"&amp;(YEAR(B663)*10000+MONTH(B663)*100+DAY(B663))&amp;"_"&amp;IF(COUNTIF($B$5:B663,B663)&lt;10,"00"&amp;COUNTIF($B$5:B663,B663),IF(COUNTIF($B$5:B663,B663)&lt;100,"0"&amp;COUNTIF($B$5:B663,B663),COUNTIF($B$5:B663,B663))))</f>
        <v>VIS_20270829_001</v>
      </c>
      <c r="B663" s="42">
        <v>46628</v>
      </c>
      <c r="C663" s="49" t="str">
        <f t="shared" si="20"/>
        <v>Вс</v>
      </c>
      <c r="I663" s="46"/>
      <c r="J663" s="39">
        <f t="shared" si="21"/>
        <v>46624</v>
      </c>
      <c r="K663" t="str">
        <f ca="1">IF(AND(B663&gt;='План недели'!$B$4,B663&lt;'План недели'!$D$4,D663&lt;&gt;"",G663&lt;&gt;"Отменён"),COUNTIFS($B$5:B663,"&gt;="&amp;'План недели'!$B$4,$B$5:B663,"&lt;"&amp;'План недели'!$D$4,$D$5:D663,"&lt;&gt;",$G$5:G663,"&lt;&gt;Отменён"),"")</f>
        <v/>
      </c>
    </row>
    <row r="664" spans="1:11">
      <c r="A664" t="str">
        <f>IF(B664="","","VIS_"&amp;(YEAR(B664)*10000+MONTH(B664)*100+DAY(B664))&amp;"_"&amp;IF(COUNTIF($B$5:B664,B664)&lt;10,"00"&amp;COUNTIF($B$5:B664,B664),IF(COUNTIF($B$5:B664,B664)&lt;100,"0"&amp;COUNTIF($B$5:B664,B664),COUNTIF($B$5:B664,B664))))</f>
        <v>VIS_20270830_001</v>
      </c>
      <c r="B664" s="40">
        <v>46629</v>
      </c>
      <c r="C664" s="47" t="str">
        <f t="shared" si="20"/>
        <v>Пн</v>
      </c>
      <c r="I664" s="46"/>
      <c r="J664" s="39">
        <f t="shared" si="21"/>
        <v>46624</v>
      </c>
      <c r="K664" t="str">
        <f ca="1">IF(AND(B664&gt;='План недели'!$B$4,B664&lt;'План недели'!$D$4,D664&lt;&gt;"",G664&lt;&gt;"Отменён"),COUNTIFS($B$5:B664,"&gt;="&amp;'План недели'!$B$4,$B$5:B664,"&lt;"&amp;'План недели'!$D$4,$D$5:D664,"&lt;&gt;",$G$5:G664,"&lt;&gt;Отменён"),"")</f>
        <v/>
      </c>
    </row>
    <row r="665" spans="1:11">
      <c r="A665" t="str">
        <f>IF(B665="","","VIS_"&amp;(YEAR(B665)*10000+MONTH(B665)*100+DAY(B665))&amp;"_"&amp;IF(COUNTIF($B$5:B665,B665)&lt;10,"00"&amp;COUNTIF($B$5:B665,B665),IF(COUNTIF($B$5:B665,B665)&lt;100,"0"&amp;COUNTIF($B$5:B665,B665),COUNTIF($B$5:B665,B665))))</f>
        <v>VIS_20270831_001</v>
      </c>
      <c r="B665" s="40">
        <v>46630</v>
      </c>
      <c r="C665" s="47" t="str">
        <f t="shared" si="20"/>
        <v>Вт</v>
      </c>
      <c r="I665" s="46"/>
      <c r="J665" s="39">
        <f t="shared" si="21"/>
        <v>46624</v>
      </c>
      <c r="K665" t="str">
        <f ca="1">IF(AND(B665&gt;='План недели'!$B$4,B665&lt;'План недели'!$D$4,D665&lt;&gt;"",G665&lt;&gt;"Отменён"),COUNTIFS($B$5:B665,"&gt;="&amp;'План недели'!$B$4,$B$5:B665,"&lt;"&amp;'План недели'!$D$4,$D$5:D665,"&lt;&gt;",$G$5:G665,"&lt;&gt;Отменён"),"")</f>
        <v/>
      </c>
    </row>
    <row r="666" spans="1:11">
      <c r="A666" t="str">
        <f>IF(B666="","","VIS_"&amp;(YEAR(B666)*10000+MONTH(B666)*100+DAY(B666))&amp;"_"&amp;IF(COUNTIF($B$5:B666,B666)&lt;10,"00"&amp;COUNTIF($B$5:B666,B666),IF(COUNTIF($B$5:B666,B666)&lt;100,"0"&amp;COUNTIF($B$5:B666,B666),COUNTIF($B$5:B666,B666))))</f>
        <v>VIS_20270901_001</v>
      </c>
      <c r="B666" s="40">
        <v>46631</v>
      </c>
      <c r="C666" s="47" t="str">
        <f t="shared" si="20"/>
        <v>Ср</v>
      </c>
      <c r="I666" s="46"/>
      <c r="J666" s="39">
        <f t="shared" si="21"/>
        <v>46631</v>
      </c>
      <c r="K666" t="str">
        <f ca="1">IF(AND(B666&gt;='План недели'!$B$4,B666&lt;'План недели'!$D$4,D666&lt;&gt;"",G666&lt;&gt;"Отменён"),COUNTIFS($B$5:B666,"&gt;="&amp;'План недели'!$B$4,$B$5:B666,"&lt;"&amp;'План недели'!$D$4,$D$5:D666,"&lt;&gt;",$G$5:G666,"&lt;&gt;Отменён"),"")</f>
        <v/>
      </c>
    </row>
    <row r="667" spans="1:11">
      <c r="A667" t="str">
        <f>IF(B667="","","VIS_"&amp;(YEAR(B667)*10000+MONTH(B667)*100+DAY(B667))&amp;"_"&amp;IF(COUNTIF($B$5:B667,B667)&lt;10,"00"&amp;COUNTIF($B$5:B667,B667),IF(COUNTIF($B$5:B667,B667)&lt;100,"0"&amp;COUNTIF($B$5:B667,B667),COUNTIF($B$5:B667,B667))))</f>
        <v>VIS_20270902_001</v>
      </c>
      <c r="B667" s="40">
        <v>46632</v>
      </c>
      <c r="C667" s="47" t="str">
        <f t="shared" si="20"/>
        <v>Чт</v>
      </c>
      <c r="I667" s="46"/>
      <c r="J667" s="39">
        <f t="shared" si="21"/>
        <v>46631</v>
      </c>
      <c r="K667" t="str">
        <f ca="1">IF(AND(B667&gt;='План недели'!$B$4,B667&lt;'План недели'!$D$4,D667&lt;&gt;"",G667&lt;&gt;"Отменён"),COUNTIFS($B$5:B667,"&gt;="&amp;'План недели'!$B$4,$B$5:B667,"&lt;"&amp;'План недели'!$D$4,$D$5:D667,"&lt;&gt;",$G$5:G667,"&lt;&gt;Отменён"),"")</f>
        <v/>
      </c>
    </row>
    <row r="668" spans="1:11">
      <c r="A668" t="str">
        <f>IF(B668="","","VIS_"&amp;(YEAR(B668)*10000+MONTH(B668)*100+DAY(B668))&amp;"_"&amp;IF(COUNTIF($B$5:B668,B668)&lt;10,"00"&amp;COUNTIF($B$5:B668,B668),IF(COUNTIF($B$5:B668,B668)&lt;100,"0"&amp;COUNTIF($B$5:B668,B668),COUNTIF($B$5:B668,B668))))</f>
        <v>VIS_20270903_001</v>
      </c>
      <c r="B668" s="40">
        <v>46633</v>
      </c>
      <c r="C668" s="47" t="str">
        <f t="shared" si="20"/>
        <v>Пт</v>
      </c>
      <c r="I668" s="46"/>
      <c r="J668" s="39">
        <f t="shared" si="21"/>
        <v>46631</v>
      </c>
      <c r="K668" t="str">
        <f ca="1">IF(AND(B668&gt;='План недели'!$B$4,B668&lt;'План недели'!$D$4,D668&lt;&gt;"",G668&lt;&gt;"Отменён"),COUNTIFS($B$5:B668,"&gt;="&amp;'План недели'!$B$4,$B$5:B668,"&lt;"&amp;'План недели'!$D$4,$D$5:D668,"&lt;&gt;",$G$5:G668,"&lt;&gt;Отменён"),"")</f>
        <v/>
      </c>
    </row>
    <row r="669" spans="1:11">
      <c r="A669" t="str">
        <f>IF(B669="","","VIS_"&amp;(YEAR(B669)*10000+MONTH(B669)*100+DAY(B669))&amp;"_"&amp;IF(COUNTIF($B$5:B669,B669)&lt;10,"00"&amp;COUNTIF($B$5:B669,B669),IF(COUNTIF($B$5:B669,B669)&lt;100,"0"&amp;COUNTIF($B$5:B669,B669),COUNTIF($B$5:B669,B669))))</f>
        <v>VIS_20270904_001</v>
      </c>
      <c r="B669" s="42">
        <v>46634</v>
      </c>
      <c r="C669" s="49" t="str">
        <f t="shared" si="20"/>
        <v>Сб</v>
      </c>
      <c r="I669" s="46"/>
      <c r="J669" s="39">
        <f t="shared" si="21"/>
        <v>46631</v>
      </c>
      <c r="K669" t="str">
        <f ca="1">IF(AND(B669&gt;='План недели'!$B$4,B669&lt;'План недели'!$D$4,D669&lt;&gt;"",G669&lt;&gt;"Отменён"),COUNTIFS($B$5:B669,"&gt;="&amp;'План недели'!$B$4,$B$5:B669,"&lt;"&amp;'План недели'!$D$4,$D$5:D669,"&lt;&gt;",$G$5:G669,"&lt;&gt;Отменён"),"")</f>
        <v/>
      </c>
    </row>
    <row r="670" spans="1:11">
      <c r="A670" t="str">
        <f>IF(B670="","","VIS_"&amp;(YEAR(B670)*10000+MONTH(B670)*100+DAY(B670))&amp;"_"&amp;IF(COUNTIF($B$5:B670,B670)&lt;10,"00"&amp;COUNTIF($B$5:B670,B670),IF(COUNTIF($B$5:B670,B670)&lt;100,"0"&amp;COUNTIF($B$5:B670,B670),COUNTIF($B$5:B670,B670))))</f>
        <v>VIS_20270905_001</v>
      </c>
      <c r="B670" s="42">
        <v>46635</v>
      </c>
      <c r="C670" s="49" t="str">
        <f t="shared" si="20"/>
        <v>Вс</v>
      </c>
      <c r="I670" s="46"/>
      <c r="J670" s="39">
        <f t="shared" si="21"/>
        <v>46631</v>
      </c>
      <c r="K670" t="str">
        <f ca="1">IF(AND(B670&gt;='План недели'!$B$4,B670&lt;'План недели'!$D$4,D670&lt;&gt;"",G670&lt;&gt;"Отменён"),COUNTIFS($B$5:B670,"&gt;="&amp;'План недели'!$B$4,$B$5:B670,"&lt;"&amp;'План недели'!$D$4,$D$5:D670,"&lt;&gt;",$G$5:G670,"&lt;&gt;Отменён"),"")</f>
        <v/>
      </c>
    </row>
    <row r="671" spans="1:11">
      <c r="A671" t="str">
        <f>IF(B671="","","VIS_"&amp;(YEAR(B671)*10000+MONTH(B671)*100+DAY(B671))&amp;"_"&amp;IF(COUNTIF($B$5:B671,B671)&lt;10,"00"&amp;COUNTIF($B$5:B671,B671),IF(COUNTIF($B$5:B671,B671)&lt;100,"0"&amp;COUNTIF($B$5:B671,B671),COUNTIF($B$5:B671,B671))))</f>
        <v>VIS_20270906_001</v>
      </c>
      <c r="B671" s="40">
        <v>46636</v>
      </c>
      <c r="C671" s="47" t="str">
        <f t="shared" si="20"/>
        <v>Пн</v>
      </c>
      <c r="I671" s="46"/>
      <c r="J671" s="39">
        <f t="shared" si="21"/>
        <v>46631</v>
      </c>
      <c r="K671" t="str">
        <f ca="1">IF(AND(B671&gt;='План недели'!$B$4,B671&lt;'План недели'!$D$4,D671&lt;&gt;"",G671&lt;&gt;"Отменён"),COUNTIFS($B$5:B671,"&gt;="&amp;'План недели'!$B$4,$B$5:B671,"&lt;"&amp;'План недели'!$D$4,$D$5:D671,"&lt;&gt;",$G$5:G671,"&lt;&gt;Отменён"),"")</f>
        <v/>
      </c>
    </row>
    <row r="672" spans="1:11">
      <c r="A672" t="str">
        <f>IF(B672="","","VIS_"&amp;(YEAR(B672)*10000+MONTH(B672)*100+DAY(B672))&amp;"_"&amp;IF(COUNTIF($B$5:B672,B672)&lt;10,"00"&amp;COUNTIF($B$5:B672,B672),IF(COUNTIF($B$5:B672,B672)&lt;100,"0"&amp;COUNTIF($B$5:B672,B672),COUNTIF($B$5:B672,B672))))</f>
        <v>VIS_20270907_001</v>
      </c>
      <c r="B672" s="40">
        <v>46637</v>
      </c>
      <c r="C672" s="47" t="str">
        <f t="shared" si="20"/>
        <v>Вт</v>
      </c>
      <c r="I672" s="46"/>
      <c r="J672" s="39">
        <f t="shared" si="21"/>
        <v>46631</v>
      </c>
      <c r="K672" t="str">
        <f ca="1">IF(AND(B672&gt;='План недели'!$B$4,B672&lt;'План недели'!$D$4,D672&lt;&gt;"",G672&lt;&gt;"Отменён"),COUNTIFS($B$5:B672,"&gt;="&amp;'План недели'!$B$4,$B$5:B672,"&lt;"&amp;'План недели'!$D$4,$D$5:D672,"&lt;&gt;",$G$5:G672,"&lt;&gt;Отменён"),"")</f>
        <v/>
      </c>
    </row>
    <row r="673" spans="1:11">
      <c r="A673" t="str">
        <f>IF(B673="","","VIS_"&amp;(YEAR(B673)*10000+MONTH(B673)*100+DAY(B673))&amp;"_"&amp;IF(COUNTIF($B$5:B673,B673)&lt;10,"00"&amp;COUNTIF($B$5:B673,B673),IF(COUNTIF($B$5:B673,B673)&lt;100,"0"&amp;COUNTIF($B$5:B673,B673),COUNTIF($B$5:B673,B673))))</f>
        <v>VIS_20270908_001</v>
      </c>
      <c r="B673" s="40">
        <v>46638</v>
      </c>
      <c r="C673" s="47" t="str">
        <f t="shared" si="20"/>
        <v>Ср</v>
      </c>
      <c r="I673" s="46"/>
      <c r="J673" s="39">
        <f t="shared" si="21"/>
        <v>46638</v>
      </c>
      <c r="K673" t="str">
        <f ca="1">IF(AND(B673&gt;='План недели'!$B$4,B673&lt;'План недели'!$D$4,D673&lt;&gt;"",G673&lt;&gt;"Отменён"),COUNTIFS($B$5:B673,"&gt;="&amp;'План недели'!$B$4,$B$5:B673,"&lt;"&amp;'План недели'!$D$4,$D$5:D673,"&lt;&gt;",$G$5:G673,"&lt;&gt;Отменён"),"")</f>
        <v/>
      </c>
    </row>
    <row r="674" spans="1:11">
      <c r="A674" t="str">
        <f>IF(B674="","","VIS_"&amp;(YEAR(B674)*10000+MONTH(B674)*100+DAY(B674))&amp;"_"&amp;IF(COUNTIF($B$5:B674,B674)&lt;10,"00"&amp;COUNTIF($B$5:B674,B674),IF(COUNTIF($B$5:B674,B674)&lt;100,"0"&amp;COUNTIF($B$5:B674,B674),COUNTIF($B$5:B674,B674))))</f>
        <v>VIS_20270909_001</v>
      </c>
      <c r="B674" s="40">
        <v>46639</v>
      </c>
      <c r="C674" s="47" t="str">
        <f t="shared" si="20"/>
        <v>Чт</v>
      </c>
      <c r="I674" s="46"/>
      <c r="J674" s="39">
        <f t="shared" si="21"/>
        <v>46638</v>
      </c>
      <c r="K674" t="str">
        <f ca="1">IF(AND(B674&gt;='План недели'!$B$4,B674&lt;'План недели'!$D$4,D674&lt;&gt;"",G674&lt;&gt;"Отменён"),COUNTIFS($B$5:B674,"&gt;="&amp;'План недели'!$B$4,$B$5:B674,"&lt;"&amp;'План недели'!$D$4,$D$5:D674,"&lt;&gt;",$G$5:G674,"&lt;&gt;Отменён"),"")</f>
        <v/>
      </c>
    </row>
    <row r="675" spans="1:11">
      <c r="A675" t="str">
        <f>IF(B675="","","VIS_"&amp;(YEAR(B675)*10000+MONTH(B675)*100+DAY(B675))&amp;"_"&amp;IF(COUNTIF($B$5:B675,B675)&lt;10,"00"&amp;COUNTIF($B$5:B675,B675),IF(COUNTIF($B$5:B675,B675)&lt;100,"0"&amp;COUNTIF($B$5:B675,B675),COUNTIF($B$5:B675,B675))))</f>
        <v>VIS_20270910_001</v>
      </c>
      <c r="B675" s="40">
        <v>46640</v>
      </c>
      <c r="C675" s="47" t="str">
        <f t="shared" si="20"/>
        <v>Пт</v>
      </c>
      <c r="I675" s="46"/>
      <c r="J675" s="39">
        <f t="shared" si="21"/>
        <v>46638</v>
      </c>
      <c r="K675" t="str">
        <f ca="1">IF(AND(B675&gt;='План недели'!$B$4,B675&lt;'План недели'!$D$4,D675&lt;&gt;"",G675&lt;&gt;"Отменён"),COUNTIFS($B$5:B675,"&gt;="&amp;'План недели'!$B$4,$B$5:B675,"&lt;"&amp;'План недели'!$D$4,$D$5:D675,"&lt;&gt;",$G$5:G675,"&lt;&gt;Отменён"),"")</f>
        <v/>
      </c>
    </row>
    <row r="676" spans="1:11">
      <c r="A676" t="str">
        <f>IF(B676="","","VIS_"&amp;(YEAR(B676)*10000+MONTH(B676)*100+DAY(B676))&amp;"_"&amp;IF(COUNTIF($B$5:B676,B676)&lt;10,"00"&amp;COUNTIF($B$5:B676,B676),IF(COUNTIF($B$5:B676,B676)&lt;100,"0"&amp;COUNTIF($B$5:B676,B676),COUNTIF($B$5:B676,B676))))</f>
        <v>VIS_20270911_001</v>
      </c>
      <c r="B676" s="42">
        <v>46641</v>
      </c>
      <c r="C676" s="49" t="str">
        <f t="shared" si="20"/>
        <v>Сб</v>
      </c>
      <c r="I676" s="46"/>
      <c r="J676" s="39">
        <f t="shared" si="21"/>
        <v>46638</v>
      </c>
      <c r="K676" t="str">
        <f ca="1">IF(AND(B676&gt;='План недели'!$B$4,B676&lt;'План недели'!$D$4,D676&lt;&gt;"",G676&lt;&gt;"Отменён"),COUNTIFS($B$5:B676,"&gt;="&amp;'План недели'!$B$4,$B$5:B676,"&lt;"&amp;'План недели'!$D$4,$D$5:D676,"&lt;&gt;",$G$5:G676,"&lt;&gt;Отменён"),"")</f>
        <v/>
      </c>
    </row>
    <row r="677" spans="1:11">
      <c r="A677" t="str">
        <f>IF(B677="","","VIS_"&amp;(YEAR(B677)*10000+MONTH(B677)*100+DAY(B677))&amp;"_"&amp;IF(COUNTIF($B$5:B677,B677)&lt;10,"00"&amp;COUNTIF($B$5:B677,B677),IF(COUNTIF($B$5:B677,B677)&lt;100,"0"&amp;COUNTIF($B$5:B677,B677),COUNTIF($B$5:B677,B677))))</f>
        <v>VIS_20270912_001</v>
      </c>
      <c r="B677" s="42">
        <v>46642</v>
      </c>
      <c r="C677" s="49" t="str">
        <f t="shared" si="20"/>
        <v>Вс</v>
      </c>
      <c r="I677" s="46"/>
      <c r="J677" s="39">
        <f t="shared" si="21"/>
        <v>46638</v>
      </c>
      <c r="K677" t="str">
        <f ca="1">IF(AND(B677&gt;='План недели'!$B$4,B677&lt;'План недели'!$D$4,D677&lt;&gt;"",G677&lt;&gt;"Отменён"),COUNTIFS($B$5:B677,"&gt;="&amp;'План недели'!$B$4,$B$5:B677,"&lt;"&amp;'План недели'!$D$4,$D$5:D677,"&lt;&gt;",$G$5:G677,"&lt;&gt;Отменён"),"")</f>
        <v/>
      </c>
    </row>
    <row r="678" spans="1:11">
      <c r="A678" t="str">
        <f>IF(B678="","","VIS_"&amp;(YEAR(B678)*10000+MONTH(B678)*100+DAY(B678))&amp;"_"&amp;IF(COUNTIF($B$5:B678,B678)&lt;10,"00"&amp;COUNTIF($B$5:B678,B678),IF(COUNTIF($B$5:B678,B678)&lt;100,"0"&amp;COUNTIF($B$5:B678,B678),COUNTIF($B$5:B678,B678))))</f>
        <v>VIS_20270913_001</v>
      </c>
      <c r="B678" s="40">
        <v>46643</v>
      </c>
      <c r="C678" s="47" t="str">
        <f t="shared" si="20"/>
        <v>Пн</v>
      </c>
      <c r="I678" s="46"/>
      <c r="J678" s="39">
        <f t="shared" si="21"/>
        <v>46638</v>
      </c>
      <c r="K678" t="str">
        <f ca="1">IF(AND(B678&gt;='План недели'!$B$4,B678&lt;'План недели'!$D$4,D678&lt;&gt;"",G678&lt;&gt;"Отменён"),COUNTIFS($B$5:B678,"&gt;="&amp;'План недели'!$B$4,$B$5:B678,"&lt;"&amp;'План недели'!$D$4,$D$5:D678,"&lt;&gt;",$G$5:G678,"&lt;&gt;Отменён"),"")</f>
        <v/>
      </c>
    </row>
    <row r="679" spans="1:11">
      <c r="A679" t="str">
        <f>IF(B679="","","VIS_"&amp;(YEAR(B679)*10000+MONTH(B679)*100+DAY(B679))&amp;"_"&amp;IF(COUNTIF($B$5:B679,B679)&lt;10,"00"&amp;COUNTIF($B$5:B679,B679),IF(COUNTIF($B$5:B679,B679)&lt;100,"0"&amp;COUNTIF($B$5:B679,B679),COUNTIF($B$5:B679,B679))))</f>
        <v>VIS_20270914_001</v>
      </c>
      <c r="B679" s="40">
        <v>46644</v>
      </c>
      <c r="C679" s="47" t="str">
        <f t="shared" si="20"/>
        <v>Вт</v>
      </c>
      <c r="I679" s="46"/>
      <c r="J679" s="39">
        <f t="shared" si="21"/>
        <v>46638</v>
      </c>
      <c r="K679" t="str">
        <f ca="1">IF(AND(B679&gt;='План недели'!$B$4,B679&lt;'План недели'!$D$4,D679&lt;&gt;"",G679&lt;&gt;"Отменён"),COUNTIFS($B$5:B679,"&gt;="&amp;'План недели'!$B$4,$B$5:B679,"&lt;"&amp;'План недели'!$D$4,$D$5:D679,"&lt;&gt;",$G$5:G679,"&lt;&gt;Отменён"),"")</f>
        <v/>
      </c>
    </row>
    <row r="680" spans="1:11">
      <c r="A680" t="str">
        <f>IF(B680="","","VIS_"&amp;(YEAR(B680)*10000+MONTH(B680)*100+DAY(B680))&amp;"_"&amp;IF(COUNTIF($B$5:B680,B680)&lt;10,"00"&amp;COUNTIF($B$5:B680,B680),IF(COUNTIF($B$5:B680,B680)&lt;100,"0"&amp;COUNTIF($B$5:B680,B680),COUNTIF($B$5:B680,B680))))</f>
        <v>VIS_20270915_001</v>
      </c>
      <c r="B680" s="40">
        <v>46645</v>
      </c>
      <c r="C680" s="47" t="str">
        <f t="shared" si="20"/>
        <v>Ср</v>
      </c>
      <c r="I680" s="46"/>
      <c r="J680" s="39">
        <f t="shared" si="21"/>
        <v>46645</v>
      </c>
      <c r="K680" t="str">
        <f ca="1">IF(AND(B680&gt;='План недели'!$B$4,B680&lt;'План недели'!$D$4,D680&lt;&gt;"",G680&lt;&gt;"Отменён"),COUNTIFS($B$5:B680,"&gt;="&amp;'План недели'!$B$4,$B$5:B680,"&lt;"&amp;'План недели'!$D$4,$D$5:D680,"&lt;&gt;",$G$5:G680,"&lt;&gt;Отменён"),"")</f>
        <v/>
      </c>
    </row>
    <row r="681" spans="1:11">
      <c r="A681" t="str">
        <f>IF(B681="","","VIS_"&amp;(YEAR(B681)*10000+MONTH(B681)*100+DAY(B681))&amp;"_"&amp;IF(COUNTIF($B$5:B681,B681)&lt;10,"00"&amp;COUNTIF($B$5:B681,B681),IF(COUNTIF($B$5:B681,B681)&lt;100,"0"&amp;COUNTIF($B$5:B681,B681),COUNTIF($B$5:B681,B681))))</f>
        <v>VIS_20270916_001</v>
      </c>
      <c r="B681" s="40">
        <v>46646</v>
      </c>
      <c r="C681" s="47" t="str">
        <f t="shared" si="20"/>
        <v>Чт</v>
      </c>
      <c r="I681" s="46"/>
      <c r="J681" s="39">
        <f t="shared" si="21"/>
        <v>46645</v>
      </c>
      <c r="K681" t="str">
        <f ca="1">IF(AND(B681&gt;='План недели'!$B$4,B681&lt;'План недели'!$D$4,D681&lt;&gt;"",G681&lt;&gt;"Отменён"),COUNTIFS($B$5:B681,"&gt;="&amp;'План недели'!$B$4,$B$5:B681,"&lt;"&amp;'План недели'!$D$4,$D$5:D681,"&lt;&gt;",$G$5:G681,"&lt;&gt;Отменён"),"")</f>
        <v/>
      </c>
    </row>
    <row r="682" spans="1:11">
      <c r="A682" t="str">
        <f>IF(B682="","","VIS_"&amp;(YEAR(B682)*10000+MONTH(B682)*100+DAY(B682))&amp;"_"&amp;IF(COUNTIF($B$5:B682,B682)&lt;10,"00"&amp;COUNTIF($B$5:B682,B682),IF(COUNTIF($B$5:B682,B682)&lt;100,"0"&amp;COUNTIF($B$5:B682,B682),COUNTIF($B$5:B682,B682))))</f>
        <v>VIS_20270917_001</v>
      </c>
      <c r="B682" s="40">
        <v>46647</v>
      </c>
      <c r="C682" s="47" t="str">
        <f t="shared" si="20"/>
        <v>Пт</v>
      </c>
      <c r="I682" s="46"/>
      <c r="J682" s="39">
        <f t="shared" si="21"/>
        <v>46645</v>
      </c>
      <c r="K682" t="str">
        <f ca="1">IF(AND(B682&gt;='План недели'!$B$4,B682&lt;'План недели'!$D$4,D682&lt;&gt;"",G682&lt;&gt;"Отменён"),COUNTIFS($B$5:B682,"&gt;="&amp;'План недели'!$B$4,$B$5:B682,"&lt;"&amp;'План недели'!$D$4,$D$5:D682,"&lt;&gt;",$G$5:G682,"&lt;&gt;Отменён"),"")</f>
        <v/>
      </c>
    </row>
    <row r="683" spans="1:11">
      <c r="A683" t="str">
        <f>IF(B683="","","VIS_"&amp;(YEAR(B683)*10000+MONTH(B683)*100+DAY(B683))&amp;"_"&amp;IF(COUNTIF($B$5:B683,B683)&lt;10,"00"&amp;COUNTIF($B$5:B683,B683),IF(COUNTIF($B$5:B683,B683)&lt;100,"0"&amp;COUNTIF($B$5:B683,B683),COUNTIF($B$5:B683,B683))))</f>
        <v>VIS_20270918_001</v>
      </c>
      <c r="B683" s="42">
        <v>46648</v>
      </c>
      <c r="C683" s="49" t="str">
        <f t="shared" si="20"/>
        <v>Сб</v>
      </c>
      <c r="I683" s="46"/>
      <c r="J683" s="39">
        <f t="shared" si="21"/>
        <v>46645</v>
      </c>
      <c r="K683" t="str">
        <f ca="1">IF(AND(B683&gt;='План недели'!$B$4,B683&lt;'План недели'!$D$4,D683&lt;&gt;"",G683&lt;&gt;"Отменён"),COUNTIFS($B$5:B683,"&gt;="&amp;'План недели'!$B$4,$B$5:B683,"&lt;"&amp;'План недели'!$D$4,$D$5:D683,"&lt;&gt;",$G$5:G683,"&lt;&gt;Отменён"),"")</f>
        <v/>
      </c>
    </row>
    <row r="684" spans="1:11">
      <c r="A684" t="str">
        <f>IF(B684="","","VIS_"&amp;(YEAR(B684)*10000+MONTH(B684)*100+DAY(B684))&amp;"_"&amp;IF(COUNTIF($B$5:B684,B684)&lt;10,"00"&amp;COUNTIF($B$5:B684,B684),IF(COUNTIF($B$5:B684,B684)&lt;100,"0"&amp;COUNTIF($B$5:B684,B684),COUNTIF($B$5:B684,B684))))</f>
        <v>VIS_20270919_001</v>
      </c>
      <c r="B684" s="42">
        <v>46649</v>
      </c>
      <c r="C684" s="49" t="str">
        <f t="shared" si="20"/>
        <v>Вс</v>
      </c>
      <c r="I684" s="46"/>
      <c r="J684" s="39">
        <f t="shared" si="21"/>
        <v>46645</v>
      </c>
      <c r="K684" t="str">
        <f ca="1">IF(AND(B684&gt;='План недели'!$B$4,B684&lt;'План недели'!$D$4,D684&lt;&gt;"",G684&lt;&gt;"Отменён"),COUNTIFS($B$5:B684,"&gt;="&amp;'План недели'!$B$4,$B$5:B684,"&lt;"&amp;'План недели'!$D$4,$D$5:D684,"&lt;&gt;",$G$5:G684,"&lt;&gt;Отменён"),"")</f>
        <v/>
      </c>
    </row>
    <row r="685" spans="1:11">
      <c r="A685" t="str">
        <f>IF(B685="","","VIS_"&amp;(YEAR(B685)*10000+MONTH(B685)*100+DAY(B685))&amp;"_"&amp;IF(COUNTIF($B$5:B685,B685)&lt;10,"00"&amp;COUNTIF($B$5:B685,B685),IF(COUNTIF($B$5:B685,B685)&lt;100,"0"&amp;COUNTIF($B$5:B685,B685),COUNTIF($B$5:B685,B685))))</f>
        <v>VIS_20270920_001</v>
      </c>
      <c r="B685" s="40">
        <v>46650</v>
      </c>
      <c r="C685" s="47" t="str">
        <f t="shared" si="20"/>
        <v>Пн</v>
      </c>
      <c r="I685" s="46"/>
      <c r="J685" s="39">
        <f t="shared" si="21"/>
        <v>46645</v>
      </c>
      <c r="K685" t="str">
        <f ca="1">IF(AND(B685&gt;='План недели'!$B$4,B685&lt;'План недели'!$D$4,D685&lt;&gt;"",G685&lt;&gt;"Отменён"),COUNTIFS($B$5:B685,"&gt;="&amp;'План недели'!$B$4,$B$5:B685,"&lt;"&amp;'План недели'!$D$4,$D$5:D685,"&lt;&gt;",$G$5:G685,"&lt;&gt;Отменён"),"")</f>
        <v/>
      </c>
    </row>
    <row r="686" spans="1:11">
      <c r="A686" t="str">
        <f>IF(B686="","","VIS_"&amp;(YEAR(B686)*10000+MONTH(B686)*100+DAY(B686))&amp;"_"&amp;IF(COUNTIF($B$5:B686,B686)&lt;10,"00"&amp;COUNTIF($B$5:B686,B686),IF(COUNTIF($B$5:B686,B686)&lt;100,"0"&amp;COUNTIF($B$5:B686,B686),COUNTIF($B$5:B686,B686))))</f>
        <v>VIS_20270921_001</v>
      </c>
      <c r="B686" s="40">
        <v>46651</v>
      </c>
      <c r="C686" s="47" t="str">
        <f t="shared" si="20"/>
        <v>Вт</v>
      </c>
      <c r="I686" s="46"/>
      <c r="J686" s="39">
        <f t="shared" si="21"/>
        <v>46645</v>
      </c>
      <c r="K686" t="str">
        <f ca="1">IF(AND(B686&gt;='План недели'!$B$4,B686&lt;'План недели'!$D$4,D686&lt;&gt;"",G686&lt;&gt;"Отменён"),COUNTIFS($B$5:B686,"&gt;="&amp;'План недели'!$B$4,$B$5:B686,"&lt;"&amp;'План недели'!$D$4,$D$5:D686,"&lt;&gt;",$G$5:G686,"&lt;&gt;Отменён"),"")</f>
        <v/>
      </c>
    </row>
    <row r="687" spans="1:11">
      <c r="A687" t="str">
        <f>IF(B687="","","VIS_"&amp;(YEAR(B687)*10000+MONTH(B687)*100+DAY(B687))&amp;"_"&amp;IF(COUNTIF($B$5:B687,B687)&lt;10,"00"&amp;COUNTIF($B$5:B687,B687),IF(COUNTIF($B$5:B687,B687)&lt;100,"0"&amp;COUNTIF($B$5:B687,B687),COUNTIF($B$5:B687,B687))))</f>
        <v>VIS_20270922_001</v>
      </c>
      <c r="B687" s="40">
        <v>46652</v>
      </c>
      <c r="C687" s="47" t="str">
        <f t="shared" si="20"/>
        <v>Ср</v>
      </c>
      <c r="I687" s="46"/>
      <c r="J687" s="39">
        <f t="shared" si="21"/>
        <v>46652</v>
      </c>
      <c r="K687" t="str">
        <f ca="1">IF(AND(B687&gt;='План недели'!$B$4,B687&lt;'План недели'!$D$4,D687&lt;&gt;"",G687&lt;&gt;"Отменён"),COUNTIFS($B$5:B687,"&gt;="&amp;'План недели'!$B$4,$B$5:B687,"&lt;"&amp;'План недели'!$D$4,$D$5:D687,"&lt;&gt;",$G$5:G687,"&lt;&gt;Отменён"),"")</f>
        <v/>
      </c>
    </row>
    <row r="688" spans="1:11">
      <c r="A688" t="str">
        <f>IF(B688="","","VIS_"&amp;(YEAR(B688)*10000+MONTH(B688)*100+DAY(B688))&amp;"_"&amp;IF(COUNTIF($B$5:B688,B688)&lt;10,"00"&amp;COUNTIF($B$5:B688,B688),IF(COUNTIF($B$5:B688,B688)&lt;100,"0"&amp;COUNTIF($B$5:B688,B688),COUNTIF($B$5:B688,B688))))</f>
        <v>VIS_20270923_001</v>
      </c>
      <c r="B688" s="40">
        <v>46653</v>
      </c>
      <c r="C688" s="47" t="str">
        <f t="shared" si="20"/>
        <v>Чт</v>
      </c>
      <c r="I688" s="46"/>
      <c r="J688" s="39">
        <f t="shared" si="21"/>
        <v>46652</v>
      </c>
      <c r="K688" t="str">
        <f ca="1">IF(AND(B688&gt;='План недели'!$B$4,B688&lt;'План недели'!$D$4,D688&lt;&gt;"",G688&lt;&gt;"Отменён"),COUNTIFS($B$5:B688,"&gt;="&amp;'План недели'!$B$4,$B$5:B688,"&lt;"&amp;'План недели'!$D$4,$D$5:D688,"&lt;&gt;",$G$5:G688,"&lt;&gt;Отменён"),"")</f>
        <v/>
      </c>
    </row>
    <row r="689" spans="1:11">
      <c r="A689" t="str">
        <f>IF(B689="","","VIS_"&amp;(YEAR(B689)*10000+MONTH(B689)*100+DAY(B689))&amp;"_"&amp;IF(COUNTIF($B$5:B689,B689)&lt;10,"00"&amp;COUNTIF($B$5:B689,B689),IF(COUNTIF($B$5:B689,B689)&lt;100,"0"&amp;COUNTIF($B$5:B689,B689),COUNTIF($B$5:B689,B689))))</f>
        <v>VIS_20270924_001</v>
      </c>
      <c r="B689" s="40">
        <v>46654</v>
      </c>
      <c r="C689" s="47" t="str">
        <f t="shared" si="20"/>
        <v>Пт</v>
      </c>
      <c r="I689" s="46"/>
      <c r="J689" s="39">
        <f t="shared" si="21"/>
        <v>46652</v>
      </c>
      <c r="K689" t="str">
        <f ca="1">IF(AND(B689&gt;='План недели'!$B$4,B689&lt;'План недели'!$D$4,D689&lt;&gt;"",G689&lt;&gt;"Отменён"),COUNTIFS($B$5:B689,"&gt;="&amp;'План недели'!$B$4,$B$5:B689,"&lt;"&amp;'План недели'!$D$4,$D$5:D689,"&lt;&gt;",$G$5:G689,"&lt;&gt;Отменён"),"")</f>
        <v/>
      </c>
    </row>
    <row r="690" spans="1:11">
      <c r="A690" t="str">
        <f>IF(B690="","","VIS_"&amp;(YEAR(B690)*10000+MONTH(B690)*100+DAY(B690))&amp;"_"&amp;IF(COUNTIF($B$5:B690,B690)&lt;10,"00"&amp;COUNTIF($B$5:B690,B690),IF(COUNTIF($B$5:B690,B690)&lt;100,"0"&amp;COUNTIF($B$5:B690,B690),COUNTIF($B$5:B690,B690))))</f>
        <v>VIS_20270925_001</v>
      </c>
      <c r="B690" s="42">
        <v>46655</v>
      </c>
      <c r="C690" s="49" t="str">
        <f t="shared" si="20"/>
        <v>Сб</v>
      </c>
      <c r="I690" s="46"/>
      <c r="J690" s="39">
        <f t="shared" si="21"/>
        <v>46652</v>
      </c>
      <c r="K690" t="str">
        <f ca="1">IF(AND(B690&gt;='План недели'!$B$4,B690&lt;'План недели'!$D$4,D690&lt;&gt;"",G690&lt;&gt;"Отменён"),COUNTIFS($B$5:B690,"&gt;="&amp;'План недели'!$B$4,$B$5:B690,"&lt;"&amp;'План недели'!$D$4,$D$5:D690,"&lt;&gt;",$G$5:G690,"&lt;&gt;Отменён"),"")</f>
        <v/>
      </c>
    </row>
    <row r="691" spans="1:11">
      <c r="A691" t="str">
        <f>IF(B691="","","VIS_"&amp;(YEAR(B691)*10000+MONTH(B691)*100+DAY(B691))&amp;"_"&amp;IF(COUNTIF($B$5:B691,B691)&lt;10,"00"&amp;COUNTIF($B$5:B691,B691),IF(COUNTIF($B$5:B691,B691)&lt;100,"0"&amp;COUNTIF($B$5:B691,B691),COUNTIF($B$5:B691,B691))))</f>
        <v>VIS_20270926_001</v>
      </c>
      <c r="B691" s="42">
        <v>46656</v>
      </c>
      <c r="C691" s="49" t="str">
        <f t="shared" si="20"/>
        <v>Вс</v>
      </c>
      <c r="I691" s="46"/>
      <c r="J691" s="39">
        <f t="shared" si="21"/>
        <v>46652</v>
      </c>
      <c r="K691" t="str">
        <f ca="1">IF(AND(B691&gt;='План недели'!$B$4,B691&lt;'План недели'!$D$4,D691&lt;&gt;"",G691&lt;&gt;"Отменён"),COUNTIFS($B$5:B691,"&gt;="&amp;'План недели'!$B$4,$B$5:B691,"&lt;"&amp;'План недели'!$D$4,$D$5:D691,"&lt;&gt;",$G$5:G691,"&lt;&gt;Отменён"),"")</f>
        <v/>
      </c>
    </row>
    <row r="692" spans="1:11">
      <c r="A692" t="str">
        <f>IF(B692="","","VIS_"&amp;(YEAR(B692)*10000+MONTH(B692)*100+DAY(B692))&amp;"_"&amp;IF(COUNTIF($B$5:B692,B692)&lt;10,"00"&amp;COUNTIF($B$5:B692,B692),IF(COUNTIF($B$5:B692,B692)&lt;100,"0"&amp;COUNTIF($B$5:B692,B692),COUNTIF($B$5:B692,B692))))</f>
        <v>VIS_20270927_001</v>
      </c>
      <c r="B692" s="40">
        <v>46657</v>
      </c>
      <c r="C692" s="47" t="str">
        <f t="shared" si="20"/>
        <v>Пн</v>
      </c>
      <c r="I692" s="46"/>
      <c r="J692" s="39">
        <f t="shared" si="21"/>
        <v>46652</v>
      </c>
      <c r="K692" t="str">
        <f ca="1">IF(AND(B692&gt;='План недели'!$B$4,B692&lt;'План недели'!$D$4,D692&lt;&gt;"",G692&lt;&gt;"Отменён"),COUNTIFS($B$5:B692,"&gt;="&amp;'План недели'!$B$4,$B$5:B692,"&lt;"&amp;'План недели'!$D$4,$D$5:D692,"&lt;&gt;",$G$5:G692,"&lt;&gt;Отменён"),"")</f>
        <v/>
      </c>
    </row>
    <row r="693" spans="1:11">
      <c r="A693" t="str">
        <f>IF(B693="","","VIS_"&amp;(YEAR(B693)*10000+MONTH(B693)*100+DAY(B693))&amp;"_"&amp;IF(COUNTIF($B$5:B693,B693)&lt;10,"00"&amp;COUNTIF($B$5:B693,B693),IF(COUNTIF($B$5:B693,B693)&lt;100,"0"&amp;COUNTIF($B$5:B693,B693),COUNTIF($B$5:B693,B693))))</f>
        <v>VIS_20270928_001</v>
      </c>
      <c r="B693" s="40">
        <v>46658</v>
      </c>
      <c r="C693" s="47" t="str">
        <f t="shared" si="20"/>
        <v>Вт</v>
      </c>
      <c r="I693" s="46"/>
      <c r="J693" s="39">
        <f t="shared" si="21"/>
        <v>46652</v>
      </c>
      <c r="K693" t="str">
        <f ca="1">IF(AND(B693&gt;='План недели'!$B$4,B693&lt;'План недели'!$D$4,D693&lt;&gt;"",G693&lt;&gt;"Отменён"),COUNTIFS($B$5:B693,"&gt;="&amp;'План недели'!$B$4,$B$5:B693,"&lt;"&amp;'План недели'!$D$4,$D$5:D693,"&lt;&gt;",$G$5:G693,"&lt;&gt;Отменён"),"")</f>
        <v/>
      </c>
    </row>
    <row r="694" spans="1:11">
      <c r="A694" t="str">
        <f>IF(B694="","","VIS_"&amp;(YEAR(B694)*10000+MONTH(B694)*100+DAY(B694))&amp;"_"&amp;IF(COUNTIF($B$5:B694,B694)&lt;10,"00"&amp;COUNTIF($B$5:B694,B694),IF(COUNTIF($B$5:B694,B694)&lt;100,"0"&amp;COUNTIF($B$5:B694,B694),COUNTIF($B$5:B694,B694))))</f>
        <v>VIS_20270929_001</v>
      </c>
      <c r="B694" s="40">
        <v>46659</v>
      </c>
      <c r="C694" s="47" t="str">
        <f t="shared" si="20"/>
        <v>Ср</v>
      </c>
      <c r="I694" s="46"/>
      <c r="J694" s="39">
        <f t="shared" si="21"/>
        <v>46659</v>
      </c>
      <c r="K694" t="str">
        <f ca="1">IF(AND(B694&gt;='План недели'!$B$4,B694&lt;'План недели'!$D$4,D694&lt;&gt;"",G694&lt;&gt;"Отменён"),COUNTIFS($B$5:B694,"&gt;="&amp;'План недели'!$B$4,$B$5:B694,"&lt;"&amp;'План недели'!$D$4,$D$5:D694,"&lt;&gt;",$G$5:G694,"&lt;&gt;Отменён"),"")</f>
        <v/>
      </c>
    </row>
    <row r="695" spans="1:11">
      <c r="A695" t="str">
        <f>IF(B695="","","VIS_"&amp;(YEAR(B695)*10000+MONTH(B695)*100+DAY(B695))&amp;"_"&amp;IF(COUNTIF($B$5:B695,B695)&lt;10,"00"&amp;COUNTIF($B$5:B695,B695),IF(COUNTIF($B$5:B695,B695)&lt;100,"0"&amp;COUNTIF($B$5:B695,B695),COUNTIF($B$5:B695,B695))))</f>
        <v>VIS_20270930_001</v>
      </c>
      <c r="B695" s="40">
        <v>46660</v>
      </c>
      <c r="C695" s="47" t="str">
        <f t="shared" si="20"/>
        <v>Чт</v>
      </c>
      <c r="I695" s="46"/>
      <c r="J695" s="39">
        <f t="shared" si="21"/>
        <v>46659</v>
      </c>
      <c r="K695" t="str">
        <f ca="1">IF(AND(B695&gt;='План недели'!$B$4,B695&lt;'План недели'!$D$4,D695&lt;&gt;"",G695&lt;&gt;"Отменён"),COUNTIFS($B$5:B695,"&gt;="&amp;'План недели'!$B$4,$B$5:B695,"&lt;"&amp;'План недели'!$D$4,$D$5:D695,"&lt;&gt;",$G$5:G695,"&lt;&gt;Отменён"),"")</f>
        <v/>
      </c>
    </row>
    <row r="696" spans="1:11">
      <c r="A696" t="str">
        <f>IF(B696="","","VIS_"&amp;(YEAR(B696)*10000+MONTH(B696)*100+DAY(B696))&amp;"_"&amp;IF(COUNTIF($B$5:B696,B696)&lt;10,"00"&amp;COUNTIF($B$5:B696,B696),IF(COUNTIF($B$5:B696,B696)&lt;100,"0"&amp;COUNTIF($B$5:B696,B696),COUNTIF($B$5:B696,B696))))</f>
        <v>VIS_20271001_001</v>
      </c>
      <c r="B696" s="40">
        <v>46661</v>
      </c>
      <c r="C696" s="47" t="str">
        <f t="shared" si="20"/>
        <v>Пт</v>
      </c>
      <c r="I696" s="46"/>
      <c r="J696" s="39">
        <f t="shared" si="21"/>
        <v>46659</v>
      </c>
      <c r="K696" t="str">
        <f ca="1">IF(AND(B696&gt;='План недели'!$B$4,B696&lt;'План недели'!$D$4,D696&lt;&gt;"",G696&lt;&gt;"Отменён"),COUNTIFS($B$5:B696,"&gt;="&amp;'План недели'!$B$4,$B$5:B696,"&lt;"&amp;'План недели'!$D$4,$D$5:D696,"&lt;&gt;",$G$5:G696,"&lt;&gt;Отменён"),"")</f>
        <v/>
      </c>
    </row>
    <row r="697" spans="1:11">
      <c r="A697" t="str">
        <f>IF(B697="","","VIS_"&amp;(YEAR(B697)*10000+MONTH(B697)*100+DAY(B697))&amp;"_"&amp;IF(COUNTIF($B$5:B697,B697)&lt;10,"00"&amp;COUNTIF($B$5:B697,B697),IF(COUNTIF($B$5:B697,B697)&lt;100,"0"&amp;COUNTIF($B$5:B697,B697),COUNTIF($B$5:B697,B697))))</f>
        <v>VIS_20271002_001</v>
      </c>
      <c r="B697" s="42">
        <v>46662</v>
      </c>
      <c r="C697" s="49" t="str">
        <f t="shared" si="20"/>
        <v>Сб</v>
      </c>
      <c r="I697" s="46"/>
      <c r="J697" s="39">
        <f t="shared" si="21"/>
        <v>46659</v>
      </c>
      <c r="K697" t="str">
        <f ca="1">IF(AND(B697&gt;='План недели'!$B$4,B697&lt;'План недели'!$D$4,D697&lt;&gt;"",G697&lt;&gt;"Отменён"),COUNTIFS($B$5:B697,"&gt;="&amp;'План недели'!$B$4,$B$5:B697,"&lt;"&amp;'План недели'!$D$4,$D$5:D697,"&lt;&gt;",$G$5:G697,"&lt;&gt;Отменён"),"")</f>
        <v/>
      </c>
    </row>
    <row r="698" spans="1:11">
      <c r="A698" t="str">
        <f>IF(B698="","","VIS_"&amp;(YEAR(B698)*10000+MONTH(B698)*100+DAY(B698))&amp;"_"&amp;IF(COUNTIF($B$5:B698,B698)&lt;10,"00"&amp;COUNTIF($B$5:B698,B698),IF(COUNTIF($B$5:B698,B698)&lt;100,"0"&amp;COUNTIF($B$5:B698,B698),COUNTIF($B$5:B698,B698))))</f>
        <v>VIS_20271003_001</v>
      </c>
      <c r="B698" s="42">
        <v>46663</v>
      </c>
      <c r="C698" s="49" t="str">
        <f t="shared" si="20"/>
        <v>Вс</v>
      </c>
      <c r="I698" s="46"/>
      <c r="J698" s="39">
        <f t="shared" si="21"/>
        <v>46659</v>
      </c>
      <c r="K698" t="str">
        <f ca="1">IF(AND(B698&gt;='План недели'!$B$4,B698&lt;'План недели'!$D$4,D698&lt;&gt;"",G698&lt;&gt;"Отменён"),COUNTIFS($B$5:B698,"&gt;="&amp;'План недели'!$B$4,$B$5:B698,"&lt;"&amp;'План недели'!$D$4,$D$5:D698,"&lt;&gt;",$G$5:G698,"&lt;&gt;Отменён"),"")</f>
        <v/>
      </c>
    </row>
    <row r="699" spans="1:11">
      <c r="A699" t="str">
        <f>IF(B699="","","VIS_"&amp;(YEAR(B699)*10000+MONTH(B699)*100+DAY(B699))&amp;"_"&amp;IF(COUNTIF($B$5:B699,B699)&lt;10,"00"&amp;COUNTIF($B$5:B699,B699),IF(COUNTIF($B$5:B699,B699)&lt;100,"0"&amp;COUNTIF($B$5:B699,B699),COUNTIF($B$5:B699,B699))))</f>
        <v>VIS_20271004_001</v>
      </c>
      <c r="B699" s="40">
        <v>46664</v>
      </c>
      <c r="C699" s="47" t="str">
        <f t="shared" si="20"/>
        <v>Пн</v>
      </c>
      <c r="I699" s="46"/>
      <c r="J699" s="39">
        <f t="shared" si="21"/>
        <v>46659</v>
      </c>
      <c r="K699" t="str">
        <f ca="1">IF(AND(B699&gt;='План недели'!$B$4,B699&lt;'План недели'!$D$4,D699&lt;&gt;"",G699&lt;&gt;"Отменён"),COUNTIFS($B$5:B699,"&gt;="&amp;'План недели'!$B$4,$B$5:B699,"&lt;"&amp;'План недели'!$D$4,$D$5:D699,"&lt;&gt;",$G$5:G699,"&lt;&gt;Отменён"),"")</f>
        <v/>
      </c>
    </row>
    <row r="700" spans="1:11">
      <c r="A700" t="str">
        <f>IF(B700="","","VIS_"&amp;(YEAR(B700)*10000+MONTH(B700)*100+DAY(B700))&amp;"_"&amp;IF(COUNTIF($B$5:B700,B700)&lt;10,"00"&amp;COUNTIF($B$5:B700,B700),IF(COUNTIF($B$5:B700,B700)&lt;100,"0"&amp;COUNTIF($B$5:B700,B700),COUNTIF($B$5:B700,B700))))</f>
        <v>VIS_20271005_001</v>
      </c>
      <c r="B700" s="40">
        <v>46665</v>
      </c>
      <c r="C700" s="47" t="str">
        <f t="shared" si="20"/>
        <v>Вт</v>
      </c>
      <c r="I700" s="46"/>
      <c r="J700" s="39">
        <f t="shared" si="21"/>
        <v>46659</v>
      </c>
      <c r="K700" t="str">
        <f ca="1">IF(AND(B700&gt;='План недели'!$B$4,B700&lt;'План недели'!$D$4,D700&lt;&gt;"",G700&lt;&gt;"Отменён"),COUNTIFS($B$5:B700,"&gt;="&amp;'План недели'!$B$4,$B$5:B700,"&lt;"&amp;'План недели'!$D$4,$D$5:D700,"&lt;&gt;",$G$5:G700,"&lt;&gt;Отменён"),"")</f>
        <v/>
      </c>
    </row>
    <row r="701" spans="1:11">
      <c r="A701" t="str">
        <f>IF(B701="","","VIS_"&amp;(YEAR(B701)*10000+MONTH(B701)*100+DAY(B701))&amp;"_"&amp;IF(COUNTIF($B$5:B701,B701)&lt;10,"00"&amp;COUNTIF($B$5:B701,B701),IF(COUNTIF($B$5:B701,B701)&lt;100,"0"&amp;COUNTIF($B$5:B701,B701),COUNTIF($B$5:B701,B701))))</f>
        <v>VIS_20271006_001</v>
      </c>
      <c r="B701" s="40">
        <v>46666</v>
      </c>
      <c r="C701" s="47" t="str">
        <f t="shared" si="20"/>
        <v>Ср</v>
      </c>
      <c r="I701" s="46"/>
      <c r="J701" s="39">
        <f t="shared" si="21"/>
        <v>46666</v>
      </c>
      <c r="K701" t="str">
        <f ca="1">IF(AND(B701&gt;='План недели'!$B$4,B701&lt;'План недели'!$D$4,D701&lt;&gt;"",G701&lt;&gt;"Отменён"),COUNTIFS($B$5:B701,"&gt;="&amp;'План недели'!$B$4,$B$5:B701,"&lt;"&amp;'План недели'!$D$4,$D$5:D701,"&lt;&gt;",$G$5:G701,"&lt;&gt;Отменён"),"")</f>
        <v/>
      </c>
    </row>
    <row r="702" spans="1:11">
      <c r="A702" t="str">
        <f>IF(B702="","","VIS_"&amp;(YEAR(B702)*10000+MONTH(B702)*100+DAY(B702))&amp;"_"&amp;IF(COUNTIF($B$5:B702,B702)&lt;10,"00"&amp;COUNTIF($B$5:B702,B702),IF(COUNTIF($B$5:B702,B702)&lt;100,"0"&amp;COUNTIF($B$5:B702,B702),COUNTIF($B$5:B702,B702))))</f>
        <v>VIS_20271007_001</v>
      </c>
      <c r="B702" s="40">
        <v>46667</v>
      </c>
      <c r="C702" s="47" t="str">
        <f t="shared" si="20"/>
        <v>Чт</v>
      </c>
      <c r="I702" s="46"/>
      <c r="J702" s="39">
        <f t="shared" si="21"/>
        <v>46666</v>
      </c>
      <c r="K702" t="str">
        <f ca="1">IF(AND(B702&gt;='План недели'!$B$4,B702&lt;'План недели'!$D$4,D702&lt;&gt;"",G702&lt;&gt;"Отменён"),COUNTIFS($B$5:B702,"&gt;="&amp;'План недели'!$B$4,$B$5:B702,"&lt;"&amp;'План недели'!$D$4,$D$5:D702,"&lt;&gt;",$G$5:G702,"&lt;&gt;Отменён"),"")</f>
        <v/>
      </c>
    </row>
    <row r="703" spans="1:11">
      <c r="A703" t="str">
        <f>IF(B703="","","VIS_"&amp;(YEAR(B703)*10000+MONTH(B703)*100+DAY(B703))&amp;"_"&amp;IF(COUNTIF($B$5:B703,B703)&lt;10,"00"&amp;COUNTIF($B$5:B703,B703),IF(COUNTIF($B$5:B703,B703)&lt;100,"0"&amp;COUNTIF($B$5:B703,B703),COUNTIF($B$5:B703,B703))))</f>
        <v>VIS_20271008_001</v>
      </c>
      <c r="B703" s="40">
        <v>46668</v>
      </c>
      <c r="C703" s="47" t="str">
        <f t="shared" si="20"/>
        <v>Пт</v>
      </c>
      <c r="I703" s="46"/>
      <c r="J703" s="39">
        <f t="shared" si="21"/>
        <v>46666</v>
      </c>
      <c r="K703" t="str">
        <f ca="1">IF(AND(B703&gt;='План недели'!$B$4,B703&lt;'План недели'!$D$4,D703&lt;&gt;"",G703&lt;&gt;"Отменён"),COUNTIFS($B$5:B703,"&gt;="&amp;'План недели'!$B$4,$B$5:B703,"&lt;"&amp;'План недели'!$D$4,$D$5:D703,"&lt;&gt;",$G$5:G703,"&lt;&gt;Отменён"),"")</f>
        <v/>
      </c>
    </row>
    <row r="704" spans="1:11">
      <c r="A704" t="str">
        <f>IF(B704="","","VIS_"&amp;(YEAR(B704)*10000+MONTH(B704)*100+DAY(B704))&amp;"_"&amp;IF(COUNTIF($B$5:B704,B704)&lt;10,"00"&amp;COUNTIF($B$5:B704,B704),IF(COUNTIF($B$5:B704,B704)&lt;100,"0"&amp;COUNTIF($B$5:B704,B704),COUNTIF($B$5:B704,B704))))</f>
        <v>VIS_20271009_001</v>
      </c>
      <c r="B704" s="42">
        <v>46669</v>
      </c>
      <c r="C704" s="49" t="str">
        <f t="shared" si="20"/>
        <v>Сб</v>
      </c>
      <c r="I704" s="46"/>
      <c r="J704" s="39">
        <f t="shared" si="21"/>
        <v>46666</v>
      </c>
      <c r="K704" t="str">
        <f ca="1">IF(AND(B704&gt;='План недели'!$B$4,B704&lt;'План недели'!$D$4,D704&lt;&gt;"",G704&lt;&gt;"Отменён"),COUNTIFS($B$5:B704,"&gt;="&amp;'План недели'!$B$4,$B$5:B704,"&lt;"&amp;'План недели'!$D$4,$D$5:D704,"&lt;&gt;",$G$5:G704,"&lt;&gt;Отменён"),"")</f>
        <v/>
      </c>
    </row>
    <row r="705" spans="1:11">
      <c r="A705" t="str">
        <f>IF(B705="","","VIS_"&amp;(YEAR(B705)*10000+MONTH(B705)*100+DAY(B705))&amp;"_"&amp;IF(COUNTIF($B$5:B705,B705)&lt;10,"00"&amp;COUNTIF($B$5:B705,B705),IF(COUNTIF($B$5:B705,B705)&lt;100,"0"&amp;COUNTIF($B$5:B705,B705),COUNTIF($B$5:B705,B705))))</f>
        <v>VIS_20271010_001</v>
      </c>
      <c r="B705" s="42">
        <v>46670</v>
      </c>
      <c r="C705" s="49" t="str">
        <f t="shared" si="20"/>
        <v>Вс</v>
      </c>
      <c r="I705" s="46"/>
      <c r="J705" s="39">
        <f t="shared" si="21"/>
        <v>46666</v>
      </c>
      <c r="K705" t="str">
        <f ca="1">IF(AND(B705&gt;='План недели'!$B$4,B705&lt;'План недели'!$D$4,D705&lt;&gt;"",G705&lt;&gt;"Отменён"),COUNTIFS($B$5:B705,"&gt;="&amp;'План недели'!$B$4,$B$5:B705,"&lt;"&amp;'План недели'!$D$4,$D$5:D705,"&lt;&gt;",$G$5:G705,"&lt;&gt;Отменён"),"")</f>
        <v/>
      </c>
    </row>
    <row r="706" spans="1:11">
      <c r="A706" t="str">
        <f>IF(B706="","","VIS_"&amp;(YEAR(B706)*10000+MONTH(B706)*100+DAY(B706))&amp;"_"&amp;IF(COUNTIF($B$5:B706,B706)&lt;10,"00"&amp;COUNTIF($B$5:B706,B706),IF(COUNTIF($B$5:B706,B706)&lt;100,"0"&amp;COUNTIF($B$5:B706,B706),COUNTIF($B$5:B706,B706))))</f>
        <v>VIS_20271011_001</v>
      </c>
      <c r="B706" s="40">
        <v>46671</v>
      </c>
      <c r="C706" s="47" t="str">
        <f t="shared" si="20"/>
        <v>Пн</v>
      </c>
      <c r="I706" s="46"/>
      <c r="J706" s="39">
        <f t="shared" si="21"/>
        <v>46666</v>
      </c>
      <c r="K706" t="str">
        <f ca="1">IF(AND(B706&gt;='План недели'!$B$4,B706&lt;'План недели'!$D$4,D706&lt;&gt;"",G706&lt;&gt;"Отменён"),COUNTIFS($B$5:B706,"&gt;="&amp;'План недели'!$B$4,$B$5:B706,"&lt;"&amp;'План недели'!$D$4,$D$5:D706,"&lt;&gt;",$G$5:G706,"&lt;&gt;Отменён"),"")</f>
        <v/>
      </c>
    </row>
    <row r="707" spans="1:11">
      <c r="A707" t="str">
        <f>IF(B707="","","VIS_"&amp;(YEAR(B707)*10000+MONTH(B707)*100+DAY(B707))&amp;"_"&amp;IF(COUNTIF($B$5:B707,B707)&lt;10,"00"&amp;COUNTIF($B$5:B707,B707),IF(COUNTIF($B$5:B707,B707)&lt;100,"0"&amp;COUNTIF($B$5:B707,B707),COUNTIF($B$5:B707,B707))))</f>
        <v>VIS_20271012_001</v>
      </c>
      <c r="B707" s="40">
        <v>46672</v>
      </c>
      <c r="C707" s="47" t="str">
        <f t="shared" si="20"/>
        <v>Вт</v>
      </c>
      <c r="I707" s="46"/>
      <c r="J707" s="39">
        <f t="shared" si="21"/>
        <v>46666</v>
      </c>
      <c r="K707" t="str">
        <f ca="1">IF(AND(B707&gt;='План недели'!$B$4,B707&lt;'План недели'!$D$4,D707&lt;&gt;"",G707&lt;&gt;"Отменён"),COUNTIFS($B$5:B707,"&gt;="&amp;'План недели'!$B$4,$B$5:B707,"&lt;"&amp;'План недели'!$D$4,$D$5:D707,"&lt;&gt;",$G$5:G707,"&lt;&gt;Отменён"),"")</f>
        <v/>
      </c>
    </row>
    <row r="708" spans="1:11">
      <c r="A708" t="str">
        <f>IF(B708="","","VIS_"&amp;(YEAR(B708)*10000+MONTH(B708)*100+DAY(B708))&amp;"_"&amp;IF(COUNTIF($B$5:B708,B708)&lt;10,"00"&amp;COUNTIF($B$5:B708,B708),IF(COUNTIF($B$5:B708,B708)&lt;100,"0"&amp;COUNTIF($B$5:B708,B708),COUNTIF($B$5:B708,B708))))</f>
        <v>VIS_20271013_001</v>
      </c>
      <c r="B708" s="40">
        <v>46673</v>
      </c>
      <c r="C708" s="47" t="str">
        <f t="shared" si="20"/>
        <v>Ср</v>
      </c>
      <c r="I708" s="46"/>
      <c r="J708" s="39">
        <f t="shared" si="21"/>
        <v>46673</v>
      </c>
      <c r="K708" t="str">
        <f ca="1">IF(AND(B708&gt;='План недели'!$B$4,B708&lt;'План недели'!$D$4,D708&lt;&gt;"",G708&lt;&gt;"Отменён"),COUNTIFS($B$5:B708,"&gt;="&amp;'План недели'!$B$4,$B$5:B708,"&lt;"&amp;'План недели'!$D$4,$D$5:D708,"&lt;&gt;",$G$5:G708,"&lt;&gt;Отменён"),"")</f>
        <v/>
      </c>
    </row>
    <row r="709" spans="1:11">
      <c r="A709" t="str">
        <f>IF(B709="","","VIS_"&amp;(YEAR(B709)*10000+MONTH(B709)*100+DAY(B709))&amp;"_"&amp;IF(COUNTIF($B$5:B709,B709)&lt;10,"00"&amp;COUNTIF($B$5:B709,B709),IF(COUNTIF($B$5:B709,B709)&lt;100,"0"&amp;COUNTIF($B$5:B709,B709),COUNTIF($B$5:B709,B709))))</f>
        <v>VIS_20271014_001</v>
      </c>
      <c r="B709" s="40">
        <v>46674</v>
      </c>
      <c r="C709" s="47" t="str">
        <f t="shared" ref="C709:C772" si="22">IF(B709="","",CHOOSE(WEEKDAY(B709,2),"Пн","Вт","Ср","Чт","Пт","Сб","Вс"))</f>
        <v>Чт</v>
      </c>
      <c r="I709" s="46"/>
      <c r="J709" s="39">
        <f t="shared" ref="J709:J772" si="23">IF(B709="","",B709-MOD(WEEKDAY(B709,2)-3,7))</f>
        <v>46673</v>
      </c>
      <c r="K709" t="str">
        <f ca="1">IF(AND(B709&gt;='План недели'!$B$4,B709&lt;'План недели'!$D$4,D709&lt;&gt;"",G709&lt;&gt;"Отменён"),COUNTIFS($B$5:B709,"&gt;="&amp;'План недели'!$B$4,$B$5:B709,"&lt;"&amp;'План недели'!$D$4,$D$5:D709,"&lt;&gt;",$G$5:G709,"&lt;&gt;Отменён"),"")</f>
        <v/>
      </c>
    </row>
    <row r="710" spans="1:11">
      <c r="A710" t="str">
        <f>IF(B710="","","VIS_"&amp;(YEAR(B710)*10000+MONTH(B710)*100+DAY(B710))&amp;"_"&amp;IF(COUNTIF($B$5:B710,B710)&lt;10,"00"&amp;COUNTIF($B$5:B710,B710),IF(COUNTIF($B$5:B710,B710)&lt;100,"0"&amp;COUNTIF($B$5:B710,B710),COUNTIF($B$5:B710,B710))))</f>
        <v>VIS_20271015_001</v>
      </c>
      <c r="B710" s="40">
        <v>46675</v>
      </c>
      <c r="C710" s="47" t="str">
        <f t="shared" si="22"/>
        <v>Пт</v>
      </c>
      <c r="I710" s="46"/>
      <c r="J710" s="39">
        <f t="shared" si="23"/>
        <v>46673</v>
      </c>
      <c r="K710" t="str">
        <f ca="1">IF(AND(B710&gt;='План недели'!$B$4,B710&lt;'План недели'!$D$4,D710&lt;&gt;"",G710&lt;&gt;"Отменён"),COUNTIFS($B$5:B710,"&gt;="&amp;'План недели'!$B$4,$B$5:B710,"&lt;"&amp;'План недели'!$D$4,$D$5:D710,"&lt;&gt;",$G$5:G710,"&lt;&gt;Отменён"),"")</f>
        <v/>
      </c>
    </row>
    <row r="711" spans="1:11">
      <c r="A711" t="str">
        <f>IF(B711="","","VIS_"&amp;(YEAR(B711)*10000+MONTH(B711)*100+DAY(B711))&amp;"_"&amp;IF(COUNTIF($B$5:B711,B711)&lt;10,"00"&amp;COUNTIF($B$5:B711,B711),IF(COUNTIF($B$5:B711,B711)&lt;100,"0"&amp;COUNTIF($B$5:B711,B711),COUNTIF($B$5:B711,B711))))</f>
        <v>VIS_20271016_001</v>
      </c>
      <c r="B711" s="42">
        <v>46676</v>
      </c>
      <c r="C711" s="49" t="str">
        <f t="shared" si="22"/>
        <v>Сб</v>
      </c>
      <c r="I711" s="46"/>
      <c r="J711" s="39">
        <f t="shared" si="23"/>
        <v>46673</v>
      </c>
      <c r="K711" t="str">
        <f ca="1">IF(AND(B711&gt;='План недели'!$B$4,B711&lt;'План недели'!$D$4,D711&lt;&gt;"",G711&lt;&gt;"Отменён"),COUNTIFS($B$5:B711,"&gt;="&amp;'План недели'!$B$4,$B$5:B711,"&lt;"&amp;'План недели'!$D$4,$D$5:D711,"&lt;&gt;",$G$5:G711,"&lt;&gt;Отменён"),"")</f>
        <v/>
      </c>
    </row>
    <row r="712" spans="1:11">
      <c r="A712" t="str">
        <f>IF(B712="","","VIS_"&amp;(YEAR(B712)*10000+MONTH(B712)*100+DAY(B712))&amp;"_"&amp;IF(COUNTIF($B$5:B712,B712)&lt;10,"00"&amp;COUNTIF($B$5:B712,B712),IF(COUNTIF($B$5:B712,B712)&lt;100,"0"&amp;COUNTIF($B$5:B712,B712),COUNTIF($B$5:B712,B712))))</f>
        <v>VIS_20271017_001</v>
      </c>
      <c r="B712" s="42">
        <v>46677</v>
      </c>
      <c r="C712" s="49" t="str">
        <f t="shared" si="22"/>
        <v>Вс</v>
      </c>
      <c r="I712" s="46"/>
      <c r="J712" s="39">
        <f t="shared" si="23"/>
        <v>46673</v>
      </c>
      <c r="K712" t="str">
        <f ca="1">IF(AND(B712&gt;='План недели'!$B$4,B712&lt;'План недели'!$D$4,D712&lt;&gt;"",G712&lt;&gt;"Отменён"),COUNTIFS($B$5:B712,"&gt;="&amp;'План недели'!$B$4,$B$5:B712,"&lt;"&amp;'План недели'!$D$4,$D$5:D712,"&lt;&gt;",$G$5:G712,"&lt;&gt;Отменён"),"")</f>
        <v/>
      </c>
    </row>
    <row r="713" spans="1:11">
      <c r="A713" t="str">
        <f>IF(B713="","","VIS_"&amp;(YEAR(B713)*10000+MONTH(B713)*100+DAY(B713))&amp;"_"&amp;IF(COUNTIF($B$5:B713,B713)&lt;10,"00"&amp;COUNTIF($B$5:B713,B713),IF(COUNTIF($B$5:B713,B713)&lt;100,"0"&amp;COUNTIF($B$5:B713,B713),COUNTIF($B$5:B713,B713))))</f>
        <v>VIS_20271018_001</v>
      </c>
      <c r="B713" s="40">
        <v>46678</v>
      </c>
      <c r="C713" s="47" t="str">
        <f t="shared" si="22"/>
        <v>Пн</v>
      </c>
      <c r="I713" s="46"/>
      <c r="J713" s="39">
        <f t="shared" si="23"/>
        <v>46673</v>
      </c>
      <c r="K713" t="str">
        <f ca="1">IF(AND(B713&gt;='План недели'!$B$4,B713&lt;'План недели'!$D$4,D713&lt;&gt;"",G713&lt;&gt;"Отменён"),COUNTIFS($B$5:B713,"&gt;="&amp;'План недели'!$B$4,$B$5:B713,"&lt;"&amp;'План недели'!$D$4,$D$5:D713,"&lt;&gt;",$G$5:G713,"&lt;&gt;Отменён"),"")</f>
        <v/>
      </c>
    </row>
    <row r="714" spans="1:11">
      <c r="A714" t="str">
        <f>IF(B714="","","VIS_"&amp;(YEAR(B714)*10000+MONTH(B714)*100+DAY(B714))&amp;"_"&amp;IF(COUNTIF($B$5:B714,B714)&lt;10,"00"&amp;COUNTIF($B$5:B714,B714),IF(COUNTIF($B$5:B714,B714)&lt;100,"0"&amp;COUNTIF($B$5:B714,B714),COUNTIF($B$5:B714,B714))))</f>
        <v>VIS_20271019_001</v>
      </c>
      <c r="B714" s="40">
        <v>46679</v>
      </c>
      <c r="C714" s="47" t="str">
        <f t="shared" si="22"/>
        <v>Вт</v>
      </c>
      <c r="I714" s="46"/>
      <c r="J714" s="39">
        <f t="shared" si="23"/>
        <v>46673</v>
      </c>
      <c r="K714" t="str">
        <f ca="1">IF(AND(B714&gt;='План недели'!$B$4,B714&lt;'План недели'!$D$4,D714&lt;&gt;"",G714&lt;&gt;"Отменён"),COUNTIFS($B$5:B714,"&gt;="&amp;'План недели'!$B$4,$B$5:B714,"&lt;"&amp;'План недели'!$D$4,$D$5:D714,"&lt;&gt;",$G$5:G714,"&lt;&gt;Отменён"),"")</f>
        <v/>
      </c>
    </row>
    <row r="715" spans="1:11">
      <c r="A715" t="str">
        <f>IF(B715="","","VIS_"&amp;(YEAR(B715)*10000+MONTH(B715)*100+DAY(B715))&amp;"_"&amp;IF(COUNTIF($B$5:B715,B715)&lt;10,"00"&amp;COUNTIF($B$5:B715,B715),IF(COUNTIF($B$5:B715,B715)&lt;100,"0"&amp;COUNTIF($B$5:B715,B715),COUNTIF($B$5:B715,B715))))</f>
        <v>VIS_20271020_001</v>
      </c>
      <c r="B715" s="40">
        <v>46680</v>
      </c>
      <c r="C715" s="47" t="str">
        <f t="shared" si="22"/>
        <v>Ср</v>
      </c>
      <c r="I715" s="46"/>
      <c r="J715" s="39">
        <f t="shared" si="23"/>
        <v>46680</v>
      </c>
      <c r="K715" t="str">
        <f ca="1">IF(AND(B715&gt;='План недели'!$B$4,B715&lt;'План недели'!$D$4,D715&lt;&gt;"",G715&lt;&gt;"Отменён"),COUNTIFS($B$5:B715,"&gt;="&amp;'План недели'!$B$4,$B$5:B715,"&lt;"&amp;'План недели'!$D$4,$D$5:D715,"&lt;&gt;",$G$5:G715,"&lt;&gt;Отменён"),"")</f>
        <v/>
      </c>
    </row>
    <row r="716" spans="1:11">
      <c r="A716" t="str">
        <f>IF(B716="","","VIS_"&amp;(YEAR(B716)*10000+MONTH(B716)*100+DAY(B716))&amp;"_"&amp;IF(COUNTIF($B$5:B716,B716)&lt;10,"00"&amp;COUNTIF($B$5:B716,B716),IF(COUNTIF($B$5:B716,B716)&lt;100,"0"&amp;COUNTIF($B$5:B716,B716),COUNTIF($B$5:B716,B716))))</f>
        <v>VIS_20271021_001</v>
      </c>
      <c r="B716" s="40">
        <v>46681</v>
      </c>
      <c r="C716" s="47" t="str">
        <f t="shared" si="22"/>
        <v>Чт</v>
      </c>
      <c r="I716" s="46"/>
      <c r="J716" s="39">
        <f t="shared" si="23"/>
        <v>46680</v>
      </c>
      <c r="K716" t="str">
        <f ca="1">IF(AND(B716&gt;='План недели'!$B$4,B716&lt;'План недели'!$D$4,D716&lt;&gt;"",G716&lt;&gt;"Отменён"),COUNTIFS($B$5:B716,"&gt;="&amp;'План недели'!$B$4,$B$5:B716,"&lt;"&amp;'План недели'!$D$4,$D$5:D716,"&lt;&gt;",$G$5:G716,"&lt;&gt;Отменён"),"")</f>
        <v/>
      </c>
    </row>
    <row r="717" spans="1:11">
      <c r="A717" t="str">
        <f>IF(B717="","","VIS_"&amp;(YEAR(B717)*10000+MONTH(B717)*100+DAY(B717))&amp;"_"&amp;IF(COUNTIF($B$5:B717,B717)&lt;10,"00"&amp;COUNTIF($B$5:B717,B717),IF(COUNTIF($B$5:B717,B717)&lt;100,"0"&amp;COUNTIF($B$5:B717,B717),COUNTIF($B$5:B717,B717))))</f>
        <v>VIS_20271022_001</v>
      </c>
      <c r="B717" s="40">
        <v>46682</v>
      </c>
      <c r="C717" s="47" t="str">
        <f t="shared" si="22"/>
        <v>Пт</v>
      </c>
      <c r="I717" s="46"/>
      <c r="J717" s="39">
        <f t="shared" si="23"/>
        <v>46680</v>
      </c>
      <c r="K717" t="str">
        <f ca="1">IF(AND(B717&gt;='План недели'!$B$4,B717&lt;'План недели'!$D$4,D717&lt;&gt;"",G717&lt;&gt;"Отменён"),COUNTIFS($B$5:B717,"&gt;="&amp;'План недели'!$B$4,$B$5:B717,"&lt;"&amp;'План недели'!$D$4,$D$5:D717,"&lt;&gt;",$G$5:G717,"&lt;&gt;Отменён"),"")</f>
        <v/>
      </c>
    </row>
    <row r="718" spans="1:11">
      <c r="A718" t="str">
        <f>IF(B718="","","VIS_"&amp;(YEAR(B718)*10000+MONTH(B718)*100+DAY(B718))&amp;"_"&amp;IF(COUNTIF($B$5:B718,B718)&lt;10,"00"&amp;COUNTIF($B$5:B718,B718),IF(COUNTIF($B$5:B718,B718)&lt;100,"0"&amp;COUNTIF($B$5:B718,B718),COUNTIF($B$5:B718,B718))))</f>
        <v>VIS_20271023_001</v>
      </c>
      <c r="B718" s="42">
        <v>46683</v>
      </c>
      <c r="C718" s="49" t="str">
        <f t="shared" si="22"/>
        <v>Сб</v>
      </c>
      <c r="I718" s="46"/>
      <c r="J718" s="39">
        <f t="shared" si="23"/>
        <v>46680</v>
      </c>
      <c r="K718" t="str">
        <f ca="1">IF(AND(B718&gt;='План недели'!$B$4,B718&lt;'План недели'!$D$4,D718&lt;&gt;"",G718&lt;&gt;"Отменён"),COUNTIFS($B$5:B718,"&gt;="&amp;'План недели'!$B$4,$B$5:B718,"&lt;"&amp;'План недели'!$D$4,$D$5:D718,"&lt;&gt;",$G$5:G718,"&lt;&gt;Отменён"),"")</f>
        <v/>
      </c>
    </row>
    <row r="719" spans="1:11">
      <c r="A719" t="str">
        <f>IF(B719="","","VIS_"&amp;(YEAR(B719)*10000+MONTH(B719)*100+DAY(B719))&amp;"_"&amp;IF(COUNTIF($B$5:B719,B719)&lt;10,"00"&amp;COUNTIF($B$5:B719,B719),IF(COUNTIF($B$5:B719,B719)&lt;100,"0"&amp;COUNTIF($B$5:B719,B719),COUNTIF($B$5:B719,B719))))</f>
        <v>VIS_20271024_001</v>
      </c>
      <c r="B719" s="42">
        <v>46684</v>
      </c>
      <c r="C719" s="49" t="str">
        <f t="shared" si="22"/>
        <v>Вс</v>
      </c>
      <c r="I719" s="46"/>
      <c r="J719" s="39">
        <f t="shared" si="23"/>
        <v>46680</v>
      </c>
      <c r="K719" t="str">
        <f ca="1">IF(AND(B719&gt;='План недели'!$B$4,B719&lt;'План недели'!$D$4,D719&lt;&gt;"",G719&lt;&gt;"Отменён"),COUNTIFS($B$5:B719,"&gt;="&amp;'План недели'!$B$4,$B$5:B719,"&lt;"&amp;'План недели'!$D$4,$D$5:D719,"&lt;&gt;",$G$5:G719,"&lt;&gt;Отменён"),"")</f>
        <v/>
      </c>
    </row>
    <row r="720" spans="1:11">
      <c r="A720" t="str">
        <f>IF(B720="","","VIS_"&amp;(YEAR(B720)*10000+MONTH(B720)*100+DAY(B720))&amp;"_"&amp;IF(COUNTIF($B$5:B720,B720)&lt;10,"00"&amp;COUNTIF($B$5:B720,B720),IF(COUNTIF($B$5:B720,B720)&lt;100,"0"&amp;COUNTIF($B$5:B720,B720),COUNTIF($B$5:B720,B720))))</f>
        <v>VIS_20271025_001</v>
      </c>
      <c r="B720" s="40">
        <v>46685</v>
      </c>
      <c r="C720" s="47" t="str">
        <f t="shared" si="22"/>
        <v>Пн</v>
      </c>
      <c r="I720" s="46"/>
      <c r="J720" s="39">
        <f t="shared" si="23"/>
        <v>46680</v>
      </c>
      <c r="K720" t="str">
        <f ca="1">IF(AND(B720&gt;='План недели'!$B$4,B720&lt;'План недели'!$D$4,D720&lt;&gt;"",G720&lt;&gt;"Отменён"),COUNTIFS($B$5:B720,"&gt;="&amp;'План недели'!$B$4,$B$5:B720,"&lt;"&amp;'План недели'!$D$4,$D$5:D720,"&lt;&gt;",$G$5:G720,"&lt;&gt;Отменён"),"")</f>
        <v/>
      </c>
    </row>
    <row r="721" spans="1:11">
      <c r="A721" t="str">
        <f>IF(B721="","","VIS_"&amp;(YEAR(B721)*10000+MONTH(B721)*100+DAY(B721))&amp;"_"&amp;IF(COUNTIF($B$5:B721,B721)&lt;10,"00"&amp;COUNTIF($B$5:B721,B721),IF(COUNTIF($B$5:B721,B721)&lt;100,"0"&amp;COUNTIF($B$5:B721,B721),COUNTIF($B$5:B721,B721))))</f>
        <v>VIS_20271026_001</v>
      </c>
      <c r="B721" s="40">
        <v>46686</v>
      </c>
      <c r="C721" s="47" t="str">
        <f t="shared" si="22"/>
        <v>Вт</v>
      </c>
      <c r="I721" s="46"/>
      <c r="J721" s="39">
        <f t="shared" si="23"/>
        <v>46680</v>
      </c>
      <c r="K721" t="str">
        <f ca="1">IF(AND(B721&gt;='План недели'!$B$4,B721&lt;'План недели'!$D$4,D721&lt;&gt;"",G721&lt;&gt;"Отменён"),COUNTIFS($B$5:B721,"&gt;="&amp;'План недели'!$B$4,$B$5:B721,"&lt;"&amp;'План недели'!$D$4,$D$5:D721,"&lt;&gt;",$G$5:G721,"&lt;&gt;Отменён"),"")</f>
        <v/>
      </c>
    </row>
    <row r="722" spans="1:11">
      <c r="A722" t="str">
        <f>IF(B722="","","VIS_"&amp;(YEAR(B722)*10000+MONTH(B722)*100+DAY(B722))&amp;"_"&amp;IF(COUNTIF($B$5:B722,B722)&lt;10,"00"&amp;COUNTIF($B$5:B722,B722),IF(COUNTIF($B$5:B722,B722)&lt;100,"0"&amp;COUNTIF($B$5:B722,B722),COUNTIF($B$5:B722,B722))))</f>
        <v>VIS_20271027_001</v>
      </c>
      <c r="B722" s="40">
        <v>46687</v>
      </c>
      <c r="C722" s="47" t="str">
        <f t="shared" si="22"/>
        <v>Ср</v>
      </c>
      <c r="I722" s="46"/>
      <c r="J722" s="39">
        <f t="shared" si="23"/>
        <v>46687</v>
      </c>
      <c r="K722" t="str">
        <f ca="1">IF(AND(B722&gt;='План недели'!$B$4,B722&lt;'План недели'!$D$4,D722&lt;&gt;"",G722&lt;&gt;"Отменён"),COUNTIFS($B$5:B722,"&gt;="&amp;'План недели'!$B$4,$B$5:B722,"&lt;"&amp;'План недели'!$D$4,$D$5:D722,"&lt;&gt;",$G$5:G722,"&lt;&gt;Отменён"),"")</f>
        <v/>
      </c>
    </row>
    <row r="723" spans="1:11">
      <c r="A723" t="str">
        <f>IF(B723="","","VIS_"&amp;(YEAR(B723)*10000+MONTH(B723)*100+DAY(B723))&amp;"_"&amp;IF(COUNTIF($B$5:B723,B723)&lt;10,"00"&amp;COUNTIF($B$5:B723,B723),IF(COUNTIF($B$5:B723,B723)&lt;100,"0"&amp;COUNTIF($B$5:B723,B723),COUNTIF($B$5:B723,B723))))</f>
        <v>VIS_20271028_001</v>
      </c>
      <c r="B723" s="40">
        <v>46688</v>
      </c>
      <c r="C723" s="47" t="str">
        <f t="shared" si="22"/>
        <v>Чт</v>
      </c>
      <c r="I723" s="46"/>
      <c r="J723" s="39">
        <f t="shared" si="23"/>
        <v>46687</v>
      </c>
      <c r="K723" t="str">
        <f ca="1">IF(AND(B723&gt;='План недели'!$B$4,B723&lt;'План недели'!$D$4,D723&lt;&gt;"",G723&lt;&gt;"Отменён"),COUNTIFS($B$5:B723,"&gt;="&amp;'План недели'!$B$4,$B$5:B723,"&lt;"&amp;'План недели'!$D$4,$D$5:D723,"&lt;&gt;",$G$5:G723,"&lt;&gt;Отменён"),"")</f>
        <v/>
      </c>
    </row>
    <row r="724" spans="1:11">
      <c r="A724" t="str">
        <f>IF(B724="","","VIS_"&amp;(YEAR(B724)*10000+MONTH(B724)*100+DAY(B724))&amp;"_"&amp;IF(COUNTIF($B$5:B724,B724)&lt;10,"00"&amp;COUNTIF($B$5:B724,B724),IF(COUNTIF($B$5:B724,B724)&lt;100,"0"&amp;COUNTIF($B$5:B724,B724),COUNTIF($B$5:B724,B724))))</f>
        <v>VIS_20271029_001</v>
      </c>
      <c r="B724" s="40">
        <v>46689</v>
      </c>
      <c r="C724" s="47" t="str">
        <f t="shared" si="22"/>
        <v>Пт</v>
      </c>
      <c r="I724" s="46"/>
      <c r="J724" s="39">
        <f t="shared" si="23"/>
        <v>46687</v>
      </c>
      <c r="K724" t="str">
        <f ca="1">IF(AND(B724&gt;='План недели'!$B$4,B724&lt;'План недели'!$D$4,D724&lt;&gt;"",G724&lt;&gt;"Отменён"),COUNTIFS($B$5:B724,"&gt;="&amp;'План недели'!$B$4,$B$5:B724,"&lt;"&amp;'План недели'!$D$4,$D$5:D724,"&lt;&gt;",$G$5:G724,"&lt;&gt;Отменён"),"")</f>
        <v/>
      </c>
    </row>
    <row r="725" spans="1:11">
      <c r="A725" t="str">
        <f>IF(B725="","","VIS_"&amp;(YEAR(B725)*10000+MONTH(B725)*100+DAY(B725))&amp;"_"&amp;IF(COUNTIF($B$5:B725,B725)&lt;10,"00"&amp;COUNTIF($B$5:B725,B725),IF(COUNTIF($B$5:B725,B725)&lt;100,"0"&amp;COUNTIF($B$5:B725,B725),COUNTIF($B$5:B725,B725))))</f>
        <v>VIS_20271030_001</v>
      </c>
      <c r="B725" s="42">
        <v>46690</v>
      </c>
      <c r="C725" s="49" t="str">
        <f t="shared" si="22"/>
        <v>Сб</v>
      </c>
      <c r="I725" s="46"/>
      <c r="J725" s="39">
        <f t="shared" si="23"/>
        <v>46687</v>
      </c>
      <c r="K725" t="str">
        <f ca="1">IF(AND(B725&gt;='План недели'!$B$4,B725&lt;'План недели'!$D$4,D725&lt;&gt;"",G725&lt;&gt;"Отменён"),COUNTIFS($B$5:B725,"&gt;="&amp;'План недели'!$B$4,$B$5:B725,"&lt;"&amp;'План недели'!$D$4,$D$5:D725,"&lt;&gt;",$G$5:G725,"&lt;&gt;Отменён"),"")</f>
        <v/>
      </c>
    </row>
    <row r="726" spans="1:11">
      <c r="A726" t="str">
        <f>IF(B726="","","VIS_"&amp;(YEAR(B726)*10000+MONTH(B726)*100+DAY(B726))&amp;"_"&amp;IF(COUNTIF($B$5:B726,B726)&lt;10,"00"&amp;COUNTIF($B$5:B726,B726),IF(COUNTIF($B$5:B726,B726)&lt;100,"0"&amp;COUNTIF($B$5:B726,B726),COUNTIF($B$5:B726,B726))))</f>
        <v>VIS_20271031_001</v>
      </c>
      <c r="B726" s="42">
        <v>46691</v>
      </c>
      <c r="C726" s="49" t="str">
        <f t="shared" si="22"/>
        <v>Вс</v>
      </c>
      <c r="I726" s="46"/>
      <c r="J726" s="39">
        <f t="shared" si="23"/>
        <v>46687</v>
      </c>
      <c r="K726" t="str">
        <f ca="1">IF(AND(B726&gt;='План недели'!$B$4,B726&lt;'План недели'!$D$4,D726&lt;&gt;"",G726&lt;&gt;"Отменён"),COUNTIFS($B$5:B726,"&gt;="&amp;'План недели'!$B$4,$B$5:B726,"&lt;"&amp;'План недели'!$D$4,$D$5:D726,"&lt;&gt;",$G$5:G726,"&lt;&gt;Отменён"),"")</f>
        <v/>
      </c>
    </row>
    <row r="727" spans="1:11">
      <c r="A727" t="str">
        <f>IF(B727="","","VIS_"&amp;(YEAR(B727)*10000+MONTH(B727)*100+DAY(B727))&amp;"_"&amp;IF(COUNTIF($B$5:B727,B727)&lt;10,"00"&amp;COUNTIF($B$5:B727,B727),IF(COUNTIF($B$5:B727,B727)&lt;100,"0"&amp;COUNTIF($B$5:B727,B727),COUNTIF($B$5:B727,B727))))</f>
        <v>VIS_20271101_001</v>
      </c>
      <c r="B727" s="40">
        <v>46692</v>
      </c>
      <c r="C727" s="47" t="str">
        <f t="shared" si="22"/>
        <v>Пн</v>
      </c>
      <c r="I727" s="46"/>
      <c r="J727" s="39">
        <f t="shared" si="23"/>
        <v>46687</v>
      </c>
      <c r="K727" t="str">
        <f ca="1">IF(AND(B727&gt;='План недели'!$B$4,B727&lt;'План недели'!$D$4,D727&lt;&gt;"",G727&lt;&gt;"Отменён"),COUNTIFS($B$5:B727,"&gt;="&amp;'План недели'!$B$4,$B$5:B727,"&lt;"&amp;'План недели'!$D$4,$D$5:D727,"&lt;&gt;",$G$5:G727,"&lt;&gt;Отменён"),"")</f>
        <v/>
      </c>
    </row>
    <row r="728" spans="1:11">
      <c r="A728" t="str">
        <f>IF(B728="","","VIS_"&amp;(YEAR(B728)*10000+MONTH(B728)*100+DAY(B728))&amp;"_"&amp;IF(COUNTIF($B$5:B728,B728)&lt;10,"00"&amp;COUNTIF($B$5:B728,B728),IF(COUNTIF($B$5:B728,B728)&lt;100,"0"&amp;COUNTIF($B$5:B728,B728),COUNTIF($B$5:B728,B728))))</f>
        <v>VIS_20271102_001</v>
      </c>
      <c r="B728" s="40">
        <v>46693</v>
      </c>
      <c r="C728" s="47" t="str">
        <f t="shared" si="22"/>
        <v>Вт</v>
      </c>
      <c r="I728" s="46"/>
      <c r="J728" s="39">
        <f t="shared" si="23"/>
        <v>46687</v>
      </c>
      <c r="K728" t="str">
        <f ca="1">IF(AND(B728&gt;='План недели'!$B$4,B728&lt;'План недели'!$D$4,D728&lt;&gt;"",G728&lt;&gt;"Отменён"),COUNTIFS($B$5:B728,"&gt;="&amp;'План недели'!$B$4,$B$5:B728,"&lt;"&amp;'План недели'!$D$4,$D$5:D728,"&lt;&gt;",$G$5:G728,"&lt;&gt;Отменён"),"")</f>
        <v/>
      </c>
    </row>
    <row r="729" spans="1:11">
      <c r="A729" t="str">
        <f>IF(B729="","","VIS_"&amp;(YEAR(B729)*10000+MONTH(B729)*100+DAY(B729))&amp;"_"&amp;IF(COUNTIF($B$5:B729,B729)&lt;10,"00"&amp;COUNTIF($B$5:B729,B729),IF(COUNTIF($B$5:B729,B729)&lt;100,"0"&amp;COUNTIF($B$5:B729,B729),COUNTIF($B$5:B729,B729))))</f>
        <v>VIS_20271103_001</v>
      </c>
      <c r="B729" s="40">
        <v>46694</v>
      </c>
      <c r="C729" s="47" t="str">
        <f t="shared" si="22"/>
        <v>Ср</v>
      </c>
      <c r="I729" s="46"/>
      <c r="J729" s="39">
        <f t="shared" si="23"/>
        <v>46694</v>
      </c>
      <c r="K729" t="str">
        <f ca="1">IF(AND(B729&gt;='План недели'!$B$4,B729&lt;'План недели'!$D$4,D729&lt;&gt;"",G729&lt;&gt;"Отменён"),COUNTIFS($B$5:B729,"&gt;="&amp;'План недели'!$B$4,$B$5:B729,"&lt;"&amp;'План недели'!$D$4,$D$5:D729,"&lt;&gt;",$G$5:G729,"&lt;&gt;Отменён"),"")</f>
        <v/>
      </c>
    </row>
    <row r="730" spans="1:11">
      <c r="A730" t="str">
        <f>IF(B730="","","VIS_"&amp;(YEAR(B730)*10000+MONTH(B730)*100+DAY(B730))&amp;"_"&amp;IF(COUNTIF($B$5:B730,B730)&lt;10,"00"&amp;COUNTIF($B$5:B730,B730),IF(COUNTIF($B$5:B730,B730)&lt;100,"0"&amp;COUNTIF($B$5:B730,B730),COUNTIF($B$5:B730,B730))))</f>
        <v>VIS_20271104_001</v>
      </c>
      <c r="B730" s="40">
        <v>46695</v>
      </c>
      <c r="C730" s="47" t="str">
        <f t="shared" si="22"/>
        <v>Чт</v>
      </c>
      <c r="I730" s="46"/>
      <c r="J730" s="39">
        <f t="shared" si="23"/>
        <v>46694</v>
      </c>
      <c r="K730" t="str">
        <f ca="1">IF(AND(B730&gt;='План недели'!$B$4,B730&lt;'План недели'!$D$4,D730&lt;&gt;"",G730&lt;&gt;"Отменён"),COUNTIFS($B$5:B730,"&gt;="&amp;'План недели'!$B$4,$B$5:B730,"&lt;"&amp;'План недели'!$D$4,$D$5:D730,"&lt;&gt;",$G$5:G730,"&lt;&gt;Отменён"),"")</f>
        <v/>
      </c>
    </row>
    <row r="731" spans="1:11">
      <c r="A731" t="str">
        <f>IF(B731="","","VIS_"&amp;(YEAR(B731)*10000+MONTH(B731)*100+DAY(B731))&amp;"_"&amp;IF(COUNTIF($B$5:B731,B731)&lt;10,"00"&amp;COUNTIF($B$5:B731,B731),IF(COUNTIF($B$5:B731,B731)&lt;100,"0"&amp;COUNTIF($B$5:B731,B731),COUNTIF($B$5:B731,B731))))</f>
        <v>VIS_20271105_001</v>
      </c>
      <c r="B731" s="40">
        <v>46696</v>
      </c>
      <c r="C731" s="47" t="str">
        <f t="shared" si="22"/>
        <v>Пт</v>
      </c>
      <c r="I731" s="46"/>
      <c r="J731" s="39">
        <f t="shared" si="23"/>
        <v>46694</v>
      </c>
      <c r="K731" t="str">
        <f ca="1">IF(AND(B731&gt;='План недели'!$B$4,B731&lt;'План недели'!$D$4,D731&lt;&gt;"",G731&lt;&gt;"Отменён"),COUNTIFS($B$5:B731,"&gt;="&amp;'План недели'!$B$4,$B$5:B731,"&lt;"&amp;'План недели'!$D$4,$D$5:D731,"&lt;&gt;",$G$5:G731,"&lt;&gt;Отменён"),"")</f>
        <v/>
      </c>
    </row>
    <row r="732" spans="1:11">
      <c r="A732" t="str">
        <f>IF(B732="","","VIS_"&amp;(YEAR(B732)*10000+MONTH(B732)*100+DAY(B732))&amp;"_"&amp;IF(COUNTIF($B$5:B732,B732)&lt;10,"00"&amp;COUNTIF($B$5:B732,B732),IF(COUNTIF($B$5:B732,B732)&lt;100,"0"&amp;COUNTIF($B$5:B732,B732),COUNTIF($B$5:B732,B732))))</f>
        <v>VIS_20271106_001</v>
      </c>
      <c r="B732" s="42">
        <v>46697</v>
      </c>
      <c r="C732" s="49" t="str">
        <f t="shared" si="22"/>
        <v>Сб</v>
      </c>
      <c r="I732" s="46"/>
      <c r="J732" s="39">
        <f t="shared" si="23"/>
        <v>46694</v>
      </c>
      <c r="K732" t="str">
        <f ca="1">IF(AND(B732&gt;='План недели'!$B$4,B732&lt;'План недели'!$D$4,D732&lt;&gt;"",G732&lt;&gt;"Отменён"),COUNTIFS($B$5:B732,"&gt;="&amp;'План недели'!$B$4,$B$5:B732,"&lt;"&amp;'План недели'!$D$4,$D$5:D732,"&lt;&gt;",$G$5:G732,"&lt;&gt;Отменён"),"")</f>
        <v/>
      </c>
    </row>
    <row r="733" spans="1:11">
      <c r="A733" t="str">
        <f>IF(B733="","","VIS_"&amp;(YEAR(B733)*10000+MONTH(B733)*100+DAY(B733))&amp;"_"&amp;IF(COUNTIF($B$5:B733,B733)&lt;10,"00"&amp;COUNTIF($B$5:B733,B733),IF(COUNTIF($B$5:B733,B733)&lt;100,"0"&amp;COUNTIF($B$5:B733,B733),COUNTIF($B$5:B733,B733))))</f>
        <v>VIS_20271107_001</v>
      </c>
      <c r="B733" s="42">
        <v>46698</v>
      </c>
      <c r="C733" s="49" t="str">
        <f t="shared" si="22"/>
        <v>Вс</v>
      </c>
      <c r="I733" s="46"/>
      <c r="J733" s="39">
        <f t="shared" si="23"/>
        <v>46694</v>
      </c>
      <c r="K733" t="str">
        <f ca="1">IF(AND(B733&gt;='План недели'!$B$4,B733&lt;'План недели'!$D$4,D733&lt;&gt;"",G733&lt;&gt;"Отменён"),COUNTIFS($B$5:B733,"&gt;="&amp;'План недели'!$B$4,$B$5:B733,"&lt;"&amp;'План недели'!$D$4,$D$5:D733,"&lt;&gt;",$G$5:G733,"&lt;&gt;Отменён"),"")</f>
        <v/>
      </c>
    </row>
    <row r="734" spans="1:11">
      <c r="A734" t="str">
        <f>IF(B734="","","VIS_"&amp;(YEAR(B734)*10000+MONTH(B734)*100+DAY(B734))&amp;"_"&amp;IF(COUNTIF($B$5:B734,B734)&lt;10,"00"&amp;COUNTIF($B$5:B734,B734),IF(COUNTIF($B$5:B734,B734)&lt;100,"0"&amp;COUNTIF($B$5:B734,B734),COUNTIF($B$5:B734,B734))))</f>
        <v>VIS_20271108_001</v>
      </c>
      <c r="B734" s="40">
        <v>46699</v>
      </c>
      <c r="C734" s="47" t="str">
        <f t="shared" si="22"/>
        <v>Пн</v>
      </c>
      <c r="I734" s="46"/>
      <c r="J734" s="39">
        <f t="shared" si="23"/>
        <v>46694</v>
      </c>
      <c r="K734" t="str">
        <f ca="1">IF(AND(B734&gt;='План недели'!$B$4,B734&lt;'План недели'!$D$4,D734&lt;&gt;"",G734&lt;&gt;"Отменён"),COUNTIFS($B$5:B734,"&gt;="&amp;'План недели'!$B$4,$B$5:B734,"&lt;"&amp;'План недели'!$D$4,$D$5:D734,"&lt;&gt;",$G$5:G734,"&lt;&gt;Отменён"),"")</f>
        <v/>
      </c>
    </row>
    <row r="735" spans="1:11">
      <c r="A735" t="str">
        <f>IF(B735="","","VIS_"&amp;(YEAR(B735)*10000+MONTH(B735)*100+DAY(B735))&amp;"_"&amp;IF(COUNTIF($B$5:B735,B735)&lt;10,"00"&amp;COUNTIF($B$5:B735,B735),IF(COUNTIF($B$5:B735,B735)&lt;100,"0"&amp;COUNTIF($B$5:B735,B735),COUNTIF($B$5:B735,B735))))</f>
        <v>VIS_20271109_001</v>
      </c>
      <c r="B735" s="40">
        <v>46700</v>
      </c>
      <c r="C735" s="47" t="str">
        <f t="shared" si="22"/>
        <v>Вт</v>
      </c>
      <c r="I735" s="46"/>
      <c r="J735" s="39">
        <f t="shared" si="23"/>
        <v>46694</v>
      </c>
      <c r="K735" t="str">
        <f ca="1">IF(AND(B735&gt;='План недели'!$B$4,B735&lt;'План недели'!$D$4,D735&lt;&gt;"",G735&lt;&gt;"Отменён"),COUNTIFS($B$5:B735,"&gt;="&amp;'План недели'!$B$4,$B$5:B735,"&lt;"&amp;'План недели'!$D$4,$D$5:D735,"&lt;&gt;",$G$5:G735,"&lt;&gt;Отменён"),"")</f>
        <v/>
      </c>
    </row>
    <row r="736" spans="1:11">
      <c r="A736" t="str">
        <f>IF(B736="","","VIS_"&amp;(YEAR(B736)*10000+MONTH(B736)*100+DAY(B736))&amp;"_"&amp;IF(COUNTIF($B$5:B736,B736)&lt;10,"00"&amp;COUNTIF($B$5:B736,B736),IF(COUNTIF($B$5:B736,B736)&lt;100,"0"&amp;COUNTIF($B$5:B736,B736),COUNTIF($B$5:B736,B736))))</f>
        <v>VIS_20271110_001</v>
      </c>
      <c r="B736" s="40">
        <v>46701</v>
      </c>
      <c r="C736" s="47" t="str">
        <f t="shared" si="22"/>
        <v>Ср</v>
      </c>
      <c r="I736" s="46"/>
      <c r="J736" s="39">
        <f t="shared" si="23"/>
        <v>46701</v>
      </c>
      <c r="K736" t="str">
        <f ca="1">IF(AND(B736&gt;='План недели'!$B$4,B736&lt;'План недели'!$D$4,D736&lt;&gt;"",G736&lt;&gt;"Отменён"),COUNTIFS($B$5:B736,"&gt;="&amp;'План недели'!$B$4,$B$5:B736,"&lt;"&amp;'План недели'!$D$4,$D$5:D736,"&lt;&gt;",$G$5:G736,"&lt;&gt;Отменён"),"")</f>
        <v/>
      </c>
    </row>
    <row r="737" spans="1:11">
      <c r="A737" t="str">
        <f>IF(B737="","","VIS_"&amp;(YEAR(B737)*10000+MONTH(B737)*100+DAY(B737))&amp;"_"&amp;IF(COUNTIF($B$5:B737,B737)&lt;10,"00"&amp;COUNTIF($B$5:B737,B737),IF(COUNTIF($B$5:B737,B737)&lt;100,"0"&amp;COUNTIF($B$5:B737,B737),COUNTIF($B$5:B737,B737))))</f>
        <v>VIS_20271111_001</v>
      </c>
      <c r="B737" s="40">
        <v>46702</v>
      </c>
      <c r="C737" s="47" t="str">
        <f t="shared" si="22"/>
        <v>Чт</v>
      </c>
      <c r="I737" s="46"/>
      <c r="J737" s="39">
        <f t="shared" si="23"/>
        <v>46701</v>
      </c>
      <c r="K737" t="str">
        <f ca="1">IF(AND(B737&gt;='План недели'!$B$4,B737&lt;'План недели'!$D$4,D737&lt;&gt;"",G737&lt;&gt;"Отменён"),COUNTIFS($B$5:B737,"&gt;="&amp;'План недели'!$B$4,$B$5:B737,"&lt;"&amp;'План недели'!$D$4,$D$5:D737,"&lt;&gt;",$G$5:G737,"&lt;&gt;Отменён"),"")</f>
        <v/>
      </c>
    </row>
    <row r="738" spans="1:11">
      <c r="A738" t="str">
        <f>IF(B738="","","VIS_"&amp;(YEAR(B738)*10000+MONTH(B738)*100+DAY(B738))&amp;"_"&amp;IF(COUNTIF($B$5:B738,B738)&lt;10,"00"&amp;COUNTIF($B$5:B738,B738),IF(COUNTIF($B$5:B738,B738)&lt;100,"0"&amp;COUNTIF($B$5:B738,B738),COUNTIF($B$5:B738,B738))))</f>
        <v>VIS_20271112_001</v>
      </c>
      <c r="B738" s="40">
        <v>46703</v>
      </c>
      <c r="C738" s="47" t="str">
        <f t="shared" si="22"/>
        <v>Пт</v>
      </c>
      <c r="I738" s="46"/>
      <c r="J738" s="39">
        <f t="shared" si="23"/>
        <v>46701</v>
      </c>
      <c r="K738" t="str">
        <f ca="1">IF(AND(B738&gt;='План недели'!$B$4,B738&lt;'План недели'!$D$4,D738&lt;&gt;"",G738&lt;&gt;"Отменён"),COUNTIFS($B$5:B738,"&gt;="&amp;'План недели'!$B$4,$B$5:B738,"&lt;"&amp;'План недели'!$D$4,$D$5:D738,"&lt;&gt;",$G$5:G738,"&lt;&gt;Отменён"),"")</f>
        <v/>
      </c>
    </row>
    <row r="739" spans="1:11">
      <c r="A739" t="str">
        <f>IF(B739="","","VIS_"&amp;(YEAR(B739)*10000+MONTH(B739)*100+DAY(B739))&amp;"_"&amp;IF(COUNTIF($B$5:B739,B739)&lt;10,"00"&amp;COUNTIF($B$5:B739,B739),IF(COUNTIF($B$5:B739,B739)&lt;100,"0"&amp;COUNTIF($B$5:B739,B739),COUNTIF($B$5:B739,B739))))</f>
        <v>VIS_20271113_001</v>
      </c>
      <c r="B739" s="42">
        <v>46704</v>
      </c>
      <c r="C739" s="49" t="str">
        <f t="shared" si="22"/>
        <v>Сб</v>
      </c>
      <c r="I739" s="46"/>
      <c r="J739" s="39">
        <f t="shared" si="23"/>
        <v>46701</v>
      </c>
      <c r="K739" t="str">
        <f ca="1">IF(AND(B739&gt;='План недели'!$B$4,B739&lt;'План недели'!$D$4,D739&lt;&gt;"",G739&lt;&gt;"Отменён"),COUNTIFS($B$5:B739,"&gt;="&amp;'План недели'!$B$4,$B$5:B739,"&lt;"&amp;'План недели'!$D$4,$D$5:D739,"&lt;&gt;",$G$5:G739,"&lt;&gt;Отменён"),"")</f>
        <v/>
      </c>
    </row>
    <row r="740" spans="1:11">
      <c r="A740" t="str">
        <f>IF(B740="","","VIS_"&amp;(YEAR(B740)*10000+MONTH(B740)*100+DAY(B740))&amp;"_"&amp;IF(COUNTIF($B$5:B740,B740)&lt;10,"00"&amp;COUNTIF($B$5:B740,B740),IF(COUNTIF($B$5:B740,B740)&lt;100,"0"&amp;COUNTIF($B$5:B740,B740),COUNTIF($B$5:B740,B740))))</f>
        <v>VIS_20271114_001</v>
      </c>
      <c r="B740" s="42">
        <v>46705</v>
      </c>
      <c r="C740" s="49" t="str">
        <f t="shared" si="22"/>
        <v>Вс</v>
      </c>
      <c r="I740" s="46"/>
      <c r="J740" s="39">
        <f t="shared" si="23"/>
        <v>46701</v>
      </c>
      <c r="K740" t="str">
        <f ca="1">IF(AND(B740&gt;='План недели'!$B$4,B740&lt;'План недели'!$D$4,D740&lt;&gt;"",G740&lt;&gt;"Отменён"),COUNTIFS($B$5:B740,"&gt;="&amp;'План недели'!$B$4,$B$5:B740,"&lt;"&amp;'План недели'!$D$4,$D$5:D740,"&lt;&gt;",$G$5:G740,"&lt;&gt;Отменён"),"")</f>
        <v/>
      </c>
    </row>
    <row r="741" spans="1:11">
      <c r="A741" t="str">
        <f>IF(B741="","","VIS_"&amp;(YEAR(B741)*10000+MONTH(B741)*100+DAY(B741))&amp;"_"&amp;IF(COUNTIF($B$5:B741,B741)&lt;10,"00"&amp;COUNTIF($B$5:B741,B741),IF(COUNTIF($B$5:B741,B741)&lt;100,"0"&amp;COUNTIF($B$5:B741,B741),COUNTIF($B$5:B741,B741))))</f>
        <v>VIS_20271115_001</v>
      </c>
      <c r="B741" s="40">
        <v>46706</v>
      </c>
      <c r="C741" s="47" t="str">
        <f t="shared" si="22"/>
        <v>Пн</v>
      </c>
      <c r="I741" s="46"/>
      <c r="J741" s="39">
        <f t="shared" si="23"/>
        <v>46701</v>
      </c>
      <c r="K741" t="str">
        <f ca="1">IF(AND(B741&gt;='План недели'!$B$4,B741&lt;'План недели'!$D$4,D741&lt;&gt;"",G741&lt;&gt;"Отменён"),COUNTIFS($B$5:B741,"&gt;="&amp;'План недели'!$B$4,$B$5:B741,"&lt;"&amp;'План недели'!$D$4,$D$5:D741,"&lt;&gt;",$G$5:G741,"&lt;&gt;Отменён"),"")</f>
        <v/>
      </c>
    </row>
    <row r="742" spans="1:11">
      <c r="A742" t="str">
        <f>IF(B742="","","VIS_"&amp;(YEAR(B742)*10000+MONTH(B742)*100+DAY(B742))&amp;"_"&amp;IF(COUNTIF($B$5:B742,B742)&lt;10,"00"&amp;COUNTIF($B$5:B742,B742),IF(COUNTIF($B$5:B742,B742)&lt;100,"0"&amp;COUNTIF($B$5:B742,B742),COUNTIF($B$5:B742,B742))))</f>
        <v>VIS_20271116_001</v>
      </c>
      <c r="B742" s="40">
        <v>46707</v>
      </c>
      <c r="C742" s="47" t="str">
        <f t="shared" si="22"/>
        <v>Вт</v>
      </c>
      <c r="I742" s="46"/>
      <c r="J742" s="39">
        <f t="shared" si="23"/>
        <v>46701</v>
      </c>
      <c r="K742" t="str">
        <f ca="1">IF(AND(B742&gt;='План недели'!$B$4,B742&lt;'План недели'!$D$4,D742&lt;&gt;"",G742&lt;&gt;"Отменён"),COUNTIFS($B$5:B742,"&gt;="&amp;'План недели'!$B$4,$B$5:B742,"&lt;"&amp;'План недели'!$D$4,$D$5:D742,"&lt;&gt;",$G$5:G742,"&lt;&gt;Отменён"),"")</f>
        <v/>
      </c>
    </row>
    <row r="743" spans="1:11">
      <c r="A743" t="str">
        <f>IF(B743="","","VIS_"&amp;(YEAR(B743)*10000+MONTH(B743)*100+DAY(B743))&amp;"_"&amp;IF(COUNTIF($B$5:B743,B743)&lt;10,"00"&amp;COUNTIF($B$5:B743,B743),IF(COUNTIF($B$5:B743,B743)&lt;100,"0"&amp;COUNTIF($B$5:B743,B743),COUNTIF($B$5:B743,B743))))</f>
        <v>VIS_20271117_001</v>
      </c>
      <c r="B743" s="40">
        <v>46708</v>
      </c>
      <c r="C743" s="47" t="str">
        <f t="shared" si="22"/>
        <v>Ср</v>
      </c>
      <c r="I743" s="46"/>
      <c r="J743" s="39">
        <f t="shared" si="23"/>
        <v>46708</v>
      </c>
      <c r="K743" t="str">
        <f ca="1">IF(AND(B743&gt;='План недели'!$B$4,B743&lt;'План недели'!$D$4,D743&lt;&gt;"",G743&lt;&gt;"Отменён"),COUNTIFS($B$5:B743,"&gt;="&amp;'План недели'!$B$4,$B$5:B743,"&lt;"&amp;'План недели'!$D$4,$D$5:D743,"&lt;&gt;",$G$5:G743,"&lt;&gt;Отменён"),"")</f>
        <v/>
      </c>
    </row>
    <row r="744" spans="1:11">
      <c r="A744" t="str">
        <f>IF(B744="","","VIS_"&amp;(YEAR(B744)*10000+MONTH(B744)*100+DAY(B744))&amp;"_"&amp;IF(COUNTIF($B$5:B744,B744)&lt;10,"00"&amp;COUNTIF($B$5:B744,B744),IF(COUNTIF($B$5:B744,B744)&lt;100,"0"&amp;COUNTIF($B$5:B744,B744),COUNTIF($B$5:B744,B744))))</f>
        <v>VIS_20271118_001</v>
      </c>
      <c r="B744" s="40">
        <v>46709</v>
      </c>
      <c r="C744" s="47" t="str">
        <f t="shared" si="22"/>
        <v>Чт</v>
      </c>
      <c r="I744" s="46"/>
      <c r="J744" s="39">
        <f t="shared" si="23"/>
        <v>46708</v>
      </c>
      <c r="K744" t="str">
        <f ca="1">IF(AND(B744&gt;='План недели'!$B$4,B744&lt;'План недели'!$D$4,D744&lt;&gt;"",G744&lt;&gt;"Отменён"),COUNTIFS($B$5:B744,"&gt;="&amp;'План недели'!$B$4,$B$5:B744,"&lt;"&amp;'План недели'!$D$4,$D$5:D744,"&lt;&gt;",$G$5:G744,"&lt;&gt;Отменён"),"")</f>
        <v/>
      </c>
    </row>
    <row r="745" spans="1:11">
      <c r="A745" t="str">
        <f>IF(B745="","","VIS_"&amp;(YEAR(B745)*10000+MONTH(B745)*100+DAY(B745))&amp;"_"&amp;IF(COUNTIF($B$5:B745,B745)&lt;10,"00"&amp;COUNTIF($B$5:B745,B745),IF(COUNTIF($B$5:B745,B745)&lt;100,"0"&amp;COUNTIF($B$5:B745,B745),COUNTIF($B$5:B745,B745))))</f>
        <v>VIS_20271119_001</v>
      </c>
      <c r="B745" s="40">
        <v>46710</v>
      </c>
      <c r="C745" s="47" t="str">
        <f t="shared" si="22"/>
        <v>Пт</v>
      </c>
      <c r="I745" s="46"/>
      <c r="J745" s="39">
        <f t="shared" si="23"/>
        <v>46708</v>
      </c>
      <c r="K745" t="str">
        <f ca="1">IF(AND(B745&gt;='План недели'!$B$4,B745&lt;'План недели'!$D$4,D745&lt;&gt;"",G745&lt;&gt;"Отменён"),COUNTIFS($B$5:B745,"&gt;="&amp;'План недели'!$B$4,$B$5:B745,"&lt;"&amp;'План недели'!$D$4,$D$5:D745,"&lt;&gt;",$G$5:G745,"&lt;&gt;Отменён"),"")</f>
        <v/>
      </c>
    </row>
    <row r="746" spans="1:11">
      <c r="A746" t="str">
        <f>IF(B746="","","VIS_"&amp;(YEAR(B746)*10000+MONTH(B746)*100+DAY(B746))&amp;"_"&amp;IF(COUNTIF($B$5:B746,B746)&lt;10,"00"&amp;COUNTIF($B$5:B746,B746),IF(COUNTIF($B$5:B746,B746)&lt;100,"0"&amp;COUNTIF($B$5:B746,B746),COUNTIF($B$5:B746,B746))))</f>
        <v>VIS_20271120_001</v>
      </c>
      <c r="B746" s="42">
        <v>46711</v>
      </c>
      <c r="C746" s="49" t="str">
        <f t="shared" si="22"/>
        <v>Сб</v>
      </c>
      <c r="I746" s="46"/>
      <c r="J746" s="39">
        <f t="shared" si="23"/>
        <v>46708</v>
      </c>
      <c r="K746" t="str">
        <f ca="1">IF(AND(B746&gt;='План недели'!$B$4,B746&lt;'План недели'!$D$4,D746&lt;&gt;"",G746&lt;&gt;"Отменён"),COUNTIFS($B$5:B746,"&gt;="&amp;'План недели'!$B$4,$B$5:B746,"&lt;"&amp;'План недели'!$D$4,$D$5:D746,"&lt;&gt;",$G$5:G746,"&lt;&gt;Отменён"),"")</f>
        <v/>
      </c>
    </row>
    <row r="747" spans="1:11">
      <c r="A747" t="str">
        <f>IF(B747="","","VIS_"&amp;(YEAR(B747)*10000+MONTH(B747)*100+DAY(B747))&amp;"_"&amp;IF(COUNTIF($B$5:B747,B747)&lt;10,"00"&amp;COUNTIF($B$5:B747,B747),IF(COUNTIF($B$5:B747,B747)&lt;100,"0"&amp;COUNTIF($B$5:B747,B747),COUNTIF($B$5:B747,B747))))</f>
        <v>VIS_20271121_001</v>
      </c>
      <c r="B747" s="42">
        <v>46712</v>
      </c>
      <c r="C747" s="49" t="str">
        <f t="shared" si="22"/>
        <v>Вс</v>
      </c>
      <c r="I747" s="46"/>
      <c r="J747" s="39">
        <f t="shared" si="23"/>
        <v>46708</v>
      </c>
      <c r="K747" t="str">
        <f ca="1">IF(AND(B747&gt;='План недели'!$B$4,B747&lt;'План недели'!$D$4,D747&lt;&gt;"",G747&lt;&gt;"Отменён"),COUNTIFS($B$5:B747,"&gt;="&amp;'План недели'!$B$4,$B$5:B747,"&lt;"&amp;'План недели'!$D$4,$D$5:D747,"&lt;&gt;",$G$5:G747,"&lt;&gt;Отменён"),"")</f>
        <v/>
      </c>
    </row>
    <row r="748" spans="1:11">
      <c r="A748" t="str">
        <f>IF(B748="","","VIS_"&amp;(YEAR(B748)*10000+MONTH(B748)*100+DAY(B748))&amp;"_"&amp;IF(COUNTIF($B$5:B748,B748)&lt;10,"00"&amp;COUNTIF($B$5:B748,B748),IF(COUNTIF($B$5:B748,B748)&lt;100,"0"&amp;COUNTIF($B$5:B748,B748),COUNTIF($B$5:B748,B748))))</f>
        <v>VIS_20271122_001</v>
      </c>
      <c r="B748" s="40">
        <v>46713</v>
      </c>
      <c r="C748" s="47" t="str">
        <f t="shared" si="22"/>
        <v>Пн</v>
      </c>
      <c r="I748" s="46"/>
      <c r="J748" s="39">
        <f t="shared" si="23"/>
        <v>46708</v>
      </c>
      <c r="K748" t="str">
        <f ca="1">IF(AND(B748&gt;='План недели'!$B$4,B748&lt;'План недели'!$D$4,D748&lt;&gt;"",G748&lt;&gt;"Отменён"),COUNTIFS($B$5:B748,"&gt;="&amp;'План недели'!$B$4,$B$5:B748,"&lt;"&amp;'План недели'!$D$4,$D$5:D748,"&lt;&gt;",$G$5:G748,"&lt;&gt;Отменён"),"")</f>
        <v/>
      </c>
    </row>
    <row r="749" spans="1:11">
      <c r="A749" t="str">
        <f>IF(B749="","","VIS_"&amp;(YEAR(B749)*10000+MONTH(B749)*100+DAY(B749))&amp;"_"&amp;IF(COUNTIF($B$5:B749,B749)&lt;10,"00"&amp;COUNTIF($B$5:B749,B749),IF(COUNTIF($B$5:B749,B749)&lt;100,"0"&amp;COUNTIF($B$5:B749,B749),COUNTIF($B$5:B749,B749))))</f>
        <v>VIS_20271123_001</v>
      </c>
      <c r="B749" s="40">
        <v>46714</v>
      </c>
      <c r="C749" s="47" t="str">
        <f t="shared" si="22"/>
        <v>Вт</v>
      </c>
      <c r="I749" s="46"/>
      <c r="J749" s="39">
        <f t="shared" si="23"/>
        <v>46708</v>
      </c>
      <c r="K749" t="str">
        <f ca="1">IF(AND(B749&gt;='План недели'!$B$4,B749&lt;'План недели'!$D$4,D749&lt;&gt;"",G749&lt;&gt;"Отменён"),COUNTIFS($B$5:B749,"&gt;="&amp;'План недели'!$B$4,$B$5:B749,"&lt;"&amp;'План недели'!$D$4,$D$5:D749,"&lt;&gt;",$G$5:G749,"&lt;&gt;Отменён"),"")</f>
        <v/>
      </c>
    </row>
    <row r="750" spans="1:11">
      <c r="A750" t="str">
        <f>IF(B750="","","VIS_"&amp;(YEAR(B750)*10000+MONTH(B750)*100+DAY(B750))&amp;"_"&amp;IF(COUNTIF($B$5:B750,B750)&lt;10,"00"&amp;COUNTIF($B$5:B750,B750),IF(COUNTIF($B$5:B750,B750)&lt;100,"0"&amp;COUNTIF($B$5:B750,B750),COUNTIF($B$5:B750,B750))))</f>
        <v>VIS_20271124_001</v>
      </c>
      <c r="B750" s="40">
        <v>46715</v>
      </c>
      <c r="C750" s="47" t="str">
        <f t="shared" si="22"/>
        <v>Ср</v>
      </c>
      <c r="I750" s="46"/>
      <c r="J750" s="39">
        <f t="shared" si="23"/>
        <v>46715</v>
      </c>
      <c r="K750" t="str">
        <f ca="1">IF(AND(B750&gt;='План недели'!$B$4,B750&lt;'План недели'!$D$4,D750&lt;&gt;"",G750&lt;&gt;"Отменён"),COUNTIFS($B$5:B750,"&gt;="&amp;'План недели'!$B$4,$B$5:B750,"&lt;"&amp;'План недели'!$D$4,$D$5:D750,"&lt;&gt;",$G$5:G750,"&lt;&gt;Отменён"),"")</f>
        <v/>
      </c>
    </row>
    <row r="751" spans="1:11">
      <c r="A751" t="str">
        <f>IF(B751="","","VIS_"&amp;(YEAR(B751)*10000+MONTH(B751)*100+DAY(B751))&amp;"_"&amp;IF(COUNTIF($B$5:B751,B751)&lt;10,"00"&amp;COUNTIF($B$5:B751,B751),IF(COUNTIF($B$5:B751,B751)&lt;100,"0"&amp;COUNTIF($B$5:B751,B751),COUNTIF($B$5:B751,B751))))</f>
        <v>VIS_20271125_001</v>
      </c>
      <c r="B751" s="40">
        <v>46716</v>
      </c>
      <c r="C751" s="47" t="str">
        <f t="shared" si="22"/>
        <v>Чт</v>
      </c>
      <c r="I751" s="46"/>
      <c r="J751" s="39">
        <f t="shared" si="23"/>
        <v>46715</v>
      </c>
      <c r="K751" t="str">
        <f ca="1">IF(AND(B751&gt;='План недели'!$B$4,B751&lt;'План недели'!$D$4,D751&lt;&gt;"",G751&lt;&gt;"Отменён"),COUNTIFS($B$5:B751,"&gt;="&amp;'План недели'!$B$4,$B$5:B751,"&lt;"&amp;'План недели'!$D$4,$D$5:D751,"&lt;&gt;",$G$5:G751,"&lt;&gt;Отменён"),"")</f>
        <v/>
      </c>
    </row>
    <row r="752" spans="1:11">
      <c r="A752" t="str">
        <f>IF(B752="","","VIS_"&amp;(YEAR(B752)*10000+MONTH(B752)*100+DAY(B752))&amp;"_"&amp;IF(COUNTIF($B$5:B752,B752)&lt;10,"00"&amp;COUNTIF($B$5:B752,B752),IF(COUNTIF($B$5:B752,B752)&lt;100,"0"&amp;COUNTIF($B$5:B752,B752),COUNTIF($B$5:B752,B752))))</f>
        <v>VIS_20271126_001</v>
      </c>
      <c r="B752" s="40">
        <v>46717</v>
      </c>
      <c r="C752" s="47" t="str">
        <f t="shared" si="22"/>
        <v>Пт</v>
      </c>
      <c r="I752" s="46"/>
      <c r="J752" s="39">
        <f t="shared" si="23"/>
        <v>46715</v>
      </c>
      <c r="K752" t="str">
        <f ca="1">IF(AND(B752&gt;='План недели'!$B$4,B752&lt;'План недели'!$D$4,D752&lt;&gt;"",G752&lt;&gt;"Отменён"),COUNTIFS($B$5:B752,"&gt;="&amp;'План недели'!$B$4,$B$5:B752,"&lt;"&amp;'План недели'!$D$4,$D$5:D752,"&lt;&gt;",$G$5:G752,"&lt;&gt;Отменён"),"")</f>
        <v/>
      </c>
    </row>
    <row r="753" spans="1:11">
      <c r="A753" t="str">
        <f>IF(B753="","","VIS_"&amp;(YEAR(B753)*10000+MONTH(B753)*100+DAY(B753))&amp;"_"&amp;IF(COUNTIF($B$5:B753,B753)&lt;10,"00"&amp;COUNTIF($B$5:B753,B753),IF(COUNTIF($B$5:B753,B753)&lt;100,"0"&amp;COUNTIF($B$5:B753,B753),COUNTIF($B$5:B753,B753))))</f>
        <v>VIS_20271127_001</v>
      </c>
      <c r="B753" s="42">
        <v>46718</v>
      </c>
      <c r="C753" s="49" t="str">
        <f t="shared" si="22"/>
        <v>Сб</v>
      </c>
      <c r="I753" s="46"/>
      <c r="J753" s="39">
        <f t="shared" si="23"/>
        <v>46715</v>
      </c>
      <c r="K753" t="str">
        <f ca="1">IF(AND(B753&gt;='План недели'!$B$4,B753&lt;'План недели'!$D$4,D753&lt;&gt;"",G753&lt;&gt;"Отменён"),COUNTIFS($B$5:B753,"&gt;="&amp;'План недели'!$B$4,$B$5:B753,"&lt;"&amp;'План недели'!$D$4,$D$5:D753,"&lt;&gt;",$G$5:G753,"&lt;&gt;Отменён"),"")</f>
        <v/>
      </c>
    </row>
    <row r="754" spans="1:11">
      <c r="A754" t="str">
        <f>IF(B754="","","VIS_"&amp;(YEAR(B754)*10000+MONTH(B754)*100+DAY(B754))&amp;"_"&amp;IF(COUNTIF($B$5:B754,B754)&lt;10,"00"&amp;COUNTIF($B$5:B754,B754),IF(COUNTIF($B$5:B754,B754)&lt;100,"0"&amp;COUNTIF($B$5:B754,B754),COUNTIF($B$5:B754,B754))))</f>
        <v>VIS_20271128_001</v>
      </c>
      <c r="B754" s="42">
        <v>46719</v>
      </c>
      <c r="C754" s="49" t="str">
        <f t="shared" si="22"/>
        <v>Вс</v>
      </c>
      <c r="I754" s="46"/>
      <c r="J754" s="39">
        <f t="shared" si="23"/>
        <v>46715</v>
      </c>
      <c r="K754" t="str">
        <f ca="1">IF(AND(B754&gt;='План недели'!$B$4,B754&lt;'План недели'!$D$4,D754&lt;&gt;"",G754&lt;&gt;"Отменён"),COUNTIFS($B$5:B754,"&gt;="&amp;'План недели'!$B$4,$B$5:B754,"&lt;"&amp;'План недели'!$D$4,$D$5:D754,"&lt;&gt;",$G$5:G754,"&lt;&gt;Отменён"),"")</f>
        <v/>
      </c>
    </row>
    <row r="755" spans="1:11">
      <c r="A755" t="str">
        <f>IF(B755="","","VIS_"&amp;(YEAR(B755)*10000+MONTH(B755)*100+DAY(B755))&amp;"_"&amp;IF(COUNTIF($B$5:B755,B755)&lt;10,"00"&amp;COUNTIF($B$5:B755,B755),IF(COUNTIF($B$5:B755,B755)&lt;100,"0"&amp;COUNTIF($B$5:B755,B755),COUNTIF($B$5:B755,B755))))</f>
        <v>VIS_20271129_001</v>
      </c>
      <c r="B755" s="40">
        <v>46720</v>
      </c>
      <c r="C755" s="47" t="str">
        <f t="shared" si="22"/>
        <v>Пн</v>
      </c>
      <c r="I755" s="46"/>
      <c r="J755" s="39">
        <f t="shared" si="23"/>
        <v>46715</v>
      </c>
      <c r="K755" t="str">
        <f ca="1">IF(AND(B755&gt;='План недели'!$B$4,B755&lt;'План недели'!$D$4,D755&lt;&gt;"",G755&lt;&gt;"Отменён"),COUNTIFS($B$5:B755,"&gt;="&amp;'План недели'!$B$4,$B$5:B755,"&lt;"&amp;'План недели'!$D$4,$D$5:D755,"&lt;&gt;",$G$5:G755,"&lt;&gt;Отменён"),"")</f>
        <v/>
      </c>
    </row>
    <row r="756" spans="1:11">
      <c r="A756" t="str">
        <f>IF(B756="","","VIS_"&amp;(YEAR(B756)*10000+MONTH(B756)*100+DAY(B756))&amp;"_"&amp;IF(COUNTIF($B$5:B756,B756)&lt;10,"00"&amp;COUNTIF($B$5:B756,B756),IF(COUNTIF($B$5:B756,B756)&lt;100,"0"&amp;COUNTIF($B$5:B756,B756),COUNTIF($B$5:B756,B756))))</f>
        <v>VIS_20271130_001</v>
      </c>
      <c r="B756" s="40">
        <v>46721</v>
      </c>
      <c r="C756" s="47" t="str">
        <f t="shared" si="22"/>
        <v>Вт</v>
      </c>
      <c r="I756" s="46"/>
      <c r="J756" s="39">
        <f t="shared" si="23"/>
        <v>46715</v>
      </c>
      <c r="K756" t="str">
        <f ca="1">IF(AND(B756&gt;='План недели'!$B$4,B756&lt;'План недели'!$D$4,D756&lt;&gt;"",G756&lt;&gt;"Отменён"),COUNTIFS($B$5:B756,"&gt;="&amp;'План недели'!$B$4,$B$5:B756,"&lt;"&amp;'План недели'!$D$4,$D$5:D756,"&lt;&gt;",$G$5:G756,"&lt;&gt;Отменён"),"")</f>
        <v/>
      </c>
    </row>
    <row r="757" spans="1:11">
      <c r="A757" t="str">
        <f>IF(B757="","","VIS_"&amp;(YEAR(B757)*10000+MONTH(B757)*100+DAY(B757))&amp;"_"&amp;IF(COUNTIF($B$5:B757,B757)&lt;10,"00"&amp;COUNTIF($B$5:B757,B757),IF(COUNTIF($B$5:B757,B757)&lt;100,"0"&amp;COUNTIF($B$5:B757,B757),COUNTIF($B$5:B757,B757))))</f>
        <v>VIS_20271201_001</v>
      </c>
      <c r="B757" s="40">
        <v>46722</v>
      </c>
      <c r="C757" s="47" t="str">
        <f t="shared" si="22"/>
        <v>Ср</v>
      </c>
      <c r="I757" s="46"/>
      <c r="J757" s="39">
        <f t="shared" si="23"/>
        <v>46722</v>
      </c>
      <c r="K757" t="str">
        <f ca="1">IF(AND(B757&gt;='План недели'!$B$4,B757&lt;'План недели'!$D$4,D757&lt;&gt;"",G757&lt;&gt;"Отменён"),COUNTIFS($B$5:B757,"&gt;="&amp;'План недели'!$B$4,$B$5:B757,"&lt;"&amp;'План недели'!$D$4,$D$5:D757,"&lt;&gt;",$G$5:G757,"&lt;&gt;Отменён"),"")</f>
        <v/>
      </c>
    </row>
    <row r="758" spans="1:11">
      <c r="A758" t="str">
        <f>IF(B758="","","VIS_"&amp;(YEAR(B758)*10000+MONTH(B758)*100+DAY(B758))&amp;"_"&amp;IF(COUNTIF($B$5:B758,B758)&lt;10,"00"&amp;COUNTIF($B$5:B758,B758),IF(COUNTIF($B$5:B758,B758)&lt;100,"0"&amp;COUNTIF($B$5:B758,B758),COUNTIF($B$5:B758,B758))))</f>
        <v>VIS_20271202_001</v>
      </c>
      <c r="B758" s="40">
        <v>46723</v>
      </c>
      <c r="C758" s="47" t="str">
        <f t="shared" si="22"/>
        <v>Чт</v>
      </c>
      <c r="I758" s="46"/>
      <c r="J758" s="39">
        <f t="shared" si="23"/>
        <v>46722</v>
      </c>
      <c r="K758" t="str">
        <f ca="1">IF(AND(B758&gt;='План недели'!$B$4,B758&lt;'План недели'!$D$4,D758&lt;&gt;"",G758&lt;&gt;"Отменён"),COUNTIFS($B$5:B758,"&gt;="&amp;'План недели'!$B$4,$B$5:B758,"&lt;"&amp;'План недели'!$D$4,$D$5:D758,"&lt;&gt;",$G$5:G758,"&lt;&gt;Отменён"),"")</f>
        <v/>
      </c>
    </row>
    <row r="759" spans="1:11">
      <c r="A759" t="str">
        <f>IF(B759="","","VIS_"&amp;(YEAR(B759)*10000+MONTH(B759)*100+DAY(B759))&amp;"_"&amp;IF(COUNTIF($B$5:B759,B759)&lt;10,"00"&amp;COUNTIF($B$5:B759,B759),IF(COUNTIF($B$5:B759,B759)&lt;100,"0"&amp;COUNTIF($B$5:B759,B759),COUNTIF($B$5:B759,B759))))</f>
        <v>VIS_20271203_001</v>
      </c>
      <c r="B759" s="40">
        <v>46724</v>
      </c>
      <c r="C759" s="47" t="str">
        <f t="shared" si="22"/>
        <v>Пт</v>
      </c>
      <c r="I759" s="46"/>
      <c r="J759" s="39">
        <f t="shared" si="23"/>
        <v>46722</v>
      </c>
      <c r="K759" t="str">
        <f ca="1">IF(AND(B759&gt;='План недели'!$B$4,B759&lt;'План недели'!$D$4,D759&lt;&gt;"",G759&lt;&gt;"Отменён"),COUNTIFS($B$5:B759,"&gt;="&amp;'План недели'!$B$4,$B$5:B759,"&lt;"&amp;'План недели'!$D$4,$D$5:D759,"&lt;&gt;",$G$5:G759,"&lt;&gt;Отменён"),"")</f>
        <v/>
      </c>
    </row>
    <row r="760" spans="1:11">
      <c r="A760" t="str">
        <f>IF(B760="","","VIS_"&amp;(YEAR(B760)*10000+MONTH(B760)*100+DAY(B760))&amp;"_"&amp;IF(COUNTIF($B$5:B760,B760)&lt;10,"00"&amp;COUNTIF($B$5:B760,B760),IF(COUNTIF($B$5:B760,B760)&lt;100,"0"&amp;COUNTIF($B$5:B760,B760),COUNTIF($B$5:B760,B760))))</f>
        <v>VIS_20271204_001</v>
      </c>
      <c r="B760" s="42">
        <v>46725</v>
      </c>
      <c r="C760" s="49" t="str">
        <f t="shared" si="22"/>
        <v>Сб</v>
      </c>
      <c r="I760" s="46"/>
      <c r="J760" s="39">
        <f t="shared" si="23"/>
        <v>46722</v>
      </c>
      <c r="K760" t="str">
        <f ca="1">IF(AND(B760&gt;='План недели'!$B$4,B760&lt;'План недели'!$D$4,D760&lt;&gt;"",G760&lt;&gt;"Отменён"),COUNTIFS($B$5:B760,"&gt;="&amp;'План недели'!$B$4,$B$5:B760,"&lt;"&amp;'План недели'!$D$4,$D$5:D760,"&lt;&gt;",$G$5:G760,"&lt;&gt;Отменён"),"")</f>
        <v/>
      </c>
    </row>
    <row r="761" spans="1:11">
      <c r="A761" t="str">
        <f>IF(B761="","","VIS_"&amp;(YEAR(B761)*10000+MONTH(B761)*100+DAY(B761))&amp;"_"&amp;IF(COUNTIF($B$5:B761,B761)&lt;10,"00"&amp;COUNTIF($B$5:B761,B761),IF(COUNTIF($B$5:B761,B761)&lt;100,"0"&amp;COUNTIF($B$5:B761,B761),COUNTIF($B$5:B761,B761))))</f>
        <v>VIS_20271205_001</v>
      </c>
      <c r="B761" s="42">
        <v>46726</v>
      </c>
      <c r="C761" s="49" t="str">
        <f t="shared" si="22"/>
        <v>Вс</v>
      </c>
      <c r="I761" s="46"/>
      <c r="J761" s="39">
        <f t="shared" si="23"/>
        <v>46722</v>
      </c>
      <c r="K761" t="str">
        <f ca="1">IF(AND(B761&gt;='План недели'!$B$4,B761&lt;'План недели'!$D$4,D761&lt;&gt;"",G761&lt;&gt;"Отменён"),COUNTIFS($B$5:B761,"&gt;="&amp;'План недели'!$B$4,$B$5:B761,"&lt;"&amp;'План недели'!$D$4,$D$5:D761,"&lt;&gt;",$G$5:G761,"&lt;&gt;Отменён"),"")</f>
        <v/>
      </c>
    </row>
    <row r="762" spans="1:11">
      <c r="A762" t="str">
        <f>IF(B762="","","VIS_"&amp;(YEAR(B762)*10000+MONTH(B762)*100+DAY(B762))&amp;"_"&amp;IF(COUNTIF($B$5:B762,B762)&lt;10,"00"&amp;COUNTIF($B$5:B762,B762),IF(COUNTIF($B$5:B762,B762)&lt;100,"0"&amp;COUNTIF($B$5:B762,B762),COUNTIF($B$5:B762,B762))))</f>
        <v>VIS_20271206_001</v>
      </c>
      <c r="B762" s="40">
        <v>46727</v>
      </c>
      <c r="C762" s="47" t="str">
        <f t="shared" si="22"/>
        <v>Пн</v>
      </c>
      <c r="I762" s="46"/>
      <c r="J762" s="39">
        <f t="shared" si="23"/>
        <v>46722</v>
      </c>
      <c r="K762" t="str">
        <f ca="1">IF(AND(B762&gt;='План недели'!$B$4,B762&lt;'План недели'!$D$4,D762&lt;&gt;"",G762&lt;&gt;"Отменён"),COUNTIFS($B$5:B762,"&gt;="&amp;'План недели'!$B$4,$B$5:B762,"&lt;"&amp;'План недели'!$D$4,$D$5:D762,"&lt;&gt;",$G$5:G762,"&lt;&gt;Отменён"),"")</f>
        <v/>
      </c>
    </row>
    <row r="763" spans="1:11">
      <c r="A763" t="str">
        <f>IF(B763="","","VIS_"&amp;(YEAR(B763)*10000+MONTH(B763)*100+DAY(B763))&amp;"_"&amp;IF(COUNTIF($B$5:B763,B763)&lt;10,"00"&amp;COUNTIF($B$5:B763,B763),IF(COUNTIF($B$5:B763,B763)&lt;100,"0"&amp;COUNTIF($B$5:B763,B763),COUNTIF($B$5:B763,B763))))</f>
        <v>VIS_20271207_001</v>
      </c>
      <c r="B763" s="40">
        <v>46728</v>
      </c>
      <c r="C763" s="47" t="str">
        <f t="shared" si="22"/>
        <v>Вт</v>
      </c>
      <c r="I763" s="46"/>
      <c r="J763" s="39">
        <f t="shared" si="23"/>
        <v>46722</v>
      </c>
      <c r="K763" t="str">
        <f ca="1">IF(AND(B763&gt;='План недели'!$B$4,B763&lt;'План недели'!$D$4,D763&lt;&gt;"",G763&lt;&gt;"Отменён"),COUNTIFS($B$5:B763,"&gt;="&amp;'План недели'!$B$4,$B$5:B763,"&lt;"&amp;'План недели'!$D$4,$D$5:D763,"&lt;&gt;",$G$5:G763,"&lt;&gt;Отменён"),"")</f>
        <v/>
      </c>
    </row>
    <row r="764" spans="1:11">
      <c r="A764" t="str">
        <f>IF(B764="","","VIS_"&amp;(YEAR(B764)*10000+MONTH(B764)*100+DAY(B764))&amp;"_"&amp;IF(COUNTIF($B$5:B764,B764)&lt;10,"00"&amp;COUNTIF($B$5:B764,B764),IF(COUNTIF($B$5:B764,B764)&lt;100,"0"&amp;COUNTIF($B$5:B764,B764),COUNTIF($B$5:B764,B764))))</f>
        <v>VIS_20271208_001</v>
      </c>
      <c r="B764" s="40">
        <v>46729</v>
      </c>
      <c r="C764" s="47" t="str">
        <f t="shared" si="22"/>
        <v>Ср</v>
      </c>
      <c r="I764" s="46"/>
      <c r="J764" s="39">
        <f t="shared" si="23"/>
        <v>46729</v>
      </c>
      <c r="K764" t="str">
        <f ca="1">IF(AND(B764&gt;='План недели'!$B$4,B764&lt;'План недели'!$D$4,D764&lt;&gt;"",G764&lt;&gt;"Отменён"),COUNTIFS($B$5:B764,"&gt;="&amp;'План недели'!$B$4,$B$5:B764,"&lt;"&amp;'План недели'!$D$4,$D$5:D764,"&lt;&gt;",$G$5:G764,"&lt;&gt;Отменён"),"")</f>
        <v/>
      </c>
    </row>
    <row r="765" spans="1:11">
      <c r="A765" t="str">
        <f>IF(B765="","","VIS_"&amp;(YEAR(B765)*10000+MONTH(B765)*100+DAY(B765))&amp;"_"&amp;IF(COUNTIF($B$5:B765,B765)&lt;10,"00"&amp;COUNTIF($B$5:B765,B765),IF(COUNTIF($B$5:B765,B765)&lt;100,"0"&amp;COUNTIF($B$5:B765,B765),COUNTIF($B$5:B765,B765))))</f>
        <v>VIS_20271209_001</v>
      </c>
      <c r="B765" s="40">
        <v>46730</v>
      </c>
      <c r="C765" s="47" t="str">
        <f t="shared" si="22"/>
        <v>Чт</v>
      </c>
      <c r="I765" s="46"/>
      <c r="J765" s="39">
        <f t="shared" si="23"/>
        <v>46729</v>
      </c>
      <c r="K765" t="str">
        <f ca="1">IF(AND(B765&gt;='План недели'!$B$4,B765&lt;'План недели'!$D$4,D765&lt;&gt;"",G765&lt;&gt;"Отменён"),COUNTIFS($B$5:B765,"&gt;="&amp;'План недели'!$B$4,$B$5:B765,"&lt;"&amp;'План недели'!$D$4,$D$5:D765,"&lt;&gt;",$G$5:G765,"&lt;&gt;Отменён"),"")</f>
        <v/>
      </c>
    </row>
    <row r="766" spans="1:11">
      <c r="A766" t="str">
        <f>IF(B766="","","VIS_"&amp;(YEAR(B766)*10000+MONTH(B766)*100+DAY(B766))&amp;"_"&amp;IF(COUNTIF($B$5:B766,B766)&lt;10,"00"&amp;COUNTIF($B$5:B766,B766),IF(COUNTIF($B$5:B766,B766)&lt;100,"0"&amp;COUNTIF($B$5:B766,B766),COUNTIF($B$5:B766,B766))))</f>
        <v>VIS_20271210_001</v>
      </c>
      <c r="B766" s="40">
        <v>46731</v>
      </c>
      <c r="C766" s="47" t="str">
        <f t="shared" si="22"/>
        <v>Пт</v>
      </c>
      <c r="I766" s="46"/>
      <c r="J766" s="39">
        <f t="shared" si="23"/>
        <v>46729</v>
      </c>
      <c r="K766" t="str">
        <f ca="1">IF(AND(B766&gt;='План недели'!$B$4,B766&lt;'План недели'!$D$4,D766&lt;&gt;"",G766&lt;&gt;"Отменён"),COUNTIFS($B$5:B766,"&gt;="&amp;'План недели'!$B$4,$B$5:B766,"&lt;"&amp;'План недели'!$D$4,$D$5:D766,"&lt;&gt;",$G$5:G766,"&lt;&gt;Отменён"),"")</f>
        <v/>
      </c>
    </row>
    <row r="767" spans="1:11">
      <c r="A767" t="str">
        <f>IF(B767="","","VIS_"&amp;(YEAR(B767)*10000+MONTH(B767)*100+DAY(B767))&amp;"_"&amp;IF(COUNTIF($B$5:B767,B767)&lt;10,"00"&amp;COUNTIF($B$5:B767,B767),IF(COUNTIF($B$5:B767,B767)&lt;100,"0"&amp;COUNTIF($B$5:B767,B767),COUNTIF($B$5:B767,B767))))</f>
        <v>VIS_20271211_001</v>
      </c>
      <c r="B767" s="42">
        <v>46732</v>
      </c>
      <c r="C767" s="49" t="str">
        <f t="shared" si="22"/>
        <v>Сб</v>
      </c>
      <c r="I767" s="46"/>
      <c r="J767" s="39">
        <f t="shared" si="23"/>
        <v>46729</v>
      </c>
      <c r="K767" t="str">
        <f ca="1">IF(AND(B767&gt;='План недели'!$B$4,B767&lt;'План недели'!$D$4,D767&lt;&gt;"",G767&lt;&gt;"Отменён"),COUNTIFS($B$5:B767,"&gt;="&amp;'План недели'!$B$4,$B$5:B767,"&lt;"&amp;'План недели'!$D$4,$D$5:D767,"&lt;&gt;",$G$5:G767,"&lt;&gt;Отменён"),"")</f>
        <v/>
      </c>
    </row>
    <row r="768" spans="1:11">
      <c r="A768" t="str">
        <f>IF(B768="","","VIS_"&amp;(YEAR(B768)*10000+MONTH(B768)*100+DAY(B768))&amp;"_"&amp;IF(COUNTIF($B$5:B768,B768)&lt;10,"00"&amp;COUNTIF($B$5:B768,B768),IF(COUNTIF($B$5:B768,B768)&lt;100,"0"&amp;COUNTIF($B$5:B768,B768),COUNTIF($B$5:B768,B768))))</f>
        <v>VIS_20271212_001</v>
      </c>
      <c r="B768" s="42">
        <v>46733</v>
      </c>
      <c r="C768" s="49" t="str">
        <f t="shared" si="22"/>
        <v>Вс</v>
      </c>
      <c r="I768" s="46"/>
      <c r="J768" s="39">
        <f t="shared" si="23"/>
        <v>46729</v>
      </c>
      <c r="K768" t="str">
        <f ca="1">IF(AND(B768&gt;='План недели'!$B$4,B768&lt;'План недели'!$D$4,D768&lt;&gt;"",G768&lt;&gt;"Отменён"),COUNTIFS($B$5:B768,"&gt;="&amp;'План недели'!$B$4,$B$5:B768,"&lt;"&amp;'План недели'!$D$4,$D$5:D768,"&lt;&gt;",$G$5:G768,"&lt;&gt;Отменён"),"")</f>
        <v/>
      </c>
    </row>
    <row r="769" spans="1:11">
      <c r="A769" t="str">
        <f>IF(B769="","","VIS_"&amp;(YEAR(B769)*10000+MONTH(B769)*100+DAY(B769))&amp;"_"&amp;IF(COUNTIF($B$5:B769,B769)&lt;10,"00"&amp;COUNTIF($B$5:B769,B769),IF(COUNTIF($B$5:B769,B769)&lt;100,"0"&amp;COUNTIF($B$5:B769,B769),COUNTIF($B$5:B769,B769))))</f>
        <v>VIS_20271213_001</v>
      </c>
      <c r="B769" s="40">
        <v>46734</v>
      </c>
      <c r="C769" s="47" t="str">
        <f t="shared" si="22"/>
        <v>Пн</v>
      </c>
      <c r="I769" s="46"/>
      <c r="J769" s="39">
        <f t="shared" si="23"/>
        <v>46729</v>
      </c>
      <c r="K769" t="str">
        <f ca="1">IF(AND(B769&gt;='План недели'!$B$4,B769&lt;'План недели'!$D$4,D769&lt;&gt;"",G769&lt;&gt;"Отменён"),COUNTIFS($B$5:B769,"&gt;="&amp;'План недели'!$B$4,$B$5:B769,"&lt;"&amp;'План недели'!$D$4,$D$5:D769,"&lt;&gt;",$G$5:G769,"&lt;&gt;Отменён"),"")</f>
        <v/>
      </c>
    </row>
    <row r="770" spans="1:11">
      <c r="A770" t="str">
        <f>IF(B770="","","VIS_"&amp;(YEAR(B770)*10000+MONTH(B770)*100+DAY(B770))&amp;"_"&amp;IF(COUNTIF($B$5:B770,B770)&lt;10,"00"&amp;COUNTIF($B$5:B770,B770),IF(COUNTIF($B$5:B770,B770)&lt;100,"0"&amp;COUNTIF($B$5:B770,B770),COUNTIF($B$5:B770,B770))))</f>
        <v>VIS_20271214_001</v>
      </c>
      <c r="B770" s="40">
        <v>46735</v>
      </c>
      <c r="C770" s="47" t="str">
        <f t="shared" si="22"/>
        <v>Вт</v>
      </c>
      <c r="I770" s="46"/>
      <c r="J770" s="39">
        <f t="shared" si="23"/>
        <v>46729</v>
      </c>
      <c r="K770" t="str">
        <f ca="1">IF(AND(B770&gt;='План недели'!$B$4,B770&lt;'План недели'!$D$4,D770&lt;&gt;"",G770&lt;&gt;"Отменён"),COUNTIFS($B$5:B770,"&gt;="&amp;'План недели'!$B$4,$B$5:B770,"&lt;"&amp;'План недели'!$D$4,$D$5:D770,"&lt;&gt;",$G$5:G770,"&lt;&gt;Отменён"),"")</f>
        <v/>
      </c>
    </row>
    <row r="771" spans="1:11">
      <c r="A771" t="str">
        <f>IF(B771="","","VIS_"&amp;(YEAR(B771)*10000+MONTH(B771)*100+DAY(B771))&amp;"_"&amp;IF(COUNTIF($B$5:B771,B771)&lt;10,"00"&amp;COUNTIF($B$5:B771,B771),IF(COUNTIF($B$5:B771,B771)&lt;100,"0"&amp;COUNTIF($B$5:B771,B771),COUNTIF($B$5:B771,B771))))</f>
        <v>VIS_20271215_001</v>
      </c>
      <c r="B771" s="40">
        <v>46736</v>
      </c>
      <c r="C771" s="47" t="str">
        <f t="shared" si="22"/>
        <v>Ср</v>
      </c>
      <c r="I771" s="46"/>
      <c r="J771" s="39">
        <f t="shared" si="23"/>
        <v>46736</v>
      </c>
      <c r="K771" t="str">
        <f ca="1">IF(AND(B771&gt;='План недели'!$B$4,B771&lt;'План недели'!$D$4,D771&lt;&gt;"",G771&lt;&gt;"Отменён"),COUNTIFS($B$5:B771,"&gt;="&amp;'План недели'!$B$4,$B$5:B771,"&lt;"&amp;'План недели'!$D$4,$D$5:D771,"&lt;&gt;",$G$5:G771,"&lt;&gt;Отменён"),"")</f>
        <v/>
      </c>
    </row>
    <row r="772" spans="1:11">
      <c r="A772" t="str">
        <f>IF(B772="","","VIS_"&amp;(YEAR(B772)*10000+MONTH(B772)*100+DAY(B772))&amp;"_"&amp;IF(COUNTIF($B$5:B772,B772)&lt;10,"00"&amp;COUNTIF($B$5:B772,B772),IF(COUNTIF($B$5:B772,B772)&lt;100,"0"&amp;COUNTIF($B$5:B772,B772),COUNTIF($B$5:B772,B772))))</f>
        <v>VIS_20271216_001</v>
      </c>
      <c r="B772" s="40">
        <v>46737</v>
      </c>
      <c r="C772" s="47" t="str">
        <f t="shared" si="22"/>
        <v>Чт</v>
      </c>
      <c r="I772" s="46"/>
      <c r="J772" s="39">
        <f t="shared" si="23"/>
        <v>46736</v>
      </c>
      <c r="K772" t="str">
        <f ca="1">IF(AND(B772&gt;='План недели'!$B$4,B772&lt;'План недели'!$D$4,D772&lt;&gt;"",G772&lt;&gt;"Отменён"),COUNTIFS($B$5:B772,"&gt;="&amp;'План недели'!$B$4,$B$5:B772,"&lt;"&amp;'План недели'!$D$4,$D$5:D772,"&lt;&gt;",$G$5:G772,"&lt;&gt;Отменён"),"")</f>
        <v/>
      </c>
    </row>
    <row r="773" spans="1:11">
      <c r="A773" t="str">
        <f>IF(B773="","","VIS_"&amp;(YEAR(B773)*10000+MONTH(B773)*100+DAY(B773))&amp;"_"&amp;IF(COUNTIF($B$5:B773,B773)&lt;10,"00"&amp;COUNTIF($B$5:B773,B773),IF(COUNTIF($B$5:B773,B773)&lt;100,"0"&amp;COUNTIF($B$5:B773,B773),COUNTIF($B$5:B773,B773))))</f>
        <v>VIS_20271217_001</v>
      </c>
      <c r="B773" s="40">
        <v>46738</v>
      </c>
      <c r="C773" s="47" t="str">
        <f t="shared" ref="C773:C836" si="24">IF(B773="","",CHOOSE(WEEKDAY(B773,2),"Пн","Вт","Ср","Чт","Пт","Сб","Вс"))</f>
        <v>Пт</v>
      </c>
      <c r="I773" s="46"/>
      <c r="J773" s="39">
        <f t="shared" ref="J773:J836" si="25">IF(B773="","",B773-MOD(WEEKDAY(B773,2)-3,7))</f>
        <v>46736</v>
      </c>
      <c r="K773" t="str">
        <f ca="1">IF(AND(B773&gt;='План недели'!$B$4,B773&lt;'План недели'!$D$4,D773&lt;&gt;"",G773&lt;&gt;"Отменён"),COUNTIFS($B$5:B773,"&gt;="&amp;'План недели'!$B$4,$B$5:B773,"&lt;"&amp;'План недели'!$D$4,$D$5:D773,"&lt;&gt;",$G$5:G773,"&lt;&gt;Отменён"),"")</f>
        <v/>
      </c>
    </row>
    <row r="774" spans="1:11">
      <c r="A774" t="str">
        <f>IF(B774="","","VIS_"&amp;(YEAR(B774)*10000+MONTH(B774)*100+DAY(B774))&amp;"_"&amp;IF(COUNTIF($B$5:B774,B774)&lt;10,"00"&amp;COUNTIF($B$5:B774,B774),IF(COUNTIF($B$5:B774,B774)&lt;100,"0"&amp;COUNTIF($B$5:B774,B774),COUNTIF($B$5:B774,B774))))</f>
        <v>VIS_20271218_001</v>
      </c>
      <c r="B774" s="42">
        <v>46739</v>
      </c>
      <c r="C774" s="49" t="str">
        <f t="shared" si="24"/>
        <v>Сб</v>
      </c>
      <c r="I774" s="46"/>
      <c r="J774" s="39">
        <f t="shared" si="25"/>
        <v>46736</v>
      </c>
      <c r="K774" t="str">
        <f ca="1">IF(AND(B774&gt;='План недели'!$B$4,B774&lt;'План недели'!$D$4,D774&lt;&gt;"",G774&lt;&gt;"Отменён"),COUNTIFS($B$5:B774,"&gt;="&amp;'План недели'!$B$4,$B$5:B774,"&lt;"&amp;'План недели'!$D$4,$D$5:D774,"&lt;&gt;",$G$5:G774,"&lt;&gt;Отменён"),"")</f>
        <v/>
      </c>
    </row>
    <row r="775" spans="1:11">
      <c r="A775" t="str">
        <f>IF(B775="","","VIS_"&amp;(YEAR(B775)*10000+MONTH(B775)*100+DAY(B775))&amp;"_"&amp;IF(COUNTIF($B$5:B775,B775)&lt;10,"00"&amp;COUNTIF($B$5:B775,B775),IF(COUNTIF($B$5:B775,B775)&lt;100,"0"&amp;COUNTIF($B$5:B775,B775),COUNTIF($B$5:B775,B775))))</f>
        <v>VIS_20271219_001</v>
      </c>
      <c r="B775" s="42">
        <v>46740</v>
      </c>
      <c r="C775" s="49" t="str">
        <f t="shared" si="24"/>
        <v>Вс</v>
      </c>
      <c r="I775" s="46"/>
      <c r="J775" s="39">
        <f t="shared" si="25"/>
        <v>46736</v>
      </c>
      <c r="K775" t="str">
        <f ca="1">IF(AND(B775&gt;='План недели'!$B$4,B775&lt;'План недели'!$D$4,D775&lt;&gt;"",G775&lt;&gt;"Отменён"),COUNTIFS($B$5:B775,"&gt;="&amp;'План недели'!$B$4,$B$5:B775,"&lt;"&amp;'План недели'!$D$4,$D$5:D775,"&lt;&gt;",$G$5:G775,"&lt;&gt;Отменён"),"")</f>
        <v/>
      </c>
    </row>
    <row r="776" spans="1:11">
      <c r="A776" t="str">
        <f>IF(B776="","","VIS_"&amp;(YEAR(B776)*10000+MONTH(B776)*100+DAY(B776))&amp;"_"&amp;IF(COUNTIF($B$5:B776,B776)&lt;10,"00"&amp;COUNTIF($B$5:B776,B776),IF(COUNTIF($B$5:B776,B776)&lt;100,"0"&amp;COUNTIF($B$5:B776,B776),COUNTIF($B$5:B776,B776))))</f>
        <v>VIS_20271220_001</v>
      </c>
      <c r="B776" s="40">
        <v>46741</v>
      </c>
      <c r="C776" s="47" t="str">
        <f t="shared" si="24"/>
        <v>Пн</v>
      </c>
      <c r="I776" s="46"/>
      <c r="J776" s="39">
        <f t="shared" si="25"/>
        <v>46736</v>
      </c>
      <c r="K776" t="str">
        <f ca="1">IF(AND(B776&gt;='План недели'!$B$4,B776&lt;'План недели'!$D$4,D776&lt;&gt;"",G776&lt;&gt;"Отменён"),COUNTIFS($B$5:B776,"&gt;="&amp;'План недели'!$B$4,$B$5:B776,"&lt;"&amp;'План недели'!$D$4,$D$5:D776,"&lt;&gt;",$G$5:G776,"&lt;&gt;Отменён"),"")</f>
        <v/>
      </c>
    </row>
    <row r="777" spans="1:11">
      <c r="A777" t="str">
        <f>IF(B777="","","VIS_"&amp;(YEAR(B777)*10000+MONTH(B777)*100+DAY(B777))&amp;"_"&amp;IF(COUNTIF($B$5:B777,B777)&lt;10,"00"&amp;COUNTIF($B$5:B777,B777),IF(COUNTIF($B$5:B777,B777)&lt;100,"0"&amp;COUNTIF($B$5:B777,B777),COUNTIF($B$5:B777,B777))))</f>
        <v>VIS_20271221_001</v>
      </c>
      <c r="B777" s="40">
        <v>46742</v>
      </c>
      <c r="C777" s="47" t="str">
        <f t="shared" si="24"/>
        <v>Вт</v>
      </c>
      <c r="I777" s="46"/>
      <c r="J777" s="39">
        <f t="shared" si="25"/>
        <v>46736</v>
      </c>
      <c r="K777" t="str">
        <f ca="1">IF(AND(B777&gt;='План недели'!$B$4,B777&lt;'План недели'!$D$4,D777&lt;&gt;"",G777&lt;&gt;"Отменён"),COUNTIFS($B$5:B777,"&gt;="&amp;'План недели'!$B$4,$B$5:B777,"&lt;"&amp;'План недели'!$D$4,$D$5:D777,"&lt;&gt;",$G$5:G777,"&lt;&gt;Отменён"),"")</f>
        <v/>
      </c>
    </row>
    <row r="778" spans="1:11">
      <c r="A778" t="str">
        <f>IF(B778="","","VIS_"&amp;(YEAR(B778)*10000+MONTH(B778)*100+DAY(B778))&amp;"_"&amp;IF(COUNTIF($B$5:B778,B778)&lt;10,"00"&amp;COUNTIF($B$5:B778,B778),IF(COUNTIF($B$5:B778,B778)&lt;100,"0"&amp;COUNTIF($B$5:B778,B778),COUNTIF($B$5:B778,B778))))</f>
        <v>VIS_20271222_001</v>
      </c>
      <c r="B778" s="40">
        <v>46743</v>
      </c>
      <c r="C778" s="47" t="str">
        <f t="shared" si="24"/>
        <v>Ср</v>
      </c>
      <c r="I778" s="46"/>
      <c r="J778" s="39">
        <f t="shared" si="25"/>
        <v>46743</v>
      </c>
      <c r="K778" t="str">
        <f ca="1">IF(AND(B778&gt;='План недели'!$B$4,B778&lt;'План недели'!$D$4,D778&lt;&gt;"",G778&lt;&gt;"Отменён"),COUNTIFS($B$5:B778,"&gt;="&amp;'План недели'!$B$4,$B$5:B778,"&lt;"&amp;'План недели'!$D$4,$D$5:D778,"&lt;&gt;",$G$5:G778,"&lt;&gt;Отменён"),"")</f>
        <v/>
      </c>
    </row>
    <row r="779" spans="1:11">
      <c r="A779" t="str">
        <f>IF(B779="","","VIS_"&amp;(YEAR(B779)*10000+MONTH(B779)*100+DAY(B779))&amp;"_"&amp;IF(COUNTIF($B$5:B779,B779)&lt;10,"00"&amp;COUNTIF($B$5:B779,B779),IF(COUNTIF($B$5:B779,B779)&lt;100,"0"&amp;COUNTIF($B$5:B779,B779),COUNTIF($B$5:B779,B779))))</f>
        <v>VIS_20271223_001</v>
      </c>
      <c r="B779" s="40">
        <v>46744</v>
      </c>
      <c r="C779" s="47" t="str">
        <f t="shared" si="24"/>
        <v>Чт</v>
      </c>
      <c r="I779" s="46"/>
      <c r="J779" s="39">
        <f t="shared" si="25"/>
        <v>46743</v>
      </c>
      <c r="K779" t="str">
        <f ca="1">IF(AND(B779&gt;='План недели'!$B$4,B779&lt;'План недели'!$D$4,D779&lt;&gt;"",G779&lt;&gt;"Отменён"),COUNTIFS($B$5:B779,"&gt;="&amp;'План недели'!$B$4,$B$5:B779,"&lt;"&amp;'План недели'!$D$4,$D$5:D779,"&lt;&gt;",$G$5:G779,"&lt;&gt;Отменён"),"")</f>
        <v/>
      </c>
    </row>
    <row r="780" spans="1:11">
      <c r="A780" t="str">
        <f>IF(B780="","","VIS_"&amp;(YEAR(B780)*10000+MONTH(B780)*100+DAY(B780))&amp;"_"&amp;IF(COUNTIF($B$5:B780,B780)&lt;10,"00"&amp;COUNTIF($B$5:B780,B780),IF(COUNTIF($B$5:B780,B780)&lt;100,"0"&amp;COUNTIF($B$5:B780,B780),COUNTIF($B$5:B780,B780))))</f>
        <v>VIS_20271224_001</v>
      </c>
      <c r="B780" s="40">
        <v>46745</v>
      </c>
      <c r="C780" s="47" t="str">
        <f t="shared" si="24"/>
        <v>Пт</v>
      </c>
      <c r="I780" s="46"/>
      <c r="J780" s="39">
        <f t="shared" si="25"/>
        <v>46743</v>
      </c>
      <c r="K780" t="str">
        <f ca="1">IF(AND(B780&gt;='План недели'!$B$4,B780&lt;'План недели'!$D$4,D780&lt;&gt;"",G780&lt;&gt;"Отменён"),COUNTIFS($B$5:B780,"&gt;="&amp;'План недели'!$B$4,$B$5:B780,"&lt;"&amp;'План недели'!$D$4,$D$5:D780,"&lt;&gt;",$G$5:G780,"&lt;&gt;Отменён"),"")</f>
        <v/>
      </c>
    </row>
    <row r="781" spans="1:11">
      <c r="A781" t="str">
        <f>IF(B781="","","VIS_"&amp;(YEAR(B781)*10000+MONTH(B781)*100+DAY(B781))&amp;"_"&amp;IF(COUNTIF($B$5:B781,B781)&lt;10,"00"&amp;COUNTIF($B$5:B781,B781),IF(COUNTIF($B$5:B781,B781)&lt;100,"0"&amp;COUNTIF($B$5:B781,B781),COUNTIF($B$5:B781,B781))))</f>
        <v>VIS_20271225_001</v>
      </c>
      <c r="B781" s="42">
        <v>46746</v>
      </c>
      <c r="C781" s="49" t="str">
        <f t="shared" si="24"/>
        <v>Сб</v>
      </c>
      <c r="I781" s="46"/>
      <c r="J781" s="39">
        <f t="shared" si="25"/>
        <v>46743</v>
      </c>
      <c r="K781" t="str">
        <f ca="1">IF(AND(B781&gt;='План недели'!$B$4,B781&lt;'План недели'!$D$4,D781&lt;&gt;"",G781&lt;&gt;"Отменён"),COUNTIFS($B$5:B781,"&gt;="&amp;'План недели'!$B$4,$B$5:B781,"&lt;"&amp;'План недели'!$D$4,$D$5:D781,"&lt;&gt;",$G$5:G781,"&lt;&gt;Отменён"),"")</f>
        <v/>
      </c>
    </row>
    <row r="782" spans="1:11">
      <c r="A782" t="str">
        <f>IF(B782="","","VIS_"&amp;(YEAR(B782)*10000+MONTH(B782)*100+DAY(B782))&amp;"_"&amp;IF(COUNTIF($B$5:B782,B782)&lt;10,"00"&amp;COUNTIF($B$5:B782,B782),IF(COUNTIF($B$5:B782,B782)&lt;100,"0"&amp;COUNTIF($B$5:B782,B782),COUNTIF($B$5:B782,B782))))</f>
        <v>VIS_20271226_001</v>
      </c>
      <c r="B782" s="42">
        <v>46747</v>
      </c>
      <c r="C782" s="49" t="str">
        <f t="shared" si="24"/>
        <v>Вс</v>
      </c>
      <c r="I782" s="46"/>
      <c r="J782" s="39">
        <f t="shared" si="25"/>
        <v>46743</v>
      </c>
      <c r="K782" t="str">
        <f ca="1">IF(AND(B782&gt;='План недели'!$B$4,B782&lt;'План недели'!$D$4,D782&lt;&gt;"",G782&lt;&gt;"Отменён"),COUNTIFS($B$5:B782,"&gt;="&amp;'План недели'!$B$4,$B$5:B782,"&lt;"&amp;'План недели'!$D$4,$D$5:D782,"&lt;&gt;",$G$5:G782,"&lt;&gt;Отменён"),"")</f>
        <v/>
      </c>
    </row>
    <row r="783" spans="1:11">
      <c r="A783" t="str">
        <f>IF(B783="","","VIS_"&amp;(YEAR(B783)*10000+MONTH(B783)*100+DAY(B783))&amp;"_"&amp;IF(COUNTIF($B$5:B783,B783)&lt;10,"00"&amp;COUNTIF($B$5:B783,B783),IF(COUNTIF($B$5:B783,B783)&lt;100,"0"&amp;COUNTIF($B$5:B783,B783),COUNTIF($B$5:B783,B783))))</f>
        <v>VIS_20271227_001</v>
      </c>
      <c r="B783" s="40">
        <v>46748</v>
      </c>
      <c r="C783" s="47" t="str">
        <f t="shared" si="24"/>
        <v>Пн</v>
      </c>
      <c r="I783" s="46"/>
      <c r="J783" s="39">
        <f t="shared" si="25"/>
        <v>46743</v>
      </c>
      <c r="K783" t="str">
        <f ca="1">IF(AND(B783&gt;='План недели'!$B$4,B783&lt;'План недели'!$D$4,D783&lt;&gt;"",G783&lt;&gt;"Отменён"),COUNTIFS($B$5:B783,"&gt;="&amp;'План недели'!$B$4,$B$5:B783,"&lt;"&amp;'План недели'!$D$4,$D$5:D783,"&lt;&gt;",$G$5:G783,"&lt;&gt;Отменён"),"")</f>
        <v/>
      </c>
    </row>
    <row r="784" spans="1:11">
      <c r="A784" t="str">
        <f>IF(B784="","","VIS_"&amp;(YEAR(B784)*10000+MONTH(B784)*100+DAY(B784))&amp;"_"&amp;IF(COUNTIF($B$5:B784,B784)&lt;10,"00"&amp;COUNTIF($B$5:B784,B784),IF(COUNTIF($B$5:B784,B784)&lt;100,"0"&amp;COUNTIF($B$5:B784,B784),COUNTIF($B$5:B784,B784))))</f>
        <v>VIS_20271228_001</v>
      </c>
      <c r="B784" s="40">
        <v>46749</v>
      </c>
      <c r="C784" s="47" t="str">
        <f t="shared" si="24"/>
        <v>Вт</v>
      </c>
      <c r="I784" s="46"/>
      <c r="J784" s="39">
        <f t="shared" si="25"/>
        <v>46743</v>
      </c>
      <c r="K784" t="str">
        <f ca="1">IF(AND(B784&gt;='План недели'!$B$4,B784&lt;'План недели'!$D$4,D784&lt;&gt;"",G784&lt;&gt;"Отменён"),COUNTIFS($B$5:B784,"&gt;="&amp;'План недели'!$B$4,$B$5:B784,"&lt;"&amp;'План недели'!$D$4,$D$5:D784,"&lt;&gt;",$G$5:G784,"&lt;&gt;Отменён"),"")</f>
        <v/>
      </c>
    </row>
    <row r="785" spans="1:11">
      <c r="A785" t="str">
        <f>IF(B785="","","VIS_"&amp;(YEAR(B785)*10000+MONTH(B785)*100+DAY(B785))&amp;"_"&amp;IF(COUNTIF($B$5:B785,B785)&lt;10,"00"&amp;COUNTIF($B$5:B785,B785),IF(COUNTIF($B$5:B785,B785)&lt;100,"0"&amp;COUNTIF($B$5:B785,B785),COUNTIF($B$5:B785,B785))))</f>
        <v>VIS_20271229_001</v>
      </c>
      <c r="B785" s="40">
        <v>46750</v>
      </c>
      <c r="C785" s="47" t="str">
        <f t="shared" si="24"/>
        <v>Ср</v>
      </c>
      <c r="I785" s="46"/>
      <c r="J785" s="39">
        <f t="shared" si="25"/>
        <v>46750</v>
      </c>
      <c r="K785" t="str">
        <f ca="1">IF(AND(B785&gt;='План недели'!$B$4,B785&lt;'План недели'!$D$4,D785&lt;&gt;"",G785&lt;&gt;"Отменён"),COUNTIFS($B$5:B785,"&gt;="&amp;'План недели'!$B$4,$B$5:B785,"&lt;"&amp;'План недели'!$D$4,$D$5:D785,"&lt;&gt;",$G$5:G785,"&lt;&gt;Отменён"),"")</f>
        <v/>
      </c>
    </row>
    <row r="786" spans="1:11">
      <c r="A786" t="str">
        <f>IF(B786="","","VIS_"&amp;(YEAR(B786)*10000+MONTH(B786)*100+DAY(B786))&amp;"_"&amp;IF(COUNTIF($B$5:B786,B786)&lt;10,"00"&amp;COUNTIF($B$5:B786,B786),IF(COUNTIF($B$5:B786,B786)&lt;100,"0"&amp;COUNTIF($B$5:B786,B786),COUNTIF($B$5:B786,B786))))</f>
        <v>VIS_20271230_001</v>
      </c>
      <c r="B786" s="40">
        <v>46751</v>
      </c>
      <c r="C786" s="47" t="str">
        <f t="shared" si="24"/>
        <v>Чт</v>
      </c>
      <c r="I786" s="46"/>
      <c r="J786" s="39">
        <f t="shared" si="25"/>
        <v>46750</v>
      </c>
      <c r="K786" t="str">
        <f ca="1">IF(AND(B786&gt;='План недели'!$B$4,B786&lt;'План недели'!$D$4,D786&lt;&gt;"",G786&lt;&gt;"Отменён"),COUNTIFS($B$5:B786,"&gt;="&amp;'План недели'!$B$4,$B$5:B786,"&lt;"&amp;'План недели'!$D$4,$D$5:D786,"&lt;&gt;",$G$5:G786,"&lt;&gt;Отменён"),"")</f>
        <v/>
      </c>
    </row>
    <row r="787" spans="1:11">
      <c r="A787" t="str">
        <f>IF(B787="","","VIS_"&amp;(YEAR(B787)*10000+MONTH(B787)*100+DAY(B787))&amp;"_"&amp;IF(COUNTIF($B$5:B787,B787)&lt;10,"00"&amp;COUNTIF($B$5:B787,B787),IF(COUNTIF($B$5:B787,B787)&lt;100,"0"&amp;COUNTIF($B$5:B787,B787),COUNTIF($B$5:B787,B787))))</f>
        <v>VIS_20271231_001</v>
      </c>
      <c r="B787" s="40">
        <v>46752</v>
      </c>
      <c r="C787" s="47" t="str">
        <f t="shared" si="24"/>
        <v>Пт</v>
      </c>
      <c r="I787" s="46"/>
      <c r="J787" s="39">
        <f t="shared" si="25"/>
        <v>46750</v>
      </c>
      <c r="K787" t="str">
        <f ca="1">IF(AND(B787&gt;='План недели'!$B$4,B787&lt;'План недели'!$D$4,D787&lt;&gt;"",G787&lt;&gt;"Отменён"),COUNTIFS($B$5:B787,"&gt;="&amp;'План недели'!$B$4,$B$5:B787,"&lt;"&amp;'План недели'!$D$4,$D$5:D787,"&lt;&gt;",$G$5:G787,"&lt;&gt;Отменён"),"")</f>
        <v/>
      </c>
    </row>
    <row r="788" spans="1:11">
      <c r="A788" t="str">
        <f>IF(B788="","","VIS_"&amp;(YEAR(B788)*10000+MONTH(B788)*100+DAY(B788))&amp;"_"&amp;IF(COUNTIF($B$5:B788,B788)&lt;10,"00"&amp;COUNTIF($B$5:B788,B788),IF(COUNTIF($B$5:B788,B788)&lt;100,"0"&amp;COUNTIF($B$5:B788,B788),COUNTIF($B$5:B788,B788))))</f>
        <v>VIS_20280101_001</v>
      </c>
      <c r="B788" s="42">
        <v>46753</v>
      </c>
      <c r="C788" s="49" t="str">
        <f t="shared" si="24"/>
        <v>Сб</v>
      </c>
      <c r="I788" s="46"/>
      <c r="J788" s="39">
        <f t="shared" si="25"/>
        <v>46750</v>
      </c>
      <c r="K788" t="str">
        <f ca="1">IF(AND(B788&gt;='План недели'!$B$4,B788&lt;'План недели'!$D$4,D788&lt;&gt;"",G788&lt;&gt;"Отменён"),COUNTIFS($B$5:B788,"&gt;="&amp;'План недели'!$B$4,$B$5:B788,"&lt;"&amp;'План недели'!$D$4,$D$5:D788,"&lt;&gt;",$G$5:G788,"&lt;&gt;Отменён"),"")</f>
        <v/>
      </c>
    </row>
    <row r="789" spans="1:11">
      <c r="A789" t="str">
        <f>IF(B789="","","VIS_"&amp;(YEAR(B789)*10000+MONTH(B789)*100+DAY(B789))&amp;"_"&amp;IF(COUNTIF($B$5:B789,B789)&lt;10,"00"&amp;COUNTIF($B$5:B789,B789),IF(COUNTIF($B$5:B789,B789)&lt;100,"0"&amp;COUNTIF($B$5:B789,B789),COUNTIF($B$5:B789,B789))))</f>
        <v>VIS_20280102_001</v>
      </c>
      <c r="B789" s="42">
        <v>46754</v>
      </c>
      <c r="C789" s="49" t="str">
        <f t="shared" si="24"/>
        <v>Вс</v>
      </c>
      <c r="I789" s="46"/>
      <c r="J789" s="39">
        <f t="shared" si="25"/>
        <v>46750</v>
      </c>
      <c r="K789" t="str">
        <f ca="1">IF(AND(B789&gt;='План недели'!$B$4,B789&lt;'План недели'!$D$4,D789&lt;&gt;"",G789&lt;&gt;"Отменён"),COUNTIFS($B$5:B789,"&gt;="&amp;'План недели'!$B$4,$B$5:B789,"&lt;"&amp;'План недели'!$D$4,$D$5:D789,"&lt;&gt;",$G$5:G789,"&lt;&gt;Отменён"),"")</f>
        <v/>
      </c>
    </row>
    <row r="790" spans="1:11">
      <c r="A790" t="str">
        <f>IF(B790="","","VIS_"&amp;(YEAR(B790)*10000+MONTH(B790)*100+DAY(B790))&amp;"_"&amp;IF(COUNTIF($B$5:B790,B790)&lt;10,"00"&amp;COUNTIF($B$5:B790,B790),IF(COUNTIF($B$5:B790,B790)&lt;100,"0"&amp;COUNTIF($B$5:B790,B790),COUNTIF($B$5:B790,B790))))</f>
        <v>VIS_20280103_001</v>
      </c>
      <c r="B790" s="40">
        <v>46755</v>
      </c>
      <c r="C790" s="47" t="str">
        <f t="shared" si="24"/>
        <v>Пн</v>
      </c>
      <c r="I790" s="46"/>
      <c r="J790" s="39">
        <f t="shared" si="25"/>
        <v>46750</v>
      </c>
      <c r="K790" t="str">
        <f ca="1">IF(AND(B790&gt;='План недели'!$B$4,B790&lt;'План недели'!$D$4,D790&lt;&gt;"",G790&lt;&gt;"Отменён"),COUNTIFS($B$5:B790,"&gt;="&amp;'План недели'!$B$4,$B$5:B790,"&lt;"&amp;'План недели'!$D$4,$D$5:D790,"&lt;&gt;",$G$5:G790,"&lt;&gt;Отменён"),"")</f>
        <v/>
      </c>
    </row>
    <row r="791" spans="1:11">
      <c r="A791" t="str">
        <f>IF(B791="","","VIS_"&amp;(YEAR(B791)*10000+MONTH(B791)*100+DAY(B791))&amp;"_"&amp;IF(COUNTIF($B$5:B791,B791)&lt;10,"00"&amp;COUNTIF($B$5:B791,B791),IF(COUNTIF($B$5:B791,B791)&lt;100,"0"&amp;COUNTIF($B$5:B791,B791),COUNTIF($B$5:B791,B791))))</f>
        <v>VIS_20280104_001</v>
      </c>
      <c r="B791" s="40">
        <v>46756</v>
      </c>
      <c r="C791" s="47" t="str">
        <f t="shared" si="24"/>
        <v>Вт</v>
      </c>
      <c r="I791" s="46"/>
      <c r="J791" s="39">
        <f t="shared" si="25"/>
        <v>46750</v>
      </c>
      <c r="K791" t="str">
        <f ca="1">IF(AND(B791&gt;='План недели'!$B$4,B791&lt;'План недели'!$D$4,D791&lt;&gt;"",G791&lt;&gt;"Отменён"),COUNTIFS($B$5:B791,"&gt;="&amp;'План недели'!$B$4,$B$5:B791,"&lt;"&amp;'План недели'!$D$4,$D$5:D791,"&lt;&gt;",$G$5:G791,"&lt;&gt;Отменён"),"")</f>
        <v/>
      </c>
    </row>
    <row r="792" spans="1:11">
      <c r="A792" t="str">
        <f>IF(B792="","","VIS_"&amp;(YEAR(B792)*10000+MONTH(B792)*100+DAY(B792))&amp;"_"&amp;IF(COUNTIF($B$5:B792,B792)&lt;10,"00"&amp;COUNTIF($B$5:B792,B792),IF(COUNTIF($B$5:B792,B792)&lt;100,"0"&amp;COUNTIF($B$5:B792,B792),COUNTIF($B$5:B792,B792))))</f>
        <v>VIS_20280105_001</v>
      </c>
      <c r="B792" s="40">
        <v>46757</v>
      </c>
      <c r="C792" s="47" t="str">
        <f t="shared" si="24"/>
        <v>Ср</v>
      </c>
      <c r="I792" s="46"/>
      <c r="J792" s="39">
        <f t="shared" si="25"/>
        <v>46757</v>
      </c>
      <c r="K792" t="str">
        <f ca="1">IF(AND(B792&gt;='План недели'!$B$4,B792&lt;'План недели'!$D$4,D792&lt;&gt;"",G792&lt;&gt;"Отменён"),COUNTIFS($B$5:B792,"&gt;="&amp;'План недели'!$B$4,$B$5:B792,"&lt;"&amp;'План недели'!$D$4,$D$5:D792,"&lt;&gt;",$G$5:G792,"&lt;&gt;Отменён"),"")</f>
        <v/>
      </c>
    </row>
    <row r="793" spans="1:11">
      <c r="A793" t="str">
        <f>IF(B793="","","VIS_"&amp;(YEAR(B793)*10000+MONTH(B793)*100+DAY(B793))&amp;"_"&amp;IF(COUNTIF($B$5:B793,B793)&lt;10,"00"&amp;COUNTIF($B$5:B793,B793),IF(COUNTIF($B$5:B793,B793)&lt;100,"0"&amp;COUNTIF($B$5:B793,B793),COUNTIF($B$5:B793,B793))))</f>
        <v>VIS_20280106_001</v>
      </c>
      <c r="B793" s="40">
        <v>46758</v>
      </c>
      <c r="C793" s="47" t="str">
        <f t="shared" si="24"/>
        <v>Чт</v>
      </c>
      <c r="I793" s="46"/>
      <c r="J793" s="39">
        <f t="shared" si="25"/>
        <v>46757</v>
      </c>
      <c r="K793" t="str">
        <f ca="1">IF(AND(B793&gt;='План недели'!$B$4,B793&lt;'План недели'!$D$4,D793&lt;&gt;"",G793&lt;&gt;"Отменён"),COUNTIFS($B$5:B793,"&gt;="&amp;'План недели'!$B$4,$B$5:B793,"&lt;"&amp;'План недели'!$D$4,$D$5:D793,"&lt;&gt;",$G$5:G793,"&lt;&gt;Отменён"),"")</f>
        <v/>
      </c>
    </row>
    <row r="794" spans="1:11">
      <c r="A794" t="str">
        <f>IF(B794="","","VIS_"&amp;(YEAR(B794)*10000+MONTH(B794)*100+DAY(B794))&amp;"_"&amp;IF(COUNTIF($B$5:B794,B794)&lt;10,"00"&amp;COUNTIF($B$5:B794,B794),IF(COUNTIF($B$5:B794,B794)&lt;100,"0"&amp;COUNTIF($B$5:B794,B794),COUNTIF($B$5:B794,B794))))</f>
        <v>VIS_20280107_001</v>
      </c>
      <c r="B794" s="40">
        <v>46759</v>
      </c>
      <c r="C794" s="47" t="str">
        <f t="shared" si="24"/>
        <v>Пт</v>
      </c>
      <c r="I794" s="46"/>
      <c r="J794" s="39">
        <f t="shared" si="25"/>
        <v>46757</v>
      </c>
      <c r="K794" t="str">
        <f ca="1">IF(AND(B794&gt;='План недели'!$B$4,B794&lt;'План недели'!$D$4,D794&lt;&gt;"",G794&lt;&gt;"Отменён"),COUNTIFS($B$5:B794,"&gt;="&amp;'План недели'!$B$4,$B$5:B794,"&lt;"&amp;'План недели'!$D$4,$D$5:D794,"&lt;&gt;",$G$5:G794,"&lt;&gt;Отменён"),"")</f>
        <v/>
      </c>
    </row>
    <row r="795" spans="1:11">
      <c r="A795" t="str">
        <f>IF(B795="","","VIS_"&amp;(YEAR(B795)*10000+MONTH(B795)*100+DAY(B795))&amp;"_"&amp;IF(COUNTIF($B$5:B795,B795)&lt;10,"00"&amp;COUNTIF($B$5:B795,B795),IF(COUNTIF($B$5:B795,B795)&lt;100,"0"&amp;COUNTIF($B$5:B795,B795),COUNTIF($B$5:B795,B795))))</f>
        <v>VIS_20280108_001</v>
      </c>
      <c r="B795" s="42">
        <v>46760</v>
      </c>
      <c r="C795" s="49" t="str">
        <f t="shared" si="24"/>
        <v>Сб</v>
      </c>
      <c r="I795" s="46"/>
      <c r="J795" s="39">
        <f t="shared" si="25"/>
        <v>46757</v>
      </c>
      <c r="K795" t="str">
        <f ca="1">IF(AND(B795&gt;='План недели'!$B$4,B795&lt;'План недели'!$D$4,D795&lt;&gt;"",G795&lt;&gt;"Отменён"),COUNTIFS($B$5:B795,"&gt;="&amp;'План недели'!$B$4,$B$5:B795,"&lt;"&amp;'План недели'!$D$4,$D$5:D795,"&lt;&gt;",$G$5:G795,"&lt;&gt;Отменён"),"")</f>
        <v/>
      </c>
    </row>
    <row r="796" spans="1:11">
      <c r="A796" t="str">
        <f>IF(B796="","","VIS_"&amp;(YEAR(B796)*10000+MONTH(B796)*100+DAY(B796))&amp;"_"&amp;IF(COUNTIF($B$5:B796,B796)&lt;10,"00"&amp;COUNTIF($B$5:B796,B796),IF(COUNTIF($B$5:B796,B796)&lt;100,"0"&amp;COUNTIF($B$5:B796,B796),COUNTIF($B$5:B796,B796))))</f>
        <v>VIS_20280109_001</v>
      </c>
      <c r="B796" s="42">
        <v>46761</v>
      </c>
      <c r="C796" s="49" t="str">
        <f t="shared" si="24"/>
        <v>Вс</v>
      </c>
      <c r="I796" s="46"/>
      <c r="J796" s="39">
        <f t="shared" si="25"/>
        <v>46757</v>
      </c>
      <c r="K796" t="str">
        <f ca="1">IF(AND(B796&gt;='План недели'!$B$4,B796&lt;'План недели'!$D$4,D796&lt;&gt;"",G796&lt;&gt;"Отменён"),COUNTIFS($B$5:B796,"&gt;="&amp;'План недели'!$B$4,$B$5:B796,"&lt;"&amp;'План недели'!$D$4,$D$5:D796,"&lt;&gt;",$G$5:G796,"&lt;&gt;Отменён"),"")</f>
        <v/>
      </c>
    </row>
    <row r="797" spans="1:11">
      <c r="A797" t="str">
        <f>IF(B797="","","VIS_"&amp;(YEAR(B797)*10000+MONTH(B797)*100+DAY(B797))&amp;"_"&amp;IF(COUNTIF($B$5:B797,B797)&lt;10,"00"&amp;COUNTIF($B$5:B797,B797),IF(COUNTIF($B$5:B797,B797)&lt;100,"0"&amp;COUNTIF($B$5:B797,B797),COUNTIF($B$5:B797,B797))))</f>
        <v>VIS_20280110_001</v>
      </c>
      <c r="B797" s="40">
        <v>46762</v>
      </c>
      <c r="C797" s="47" t="str">
        <f t="shared" si="24"/>
        <v>Пн</v>
      </c>
      <c r="I797" s="46"/>
      <c r="J797" s="39">
        <f t="shared" si="25"/>
        <v>46757</v>
      </c>
      <c r="K797" t="str">
        <f ca="1">IF(AND(B797&gt;='План недели'!$B$4,B797&lt;'План недели'!$D$4,D797&lt;&gt;"",G797&lt;&gt;"Отменён"),COUNTIFS($B$5:B797,"&gt;="&amp;'План недели'!$B$4,$B$5:B797,"&lt;"&amp;'План недели'!$D$4,$D$5:D797,"&lt;&gt;",$G$5:G797,"&lt;&gt;Отменён"),"")</f>
        <v/>
      </c>
    </row>
    <row r="798" spans="1:11">
      <c r="A798" t="str">
        <f>IF(B798="","","VIS_"&amp;(YEAR(B798)*10000+MONTH(B798)*100+DAY(B798))&amp;"_"&amp;IF(COUNTIF($B$5:B798,B798)&lt;10,"00"&amp;COUNTIF($B$5:B798,B798),IF(COUNTIF($B$5:B798,B798)&lt;100,"0"&amp;COUNTIF($B$5:B798,B798),COUNTIF($B$5:B798,B798))))</f>
        <v>VIS_20280111_001</v>
      </c>
      <c r="B798" s="40">
        <v>46763</v>
      </c>
      <c r="C798" s="47" t="str">
        <f t="shared" si="24"/>
        <v>Вт</v>
      </c>
      <c r="I798" s="46"/>
      <c r="J798" s="39">
        <f t="shared" si="25"/>
        <v>46757</v>
      </c>
      <c r="K798" t="str">
        <f ca="1">IF(AND(B798&gt;='План недели'!$B$4,B798&lt;'План недели'!$D$4,D798&lt;&gt;"",G798&lt;&gt;"Отменён"),COUNTIFS($B$5:B798,"&gt;="&amp;'План недели'!$B$4,$B$5:B798,"&lt;"&amp;'План недели'!$D$4,$D$5:D798,"&lt;&gt;",$G$5:G798,"&lt;&gt;Отменён"),"")</f>
        <v/>
      </c>
    </row>
    <row r="799" spans="1:11">
      <c r="A799" t="str">
        <f>IF(B799="","","VIS_"&amp;(YEAR(B799)*10000+MONTH(B799)*100+DAY(B799))&amp;"_"&amp;IF(COUNTIF($B$5:B799,B799)&lt;10,"00"&amp;COUNTIF($B$5:B799,B799),IF(COUNTIF($B$5:B799,B799)&lt;100,"0"&amp;COUNTIF($B$5:B799,B799),COUNTIF($B$5:B799,B799))))</f>
        <v>VIS_20280112_001</v>
      </c>
      <c r="B799" s="40">
        <v>46764</v>
      </c>
      <c r="C799" s="47" t="str">
        <f t="shared" si="24"/>
        <v>Ср</v>
      </c>
      <c r="I799" s="46"/>
      <c r="J799" s="39">
        <f t="shared" si="25"/>
        <v>46764</v>
      </c>
      <c r="K799" t="str">
        <f ca="1">IF(AND(B799&gt;='План недели'!$B$4,B799&lt;'План недели'!$D$4,D799&lt;&gt;"",G799&lt;&gt;"Отменён"),COUNTIFS($B$5:B799,"&gt;="&amp;'План недели'!$B$4,$B$5:B799,"&lt;"&amp;'План недели'!$D$4,$D$5:D799,"&lt;&gt;",$G$5:G799,"&lt;&gt;Отменён"),"")</f>
        <v/>
      </c>
    </row>
    <row r="800" spans="1:11">
      <c r="A800" t="str">
        <f>IF(B800="","","VIS_"&amp;(YEAR(B800)*10000+MONTH(B800)*100+DAY(B800))&amp;"_"&amp;IF(COUNTIF($B$5:B800,B800)&lt;10,"00"&amp;COUNTIF($B$5:B800,B800),IF(COUNTIF($B$5:B800,B800)&lt;100,"0"&amp;COUNTIF($B$5:B800,B800),COUNTIF($B$5:B800,B800))))</f>
        <v>VIS_20280113_001</v>
      </c>
      <c r="B800" s="40">
        <v>46765</v>
      </c>
      <c r="C800" s="47" t="str">
        <f t="shared" si="24"/>
        <v>Чт</v>
      </c>
      <c r="I800" s="46"/>
      <c r="J800" s="39">
        <f t="shared" si="25"/>
        <v>46764</v>
      </c>
      <c r="K800" t="str">
        <f ca="1">IF(AND(B800&gt;='План недели'!$B$4,B800&lt;'План недели'!$D$4,D800&lt;&gt;"",G800&lt;&gt;"Отменён"),COUNTIFS($B$5:B800,"&gt;="&amp;'План недели'!$B$4,$B$5:B800,"&lt;"&amp;'План недели'!$D$4,$D$5:D800,"&lt;&gt;",$G$5:G800,"&lt;&gt;Отменён"),"")</f>
        <v/>
      </c>
    </row>
    <row r="801" spans="1:11">
      <c r="A801" t="str">
        <f>IF(B801="","","VIS_"&amp;(YEAR(B801)*10000+MONTH(B801)*100+DAY(B801))&amp;"_"&amp;IF(COUNTIF($B$5:B801,B801)&lt;10,"00"&amp;COUNTIF($B$5:B801,B801),IF(COUNTIF($B$5:B801,B801)&lt;100,"0"&amp;COUNTIF($B$5:B801,B801),COUNTIF($B$5:B801,B801))))</f>
        <v>VIS_20280114_001</v>
      </c>
      <c r="B801" s="40">
        <v>46766</v>
      </c>
      <c r="C801" s="47" t="str">
        <f t="shared" si="24"/>
        <v>Пт</v>
      </c>
      <c r="I801" s="46"/>
      <c r="J801" s="39">
        <f t="shared" si="25"/>
        <v>46764</v>
      </c>
      <c r="K801" t="str">
        <f ca="1">IF(AND(B801&gt;='План недели'!$B$4,B801&lt;'План недели'!$D$4,D801&lt;&gt;"",G801&lt;&gt;"Отменён"),COUNTIFS($B$5:B801,"&gt;="&amp;'План недели'!$B$4,$B$5:B801,"&lt;"&amp;'План недели'!$D$4,$D$5:D801,"&lt;&gt;",$G$5:G801,"&lt;&gt;Отменён"),"")</f>
        <v/>
      </c>
    </row>
    <row r="802" spans="1:11">
      <c r="A802" t="str">
        <f>IF(B802="","","VIS_"&amp;(YEAR(B802)*10000+MONTH(B802)*100+DAY(B802))&amp;"_"&amp;IF(COUNTIF($B$5:B802,B802)&lt;10,"00"&amp;COUNTIF($B$5:B802,B802),IF(COUNTIF($B$5:B802,B802)&lt;100,"0"&amp;COUNTIF($B$5:B802,B802),COUNTIF($B$5:B802,B802))))</f>
        <v>VIS_20280115_001</v>
      </c>
      <c r="B802" s="42">
        <v>46767</v>
      </c>
      <c r="C802" s="49" t="str">
        <f t="shared" si="24"/>
        <v>Сб</v>
      </c>
      <c r="I802" s="46"/>
      <c r="J802" s="39">
        <f t="shared" si="25"/>
        <v>46764</v>
      </c>
      <c r="K802" t="str">
        <f ca="1">IF(AND(B802&gt;='План недели'!$B$4,B802&lt;'План недели'!$D$4,D802&lt;&gt;"",G802&lt;&gt;"Отменён"),COUNTIFS($B$5:B802,"&gt;="&amp;'План недели'!$B$4,$B$5:B802,"&lt;"&amp;'План недели'!$D$4,$D$5:D802,"&lt;&gt;",$G$5:G802,"&lt;&gt;Отменён"),"")</f>
        <v/>
      </c>
    </row>
    <row r="803" spans="1:11">
      <c r="A803" t="str">
        <f>IF(B803="","","VIS_"&amp;(YEAR(B803)*10000+MONTH(B803)*100+DAY(B803))&amp;"_"&amp;IF(COUNTIF($B$5:B803,B803)&lt;10,"00"&amp;COUNTIF($B$5:B803,B803),IF(COUNTIF($B$5:B803,B803)&lt;100,"0"&amp;COUNTIF($B$5:B803,B803),COUNTIF($B$5:B803,B803))))</f>
        <v>VIS_20280116_001</v>
      </c>
      <c r="B803" s="42">
        <v>46768</v>
      </c>
      <c r="C803" s="49" t="str">
        <f t="shared" si="24"/>
        <v>Вс</v>
      </c>
      <c r="I803" s="46"/>
      <c r="J803" s="39">
        <f t="shared" si="25"/>
        <v>46764</v>
      </c>
      <c r="K803" t="str">
        <f ca="1">IF(AND(B803&gt;='План недели'!$B$4,B803&lt;'План недели'!$D$4,D803&lt;&gt;"",G803&lt;&gt;"Отменён"),COUNTIFS($B$5:B803,"&gt;="&amp;'План недели'!$B$4,$B$5:B803,"&lt;"&amp;'План недели'!$D$4,$D$5:D803,"&lt;&gt;",$G$5:G803,"&lt;&gt;Отменён"),"")</f>
        <v/>
      </c>
    </row>
    <row r="804" spans="1:11">
      <c r="A804" t="str">
        <f>IF(B804="","","VIS_"&amp;(YEAR(B804)*10000+MONTH(B804)*100+DAY(B804))&amp;"_"&amp;IF(COUNTIF($B$5:B804,B804)&lt;10,"00"&amp;COUNTIF($B$5:B804,B804),IF(COUNTIF($B$5:B804,B804)&lt;100,"0"&amp;COUNTIF($B$5:B804,B804),COUNTIF($B$5:B804,B804))))</f>
        <v>VIS_20280117_001</v>
      </c>
      <c r="B804" s="40">
        <v>46769</v>
      </c>
      <c r="C804" s="47" t="str">
        <f t="shared" si="24"/>
        <v>Пн</v>
      </c>
      <c r="I804" s="46"/>
      <c r="J804" s="39">
        <f t="shared" si="25"/>
        <v>46764</v>
      </c>
      <c r="K804" t="str">
        <f ca="1">IF(AND(B804&gt;='План недели'!$B$4,B804&lt;'План недели'!$D$4,D804&lt;&gt;"",G804&lt;&gt;"Отменён"),COUNTIFS($B$5:B804,"&gt;="&amp;'План недели'!$B$4,$B$5:B804,"&lt;"&amp;'План недели'!$D$4,$D$5:D804,"&lt;&gt;",$G$5:G804,"&lt;&gt;Отменён"),"")</f>
        <v/>
      </c>
    </row>
    <row r="805" spans="1:11">
      <c r="A805" t="str">
        <f>IF(B805="","","VIS_"&amp;(YEAR(B805)*10000+MONTH(B805)*100+DAY(B805))&amp;"_"&amp;IF(COUNTIF($B$5:B805,B805)&lt;10,"00"&amp;COUNTIF($B$5:B805,B805),IF(COUNTIF($B$5:B805,B805)&lt;100,"0"&amp;COUNTIF($B$5:B805,B805),COUNTIF($B$5:B805,B805))))</f>
        <v>VIS_20280118_001</v>
      </c>
      <c r="B805" s="40">
        <v>46770</v>
      </c>
      <c r="C805" s="47" t="str">
        <f t="shared" si="24"/>
        <v>Вт</v>
      </c>
      <c r="I805" s="46"/>
      <c r="J805" s="39">
        <f t="shared" si="25"/>
        <v>46764</v>
      </c>
      <c r="K805" t="str">
        <f ca="1">IF(AND(B805&gt;='План недели'!$B$4,B805&lt;'План недели'!$D$4,D805&lt;&gt;"",G805&lt;&gt;"Отменён"),COUNTIFS($B$5:B805,"&gt;="&amp;'План недели'!$B$4,$B$5:B805,"&lt;"&amp;'План недели'!$D$4,$D$5:D805,"&lt;&gt;",$G$5:G805,"&lt;&gt;Отменён"),"")</f>
        <v/>
      </c>
    </row>
    <row r="806" spans="1:11">
      <c r="A806" t="str">
        <f>IF(B806="","","VIS_"&amp;(YEAR(B806)*10000+MONTH(B806)*100+DAY(B806))&amp;"_"&amp;IF(COUNTIF($B$5:B806,B806)&lt;10,"00"&amp;COUNTIF($B$5:B806,B806),IF(COUNTIF($B$5:B806,B806)&lt;100,"0"&amp;COUNTIF($B$5:B806,B806),COUNTIF($B$5:B806,B806))))</f>
        <v>VIS_20280119_001</v>
      </c>
      <c r="B806" s="40">
        <v>46771</v>
      </c>
      <c r="C806" s="47" t="str">
        <f t="shared" si="24"/>
        <v>Ср</v>
      </c>
      <c r="I806" s="46"/>
      <c r="J806" s="39">
        <f t="shared" si="25"/>
        <v>46771</v>
      </c>
      <c r="K806" t="str">
        <f ca="1">IF(AND(B806&gt;='План недели'!$B$4,B806&lt;'План недели'!$D$4,D806&lt;&gt;"",G806&lt;&gt;"Отменён"),COUNTIFS($B$5:B806,"&gt;="&amp;'План недели'!$B$4,$B$5:B806,"&lt;"&amp;'План недели'!$D$4,$D$5:D806,"&lt;&gt;",$G$5:G806,"&lt;&gt;Отменён"),"")</f>
        <v/>
      </c>
    </row>
    <row r="807" spans="1:11">
      <c r="A807" t="str">
        <f>IF(B807="","","VIS_"&amp;(YEAR(B807)*10000+MONTH(B807)*100+DAY(B807))&amp;"_"&amp;IF(COUNTIF($B$5:B807,B807)&lt;10,"00"&amp;COUNTIF($B$5:B807,B807),IF(COUNTIF($B$5:B807,B807)&lt;100,"0"&amp;COUNTIF($B$5:B807,B807),COUNTIF($B$5:B807,B807))))</f>
        <v>VIS_20280120_001</v>
      </c>
      <c r="B807" s="40">
        <v>46772</v>
      </c>
      <c r="C807" s="47" t="str">
        <f t="shared" si="24"/>
        <v>Чт</v>
      </c>
      <c r="I807" s="46"/>
      <c r="J807" s="39">
        <f t="shared" si="25"/>
        <v>46771</v>
      </c>
      <c r="K807" t="str">
        <f ca="1">IF(AND(B807&gt;='План недели'!$B$4,B807&lt;'План недели'!$D$4,D807&lt;&gt;"",G807&lt;&gt;"Отменён"),COUNTIFS($B$5:B807,"&gt;="&amp;'План недели'!$B$4,$B$5:B807,"&lt;"&amp;'План недели'!$D$4,$D$5:D807,"&lt;&gt;",$G$5:G807,"&lt;&gt;Отменён"),"")</f>
        <v/>
      </c>
    </row>
    <row r="808" spans="1:11">
      <c r="A808" t="str">
        <f>IF(B808="","","VIS_"&amp;(YEAR(B808)*10000+MONTH(B808)*100+DAY(B808))&amp;"_"&amp;IF(COUNTIF($B$5:B808,B808)&lt;10,"00"&amp;COUNTIF($B$5:B808,B808),IF(COUNTIF($B$5:B808,B808)&lt;100,"0"&amp;COUNTIF($B$5:B808,B808),COUNTIF($B$5:B808,B808))))</f>
        <v>VIS_20280121_001</v>
      </c>
      <c r="B808" s="40">
        <v>46773</v>
      </c>
      <c r="C808" s="47" t="str">
        <f t="shared" si="24"/>
        <v>Пт</v>
      </c>
      <c r="I808" s="46"/>
      <c r="J808" s="39">
        <f t="shared" si="25"/>
        <v>46771</v>
      </c>
      <c r="K808" t="str">
        <f ca="1">IF(AND(B808&gt;='План недели'!$B$4,B808&lt;'План недели'!$D$4,D808&lt;&gt;"",G808&lt;&gt;"Отменён"),COUNTIFS($B$5:B808,"&gt;="&amp;'План недели'!$B$4,$B$5:B808,"&lt;"&amp;'План недели'!$D$4,$D$5:D808,"&lt;&gt;",$G$5:G808,"&lt;&gt;Отменён"),"")</f>
        <v/>
      </c>
    </row>
    <row r="809" spans="1:11">
      <c r="A809" t="str">
        <f>IF(B809="","","VIS_"&amp;(YEAR(B809)*10000+MONTH(B809)*100+DAY(B809))&amp;"_"&amp;IF(COUNTIF($B$5:B809,B809)&lt;10,"00"&amp;COUNTIF($B$5:B809,B809),IF(COUNTIF($B$5:B809,B809)&lt;100,"0"&amp;COUNTIF($B$5:B809,B809),COUNTIF($B$5:B809,B809))))</f>
        <v>VIS_20280122_001</v>
      </c>
      <c r="B809" s="42">
        <v>46774</v>
      </c>
      <c r="C809" s="49" t="str">
        <f t="shared" si="24"/>
        <v>Сб</v>
      </c>
      <c r="I809" s="46"/>
      <c r="J809" s="39">
        <f t="shared" si="25"/>
        <v>46771</v>
      </c>
      <c r="K809" t="str">
        <f ca="1">IF(AND(B809&gt;='План недели'!$B$4,B809&lt;'План недели'!$D$4,D809&lt;&gt;"",G809&lt;&gt;"Отменён"),COUNTIFS($B$5:B809,"&gt;="&amp;'План недели'!$B$4,$B$5:B809,"&lt;"&amp;'План недели'!$D$4,$D$5:D809,"&lt;&gt;",$G$5:G809,"&lt;&gt;Отменён"),"")</f>
        <v/>
      </c>
    </row>
    <row r="810" spans="1:11">
      <c r="A810" t="str">
        <f>IF(B810="","","VIS_"&amp;(YEAR(B810)*10000+MONTH(B810)*100+DAY(B810))&amp;"_"&amp;IF(COUNTIF($B$5:B810,B810)&lt;10,"00"&amp;COUNTIF($B$5:B810,B810),IF(COUNTIF($B$5:B810,B810)&lt;100,"0"&amp;COUNTIF($B$5:B810,B810),COUNTIF($B$5:B810,B810))))</f>
        <v>VIS_20280123_001</v>
      </c>
      <c r="B810" s="42">
        <v>46775</v>
      </c>
      <c r="C810" s="49" t="str">
        <f t="shared" si="24"/>
        <v>Вс</v>
      </c>
      <c r="I810" s="46"/>
      <c r="J810" s="39">
        <f t="shared" si="25"/>
        <v>46771</v>
      </c>
      <c r="K810" t="str">
        <f ca="1">IF(AND(B810&gt;='План недели'!$B$4,B810&lt;'План недели'!$D$4,D810&lt;&gt;"",G810&lt;&gt;"Отменён"),COUNTIFS($B$5:B810,"&gt;="&amp;'План недели'!$B$4,$B$5:B810,"&lt;"&amp;'План недели'!$D$4,$D$5:D810,"&lt;&gt;",$G$5:G810,"&lt;&gt;Отменён"),"")</f>
        <v/>
      </c>
    </row>
    <row r="811" spans="1:11">
      <c r="A811" t="str">
        <f>IF(B811="","","VIS_"&amp;(YEAR(B811)*10000+MONTH(B811)*100+DAY(B811))&amp;"_"&amp;IF(COUNTIF($B$5:B811,B811)&lt;10,"00"&amp;COUNTIF($B$5:B811,B811),IF(COUNTIF($B$5:B811,B811)&lt;100,"0"&amp;COUNTIF($B$5:B811,B811),COUNTIF($B$5:B811,B811))))</f>
        <v>VIS_20280124_001</v>
      </c>
      <c r="B811" s="40">
        <v>46776</v>
      </c>
      <c r="C811" s="47" t="str">
        <f t="shared" si="24"/>
        <v>Пн</v>
      </c>
      <c r="I811" s="46"/>
      <c r="J811" s="39">
        <f t="shared" si="25"/>
        <v>46771</v>
      </c>
      <c r="K811" t="str">
        <f ca="1">IF(AND(B811&gt;='План недели'!$B$4,B811&lt;'План недели'!$D$4,D811&lt;&gt;"",G811&lt;&gt;"Отменён"),COUNTIFS($B$5:B811,"&gt;="&amp;'План недели'!$B$4,$B$5:B811,"&lt;"&amp;'План недели'!$D$4,$D$5:D811,"&lt;&gt;",$G$5:G811,"&lt;&gt;Отменён"),"")</f>
        <v/>
      </c>
    </row>
    <row r="812" spans="1:11">
      <c r="A812" t="str">
        <f>IF(B812="","","VIS_"&amp;(YEAR(B812)*10000+MONTH(B812)*100+DAY(B812))&amp;"_"&amp;IF(COUNTIF($B$5:B812,B812)&lt;10,"00"&amp;COUNTIF($B$5:B812,B812),IF(COUNTIF($B$5:B812,B812)&lt;100,"0"&amp;COUNTIF($B$5:B812,B812),COUNTIF($B$5:B812,B812))))</f>
        <v>VIS_20280125_001</v>
      </c>
      <c r="B812" s="40">
        <v>46777</v>
      </c>
      <c r="C812" s="47" t="str">
        <f t="shared" si="24"/>
        <v>Вт</v>
      </c>
      <c r="I812" s="46"/>
      <c r="J812" s="39">
        <f t="shared" si="25"/>
        <v>46771</v>
      </c>
      <c r="K812" t="str">
        <f ca="1">IF(AND(B812&gt;='План недели'!$B$4,B812&lt;'План недели'!$D$4,D812&lt;&gt;"",G812&lt;&gt;"Отменён"),COUNTIFS($B$5:B812,"&gt;="&amp;'План недели'!$B$4,$B$5:B812,"&lt;"&amp;'План недели'!$D$4,$D$5:D812,"&lt;&gt;",$G$5:G812,"&lt;&gt;Отменён"),"")</f>
        <v/>
      </c>
    </row>
    <row r="813" spans="1:11">
      <c r="A813" t="str">
        <f>IF(B813="","","VIS_"&amp;(YEAR(B813)*10000+MONTH(B813)*100+DAY(B813))&amp;"_"&amp;IF(COUNTIF($B$5:B813,B813)&lt;10,"00"&amp;COUNTIF($B$5:B813,B813),IF(COUNTIF($B$5:B813,B813)&lt;100,"0"&amp;COUNTIF($B$5:B813,B813),COUNTIF($B$5:B813,B813))))</f>
        <v>VIS_20280126_001</v>
      </c>
      <c r="B813" s="40">
        <v>46778</v>
      </c>
      <c r="C813" s="47" t="str">
        <f t="shared" si="24"/>
        <v>Ср</v>
      </c>
      <c r="I813" s="46"/>
      <c r="J813" s="39">
        <f t="shared" si="25"/>
        <v>46778</v>
      </c>
      <c r="K813" t="str">
        <f ca="1">IF(AND(B813&gt;='План недели'!$B$4,B813&lt;'План недели'!$D$4,D813&lt;&gt;"",G813&lt;&gt;"Отменён"),COUNTIFS($B$5:B813,"&gt;="&amp;'План недели'!$B$4,$B$5:B813,"&lt;"&amp;'План недели'!$D$4,$D$5:D813,"&lt;&gt;",$G$5:G813,"&lt;&gt;Отменён"),"")</f>
        <v/>
      </c>
    </row>
    <row r="814" spans="1:11">
      <c r="A814" t="str">
        <f>IF(B814="","","VIS_"&amp;(YEAR(B814)*10000+MONTH(B814)*100+DAY(B814))&amp;"_"&amp;IF(COUNTIF($B$5:B814,B814)&lt;10,"00"&amp;COUNTIF($B$5:B814,B814),IF(COUNTIF($B$5:B814,B814)&lt;100,"0"&amp;COUNTIF($B$5:B814,B814),COUNTIF($B$5:B814,B814))))</f>
        <v>VIS_20280127_001</v>
      </c>
      <c r="B814" s="40">
        <v>46779</v>
      </c>
      <c r="C814" s="47" t="str">
        <f t="shared" si="24"/>
        <v>Чт</v>
      </c>
      <c r="I814" s="46"/>
      <c r="J814" s="39">
        <f t="shared" si="25"/>
        <v>46778</v>
      </c>
      <c r="K814" t="str">
        <f ca="1">IF(AND(B814&gt;='План недели'!$B$4,B814&lt;'План недели'!$D$4,D814&lt;&gt;"",G814&lt;&gt;"Отменён"),COUNTIFS($B$5:B814,"&gt;="&amp;'План недели'!$B$4,$B$5:B814,"&lt;"&amp;'План недели'!$D$4,$D$5:D814,"&lt;&gt;",$G$5:G814,"&lt;&gt;Отменён"),"")</f>
        <v/>
      </c>
    </row>
    <row r="815" spans="1:11">
      <c r="A815" t="str">
        <f>IF(B815="","","VIS_"&amp;(YEAR(B815)*10000+MONTH(B815)*100+DAY(B815))&amp;"_"&amp;IF(COUNTIF($B$5:B815,B815)&lt;10,"00"&amp;COUNTIF($B$5:B815,B815),IF(COUNTIF($B$5:B815,B815)&lt;100,"0"&amp;COUNTIF($B$5:B815,B815),COUNTIF($B$5:B815,B815))))</f>
        <v>VIS_20280128_001</v>
      </c>
      <c r="B815" s="40">
        <v>46780</v>
      </c>
      <c r="C815" s="47" t="str">
        <f t="shared" si="24"/>
        <v>Пт</v>
      </c>
      <c r="I815" s="46"/>
      <c r="J815" s="39">
        <f t="shared" si="25"/>
        <v>46778</v>
      </c>
      <c r="K815" t="str">
        <f ca="1">IF(AND(B815&gt;='План недели'!$B$4,B815&lt;'План недели'!$D$4,D815&lt;&gt;"",G815&lt;&gt;"Отменён"),COUNTIFS($B$5:B815,"&gt;="&amp;'План недели'!$B$4,$B$5:B815,"&lt;"&amp;'План недели'!$D$4,$D$5:D815,"&lt;&gt;",$G$5:G815,"&lt;&gt;Отменён"),"")</f>
        <v/>
      </c>
    </row>
    <row r="816" spans="1:11">
      <c r="A816" t="str">
        <f>IF(B816="","","VIS_"&amp;(YEAR(B816)*10000+MONTH(B816)*100+DAY(B816))&amp;"_"&amp;IF(COUNTIF($B$5:B816,B816)&lt;10,"00"&amp;COUNTIF($B$5:B816,B816),IF(COUNTIF($B$5:B816,B816)&lt;100,"0"&amp;COUNTIF($B$5:B816,B816),COUNTIF($B$5:B816,B816))))</f>
        <v>VIS_20280129_001</v>
      </c>
      <c r="B816" s="42">
        <v>46781</v>
      </c>
      <c r="C816" s="49" t="str">
        <f t="shared" si="24"/>
        <v>Сб</v>
      </c>
      <c r="I816" s="46"/>
      <c r="J816" s="39">
        <f t="shared" si="25"/>
        <v>46778</v>
      </c>
      <c r="K816" t="str">
        <f ca="1">IF(AND(B816&gt;='План недели'!$B$4,B816&lt;'План недели'!$D$4,D816&lt;&gt;"",G816&lt;&gt;"Отменён"),COUNTIFS($B$5:B816,"&gt;="&amp;'План недели'!$B$4,$B$5:B816,"&lt;"&amp;'План недели'!$D$4,$D$5:D816,"&lt;&gt;",$G$5:G816,"&lt;&gt;Отменён"),"")</f>
        <v/>
      </c>
    </row>
    <row r="817" spans="1:11">
      <c r="A817" t="str">
        <f>IF(B817="","","VIS_"&amp;(YEAR(B817)*10000+MONTH(B817)*100+DAY(B817))&amp;"_"&amp;IF(COUNTIF($B$5:B817,B817)&lt;10,"00"&amp;COUNTIF($B$5:B817,B817),IF(COUNTIF($B$5:B817,B817)&lt;100,"0"&amp;COUNTIF($B$5:B817,B817),COUNTIF($B$5:B817,B817))))</f>
        <v>VIS_20280130_001</v>
      </c>
      <c r="B817" s="42">
        <v>46782</v>
      </c>
      <c r="C817" s="49" t="str">
        <f t="shared" si="24"/>
        <v>Вс</v>
      </c>
      <c r="I817" s="46"/>
      <c r="J817" s="39">
        <f t="shared" si="25"/>
        <v>46778</v>
      </c>
      <c r="K817" t="str">
        <f ca="1">IF(AND(B817&gt;='План недели'!$B$4,B817&lt;'План недели'!$D$4,D817&lt;&gt;"",G817&lt;&gt;"Отменён"),COUNTIFS($B$5:B817,"&gt;="&amp;'План недели'!$B$4,$B$5:B817,"&lt;"&amp;'План недели'!$D$4,$D$5:D817,"&lt;&gt;",$G$5:G817,"&lt;&gt;Отменён"),"")</f>
        <v/>
      </c>
    </row>
    <row r="818" spans="1:11">
      <c r="A818" t="str">
        <f>IF(B818="","","VIS_"&amp;(YEAR(B818)*10000+MONTH(B818)*100+DAY(B818))&amp;"_"&amp;IF(COUNTIF($B$5:B818,B818)&lt;10,"00"&amp;COUNTIF($B$5:B818,B818),IF(COUNTIF($B$5:B818,B818)&lt;100,"0"&amp;COUNTIF($B$5:B818,B818),COUNTIF($B$5:B818,B818))))</f>
        <v>VIS_20280131_001</v>
      </c>
      <c r="B818" s="40">
        <v>46783</v>
      </c>
      <c r="C818" s="47" t="str">
        <f t="shared" si="24"/>
        <v>Пн</v>
      </c>
      <c r="I818" s="46"/>
      <c r="J818" s="39">
        <f t="shared" si="25"/>
        <v>46778</v>
      </c>
      <c r="K818" t="str">
        <f ca="1">IF(AND(B818&gt;='План недели'!$B$4,B818&lt;'План недели'!$D$4,D818&lt;&gt;"",G818&lt;&gt;"Отменён"),COUNTIFS($B$5:B818,"&gt;="&amp;'План недели'!$B$4,$B$5:B818,"&lt;"&amp;'План недели'!$D$4,$D$5:D818,"&lt;&gt;",$G$5:G818,"&lt;&gt;Отменён"),"")</f>
        <v/>
      </c>
    </row>
    <row r="819" spans="1:11">
      <c r="A819" t="str">
        <f>IF(B819="","","VIS_"&amp;(YEAR(B819)*10000+MONTH(B819)*100+DAY(B819))&amp;"_"&amp;IF(COUNTIF($B$5:B819,B819)&lt;10,"00"&amp;COUNTIF($B$5:B819,B819),IF(COUNTIF($B$5:B819,B819)&lt;100,"0"&amp;COUNTIF($B$5:B819,B819),COUNTIF($B$5:B819,B819))))</f>
        <v>VIS_20280201_001</v>
      </c>
      <c r="B819" s="40">
        <v>46784</v>
      </c>
      <c r="C819" s="47" t="str">
        <f t="shared" si="24"/>
        <v>Вт</v>
      </c>
      <c r="I819" s="46"/>
      <c r="J819" s="39">
        <f t="shared" si="25"/>
        <v>46778</v>
      </c>
      <c r="K819" t="str">
        <f ca="1">IF(AND(B819&gt;='План недели'!$B$4,B819&lt;'План недели'!$D$4,D819&lt;&gt;"",G819&lt;&gt;"Отменён"),COUNTIFS($B$5:B819,"&gt;="&amp;'План недели'!$B$4,$B$5:B819,"&lt;"&amp;'План недели'!$D$4,$D$5:D819,"&lt;&gt;",$G$5:G819,"&lt;&gt;Отменён"),"")</f>
        <v/>
      </c>
    </row>
    <row r="820" spans="1:11">
      <c r="A820" t="str">
        <f>IF(B820="","","VIS_"&amp;(YEAR(B820)*10000+MONTH(B820)*100+DAY(B820))&amp;"_"&amp;IF(COUNTIF($B$5:B820,B820)&lt;10,"00"&amp;COUNTIF($B$5:B820,B820),IF(COUNTIF($B$5:B820,B820)&lt;100,"0"&amp;COUNTIF($B$5:B820,B820),COUNTIF($B$5:B820,B820))))</f>
        <v>VIS_20280202_001</v>
      </c>
      <c r="B820" s="40">
        <v>46785</v>
      </c>
      <c r="C820" s="47" t="str">
        <f t="shared" si="24"/>
        <v>Ср</v>
      </c>
      <c r="I820" s="46"/>
      <c r="J820" s="39">
        <f t="shared" si="25"/>
        <v>46785</v>
      </c>
      <c r="K820" t="str">
        <f ca="1">IF(AND(B820&gt;='План недели'!$B$4,B820&lt;'План недели'!$D$4,D820&lt;&gt;"",G820&lt;&gt;"Отменён"),COUNTIFS($B$5:B820,"&gt;="&amp;'План недели'!$B$4,$B$5:B820,"&lt;"&amp;'План недели'!$D$4,$D$5:D820,"&lt;&gt;",$G$5:G820,"&lt;&gt;Отменён"),"")</f>
        <v/>
      </c>
    </row>
    <row r="821" spans="1:11">
      <c r="A821" t="str">
        <f>IF(B821="","","VIS_"&amp;(YEAR(B821)*10000+MONTH(B821)*100+DAY(B821))&amp;"_"&amp;IF(COUNTIF($B$5:B821,B821)&lt;10,"00"&amp;COUNTIF($B$5:B821,B821),IF(COUNTIF($B$5:B821,B821)&lt;100,"0"&amp;COUNTIF($B$5:B821,B821),COUNTIF($B$5:B821,B821))))</f>
        <v>VIS_20280203_001</v>
      </c>
      <c r="B821" s="40">
        <v>46786</v>
      </c>
      <c r="C821" s="47" t="str">
        <f t="shared" si="24"/>
        <v>Чт</v>
      </c>
      <c r="I821" s="46"/>
      <c r="J821" s="39">
        <f t="shared" si="25"/>
        <v>46785</v>
      </c>
      <c r="K821" t="str">
        <f ca="1">IF(AND(B821&gt;='План недели'!$B$4,B821&lt;'План недели'!$D$4,D821&lt;&gt;"",G821&lt;&gt;"Отменён"),COUNTIFS($B$5:B821,"&gt;="&amp;'План недели'!$B$4,$B$5:B821,"&lt;"&amp;'План недели'!$D$4,$D$5:D821,"&lt;&gt;",$G$5:G821,"&lt;&gt;Отменён"),"")</f>
        <v/>
      </c>
    </row>
    <row r="822" spans="1:11">
      <c r="A822" t="str">
        <f>IF(B822="","","VIS_"&amp;(YEAR(B822)*10000+MONTH(B822)*100+DAY(B822))&amp;"_"&amp;IF(COUNTIF($B$5:B822,B822)&lt;10,"00"&amp;COUNTIF($B$5:B822,B822),IF(COUNTIF($B$5:B822,B822)&lt;100,"0"&amp;COUNTIF($B$5:B822,B822),COUNTIF($B$5:B822,B822))))</f>
        <v>VIS_20280204_001</v>
      </c>
      <c r="B822" s="40">
        <v>46787</v>
      </c>
      <c r="C822" s="47" t="str">
        <f t="shared" si="24"/>
        <v>Пт</v>
      </c>
      <c r="I822" s="46"/>
      <c r="J822" s="39">
        <f t="shared" si="25"/>
        <v>46785</v>
      </c>
      <c r="K822" t="str">
        <f ca="1">IF(AND(B822&gt;='План недели'!$B$4,B822&lt;'План недели'!$D$4,D822&lt;&gt;"",G822&lt;&gt;"Отменён"),COUNTIFS($B$5:B822,"&gt;="&amp;'План недели'!$B$4,$B$5:B822,"&lt;"&amp;'План недели'!$D$4,$D$5:D822,"&lt;&gt;",$G$5:G822,"&lt;&gt;Отменён"),"")</f>
        <v/>
      </c>
    </row>
    <row r="823" spans="1:11">
      <c r="A823" t="str">
        <f>IF(B823="","","VIS_"&amp;(YEAR(B823)*10000+MONTH(B823)*100+DAY(B823))&amp;"_"&amp;IF(COUNTIF($B$5:B823,B823)&lt;10,"00"&amp;COUNTIF($B$5:B823,B823),IF(COUNTIF($B$5:B823,B823)&lt;100,"0"&amp;COUNTIF($B$5:B823,B823),COUNTIF($B$5:B823,B823))))</f>
        <v>VIS_20280205_001</v>
      </c>
      <c r="B823" s="42">
        <v>46788</v>
      </c>
      <c r="C823" s="49" t="str">
        <f t="shared" si="24"/>
        <v>Сб</v>
      </c>
      <c r="I823" s="46"/>
      <c r="J823" s="39">
        <f t="shared" si="25"/>
        <v>46785</v>
      </c>
      <c r="K823" t="str">
        <f ca="1">IF(AND(B823&gt;='План недели'!$B$4,B823&lt;'План недели'!$D$4,D823&lt;&gt;"",G823&lt;&gt;"Отменён"),COUNTIFS($B$5:B823,"&gt;="&amp;'План недели'!$B$4,$B$5:B823,"&lt;"&amp;'План недели'!$D$4,$D$5:D823,"&lt;&gt;",$G$5:G823,"&lt;&gt;Отменён"),"")</f>
        <v/>
      </c>
    </row>
    <row r="824" spans="1:11">
      <c r="A824" t="str">
        <f>IF(B824="","","VIS_"&amp;(YEAR(B824)*10000+MONTH(B824)*100+DAY(B824))&amp;"_"&amp;IF(COUNTIF($B$5:B824,B824)&lt;10,"00"&amp;COUNTIF($B$5:B824,B824),IF(COUNTIF($B$5:B824,B824)&lt;100,"0"&amp;COUNTIF($B$5:B824,B824),COUNTIF($B$5:B824,B824))))</f>
        <v>VIS_20280206_001</v>
      </c>
      <c r="B824" s="42">
        <v>46789</v>
      </c>
      <c r="C824" s="49" t="str">
        <f t="shared" si="24"/>
        <v>Вс</v>
      </c>
      <c r="I824" s="46"/>
      <c r="J824" s="39">
        <f t="shared" si="25"/>
        <v>46785</v>
      </c>
      <c r="K824" t="str">
        <f ca="1">IF(AND(B824&gt;='План недели'!$B$4,B824&lt;'План недели'!$D$4,D824&lt;&gt;"",G824&lt;&gt;"Отменён"),COUNTIFS($B$5:B824,"&gt;="&amp;'План недели'!$B$4,$B$5:B824,"&lt;"&amp;'План недели'!$D$4,$D$5:D824,"&lt;&gt;",$G$5:G824,"&lt;&gt;Отменён"),"")</f>
        <v/>
      </c>
    </row>
    <row r="825" spans="1:11">
      <c r="A825" t="str">
        <f>IF(B825="","","VIS_"&amp;(YEAR(B825)*10000+MONTH(B825)*100+DAY(B825))&amp;"_"&amp;IF(COUNTIF($B$5:B825,B825)&lt;10,"00"&amp;COUNTIF($B$5:B825,B825),IF(COUNTIF($B$5:B825,B825)&lt;100,"0"&amp;COUNTIF($B$5:B825,B825),COUNTIF($B$5:B825,B825))))</f>
        <v>VIS_20280207_001</v>
      </c>
      <c r="B825" s="40">
        <v>46790</v>
      </c>
      <c r="C825" s="47" t="str">
        <f t="shared" si="24"/>
        <v>Пн</v>
      </c>
      <c r="I825" s="46"/>
      <c r="J825" s="39">
        <f t="shared" si="25"/>
        <v>46785</v>
      </c>
      <c r="K825" t="str">
        <f ca="1">IF(AND(B825&gt;='План недели'!$B$4,B825&lt;'План недели'!$D$4,D825&lt;&gt;"",G825&lt;&gt;"Отменён"),COUNTIFS($B$5:B825,"&gt;="&amp;'План недели'!$B$4,$B$5:B825,"&lt;"&amp;'План недели'!$D$4,$D$5:D825,"&lt;&gt;",$G$5:G825,"&lt;&gt;Отменён"),"")</f>
        <v/>
      </c>
    </row>
    <row r="826" spans="1:11">
      <c r="A826" t="str">
        <f>IF(B826="","","VIS_"&amp;(YEAR(B826)*10000+MONTH(B826)*100+DAY(B826))&amp;"_"&amp;IF(COUNTIF($B$5:B826,B826)&lt;10,"00"&amp;COUNTIF($B$5:B826,B826),IF(COUNTIF($B$5:B826,B826)&lt;100,"0"&amp;COUNTIF($B$5:B826,B826),COUNTIF($B$5:B826,B826))))</f>
        <v>VIS_20280208_001</v>
      </c>
      <c r="B826" s="40">
        <v>46791</v>
      </c>
      <c r="C826" s="47" t="str">
        <f t="shared" si="24"/>
        <v>Вт</v>
      </c>
      <c r="I826" s="46"/>
      <c r="J826" s="39">
        <f t="shared" si="25"/>
        <v>46785</v>
      </c>
      <c r="K826" t="str">
        <f ca="1">IF(AND(B826&gt;='План недели'!$B$4,B826&lt;'План недели'!$D$4,D826&lt;&gt;"",G826&lt;&gt;"Отменён"),COUNTIFS($B$5:B826,"&gt;="&amp;'План недели'!$B$4,$B$5:B826,"&lt;"&amp;'План недели'!$D$4,$D$5:D826,"&lt;&gt;",$G$5:G826,"&lt;&gt;Отменён"),"")</f>
        <v/>
      </c>
    </row>
    <row r="827" spans="1:11">
      <c r="A827" t="str">
        <f>IF(B827="","","VIS_"&amp;(YEAR(B827)*10000+MONTH(B827)*100+DAY(B827))&amp;"_"&amp;IF(COUNTIF($B$5:B827,B827)&lt;10,"00"&amp;COUNTIF($B$5:B827,B827),IF(COUNTIF($B$5:B827,B827)&lt;100,"0"&amp;COUNTIF($B$5:B827,B827),COUNTIF($B$5:B827,B827))))</f>
        <v>VIS_20280209_001</v>
      </c>
      <c r="B827" s="40">
        <v>46792</v>
      </c>
      <c r="C827" s="47" t="str">
        <f t="shared" si="24"/>
        <v>Ср</v>
      </c>
      <c r="I827" s="46"/>
      <c r="J827" s="39">
        <f t="shared" si="25"/>
        <v>46792</v>
      </c>
      <c r="K827" t="str">
        <f ca="1">IF(AND(B827&gt;='План недели'!$B$4,B827&lt;'План недели'!$D$4,D827&lt;&gt;"",G827&lt;&gt;"Отменён"),COUNTIFS($B$5:B827,"&gt;="&amp;'План недели'!$B$4,$B$5:B827,"&lt;"&amp;'План недели'!$D$4,$D$5:D827,"&lt;&gt;",$G$5:G827,"&lt;&gt;Отменён"),"")</f>
        <v/>
      </c>
    </row>
    <row r="828" spans="1:11">
      <c r="A828" t="str">
        <f>IF(B828="","","VIS_"&amp;(YEAR(B828)*10000+MONTH(B828)*100+DAY(B828))&amp;"_"&amp;IF(COUNTIF($B$5:B828,B828)&lt;10,"00"&amp;COUNTIF($B$5:B828,B828),IF(COUNTIF($B$5:B828,B828)&lt;100,"0"&amp;COUNTIF($B$5:B828,B828),COUNTIF($B$5:B828,B828))))</f>
        <v>VIS_20280210_001</v>
      </c>
      <c r="B828" s="40">
        <v>46793</v>
      </c>
      <c r="C828" s="47" t="str">
        <f t="shared" si="24"/>
        <v>Чт</v>
      </c>
      <c r="I828" s="46"/>
      <c r="J828" s="39">
        <f t="shared" si="25"/>
        <v>46792</v>
      </c>
      <c r="K828" t="str">
        <f ca="1">IF(AND(B828&gt;='План недели'!$B$4,B828&lt;'План недели'!$D$4,D828&lt;&gt;"",G828&lt;&gt;"Отменён"),COUNTIFS($B$5:B828,"&gt;="&amp;'План недели'!$B$4,$B$5:B828,"&lt;"&amp;'План недели'!$D$4,$D$5:D828,"&lt;&gt;",$G$5:G828,"&lt;&gt;Отменён"),"")</f>
        <v/>
      </c>
    </row>
    <row r="829" spans="1:11">
      <c r="A829" t="str">
        <f>IF(B829="","","VIS_"&amp;(YEAR(B829)*10000+MONTH(B829)*100+DAY(B829))&amp;"_"&amp;IF(COUNTIF($B$5:B829,B829)&lt;10,"00"&amp;COUNTIF($B$5:B829,B829),IF(COUNTIF($B$5:B829,B829)&lt;100,"0"&amp;COUNTIF($B$5:B829,B829),COUNTIF($B$5:B829,B829))))</f>
        <v>VIS_20280211_001</v>
      </c>
      <c r="B829" s="40">
        <v>46794</v>
      </c>
      <c r="C829" s="47" t="str">
        <f t="shared" si="24"/>
        <v>Пт</v>
      </c>
      <c r="I829" s="46"/>
      <c r="J829" s="39">
        <f t="shared" si="25"/>
        <v>46792</v>
      </c>
      <c r="K829" t="str">
        <f ca="1">IF(AND(B829&gt;='План недели'!$B$4,B829&lt;'План недели'!$D$4,D829&lt;&gt;"",G829&lt;&gt;"Отменён"),COUNTIFS($B$5:B829,"&gt;="&amp;'План недели'!$B$4,$B$5:B829,"&lt;"&amp;'План недели'!$D$4,$D$5:D829,"&lt;&gt;",$G$5:G829,"&lt;&gt;Отменён"),"")</f>
        <v/>
      </c>
    </row>
    <row r="830" spans="1:11">
      <c r="A830" t="str">
        <f>IF(B830="","","VIS_"&amp;(YEAR(B830)*10000+MONTH(B830)*100+DAY(B830))&amp;"_"&amp;IF(COUNTIF($B$5:B830,B830)&lt;10,"00"&amp;COUNTIF($B$5:B830,B830),IF(COUNTIF($B$5:B830,B830)&lt;100,"0"&amp;COUNTIF($B$5:B830,B830),COUNTIF($B$5:B830,B830))))</f>
        <v>VIS_20280212_001</v>
      </c>
      <c r="B830" s="42">
        <v>46795</v>
      </c>
      <c r="C830" s="49" t="str">
        <f t="shared" si="24"/>
        <v>Сб</v>
      </c>
      <c r="I830" s="46"/>
      <c r="J830" s="39">
        <f t="shared" si="25"/>
        <v>46792</v>
      </c>
      <c r="K830" t="str">
        <f ca="1">IF(AND(B830&gt;='План недели'!$B$4,B830&lt;'План недели'!$D$4,D830&lt;&gt;"",G830&lt;&gt;"Отменён"),COUNTIFS($B$5:B830,"&gt;="&amp;'План недели'!$B$4,$B$5:B830,"&lt;"&amp;'План недели'!$D$4,$D$5:D830,"&lt;&gt;",$G$5:G830,"&lt;&gt;Отменён"),"")</f>
        <v/>
      </c>
    </row>
    <row r="831" spans="1:11">
      <c r="A831" t="str">
        <f>IF(B831="","","VIS_"&amp;(YEAR(B831)*10000+MONTH(B831)*100+DAY(B831))&amp;"_"&amp;IF(COUNTIF($B$5:B831,B831)&lt;10,"00"&amp;COUNTIF($B$5:B831,B831),IF(COUNTIF($B$5:B831,B831)&lt;100,"0"&amp;COUNTIF($B$5:B831,B831),COUNTIF($B$5:B831,B831))))</f>
        <v>VIS_20280213_001</v>
      </c>
      <c r="B831" s="42">
        <v>46796</v>
      </c>
      <c r="C831" s="49" t="str">
        <f t="shared" si="24"/>
        <v>Вс</v>
      </c>
      <c r="I831" s="46"/>
      <c r="J831" s="39">
        <f t="shared" si="25"/>
        <v>46792</v>
      </c>
      <c r="K831" t="str">
        <f ca="1">IF(AND(B831&gt;='План недели'!$B$4,B831&lt;'План недели'!$D$4,D831&lt;&gt;"",G831&lt;&gt;"Отменён"),COUNTIFS($B$5:B831,"&gt;="&amp;'План недели'!$B$4,$B$5:B831,"&lt;"&amp;'План недели'!$D$4,$D$5:D831,"&lt;&gt;",$G$5:G831,"&lt;&gt;Отменён"),"")</f>
        <v/>
      </c>
    </row>
    <row r="832" spans="1:11">
      <c r="A832" t="str">
        <f>IF(B832="","","VIS_"&amp;(YEAR(B832)*10000+MONTH(B832)*100+DAY(B832))&amp;"_"&amp;IF(COUNTIF($B$5:B832,B832)&lt;10,"00"&amp;COUNTIF($B$5:B832,B832),IF(COUNTIF($B$5:B832,B832)&lt;100,"0"&amp;COUNTIF($B$5:B832,B832),COUNTIF($B$5:B832,B832))))</f>
        <v>VIS_20280214_001</v>
      </c>
      <c r="B832" s="40">
        <v>46797</v>
      </c>
      <c r="C832" s="47" t="str">
        <f t="shared" si="24"/>
        <v>Пн</v>
      </c>
      <c r="I832" s="46"/>
      <c r="J832" s="39">
        <f t="shared" si="25"/>
        <v>46792</v>
      </c>
      <c r="K832" t="str">
        <f ca="1">IF(AND(B832&gt;='План недели'!$B$4,B832&lt;'План недели'!$D$4,D832&lt;&gt;"",G832&lt;&gt;"Отменён"),COUNTIFS($B$5:B832,"&gt;="&amp;'План недели'!$B$4,$B$5:B832,"&lt;"&amp;'План недели'!$D$4,$D$5:D832,"&lt;&gt;",$G$5:G832,"&lt;&gt;Отменён"),"")</f>
        <v/>
      </c>
    </row>
    <row r="833" spans="1:11">
      <c r="A833" t="str">
        <f>IF(B833="","","VIS_"&amp;(YEAR(B833)*10000+MONTH(B833)*100+DAY(B833))&amp;"_"&amp;IF(COUNTIF($B$5:B833,B833)&lt;10,"00"&amp;COUNTIF($B$5:B833,B833),IF(COUNTIF($B$5:B833,B833)&lt;100,"0"&amp;COUNTIF($B$5:B833,B833),COUNTIF($B$5:B833,B833))))</f>
        <v>VIS_20280215_001</v>
      </c>
      <c r="B833" s="40">
        <v>46798</v>
      </c>
      <c r="C833" s="47" t="str">
        <f t="shared" si="24"/>
        <v>Вт</v>
      </c>
      <c r="I833" s="46"/>
      <c r="J833" s="39">
        <f t="shared" si="25"/>
        <v>46792</v>
      </c>
      <c r="K833" t="str">
        <f ca="1">IF(AND(B833&gt;='План недели'!$B$4,B833&lt;'План недели'!$D$4,D833&lt;&gt;"",G833&lt;&gt;"Отменён"),COUNTIFS($B$5:B833,"&gt;="&amp;'План недели'!$B$4,$B$5:B833,"&lt;"&amp;'План недели'!$D$4,$D$5:D833,"&lt;&gt;",$G$5:G833,"&lt;&gt;Отменён"),"")</f>
        <v/>
      </c>
    </row>
    <row r="834" spans="1:11">
      <c r="A834" t="str">
        <f>IF(B834="","","VIS_"&amp;(YEAR(B834)*10000+MONTH(B834)*100+DAY(B834))&amp;"_"&amp;IF(COUNTIF($B$5:B834,B834)&lt;10,"00"&amp;COUNTIF($B$5:B834,B834),IF(COUNTIF($B$5:B834,B834)&lt;100,"0"&amp;COUNTIF($B$5:B834,B834),COUNTIF($B$5:B834,B834))))</f>
        <v>VIS_20280216_001</v>
      </c>
      <c r="B834" s="40">
        <v>46799</v>
      </c>
      <c r="C834" s="47" t="str">
        <f t="shared" si="24"/>
        <v>Ср</v>
      </c>
      <c r="I834" s="46"/>
      <c r="J834" s="39">
        <f t="shared" si="25"/>
        <v>46799</v>
      </c>
      <c r="K834" t="str">
        <f ca="1">IF(AND(B834&gt;='План недели'!$B$4,B834&lt;'План недели'!$D$4,D834&lt;&gt;"",G834&lt;&gt;"Отменён"),COUNTIFS($B$5:B834,"&gt;="&amp;'План недели'!$B$4,$B$5:B834,"&lt;"&amp;'План недели'!$D$4,$D$5:D834,"&lt;&gt;",$G$5:G834,"&lt;&gt;Отменён"),"")</f>
        <v/>
      </c>
    </row>
    <row r="835" spans="1:11">
      <c r="A835" t="str">
        <f>IF(B835="","","VIS_"&amp;(YEAR(B835)*10000+MONTH(B835)*100+DAY(B835))&amp;"_"&amp;IF(COUNTIF($B$5:B835,B835)&lt;10,"00"&amp;COUNTIF($B$5:B835,B835),IF(COUNTIF($B$5:B835,B835)&lt;100,"0"&amp;COUNTIF($B$5:B835,B835),COUNTIF($B$5:B835,B835))))</f>
        <v>VIS_20280217_001</v>
      </c>
      <c r="B835" s="40">
        <v>46800</v>
      </c>
      <c r="C835" s="47" t="str">
        <f t="shared" si="24"/>
        <v>Чт</v>
      </c>
      <c r="I835" s="46"/>
      <c r="J835" s="39">
        <f t="shared" si="25"/>
        <v>46799</v>
      </c>
      <c r="K835" t="str">
        <f ca="1">IF(AND(B835&gt;='План недели'!$B$4,B835&lt;'План недели'!$D$4,D835&lt;&gt;"",G835&lt;&gt;"Отменён"),COUNTIFS($B$5:B835,"&gt;="&amp;'План недели'!$B$4,$B$5:B835,"&lt;"&amp;'План недели'!$D$4,$D$5:D835,"&lt;&gt;",$G$5:G835,"&lt;&gt;Отменён"),"")</f>
        <v/>
      </c>
    </row>
    <row r="836" spans="1:11">
      <c r="A836" t="str">
        <f>IF(B836="","","VIS_"&amp;(YEAR(B836)*10000+MONTH(B836)*100+DAY(B836))&amp;"_"&amp;IF(COUNTIF($B$5:B836,B836)&lt;10,"00"&amp;COUNTIF($B$5:B836,B836),IF(COUNTIF($B$5:B836,B836)&lt;100,"0"&amp;COUNTIF($B$5:B836,B836),COUNTIF($B$5:B836,B836))))</f>
        <v>VIS_20280218_001</v>
      </c>
      <c r="B836" s="40">
        <v>46801</v>
      </c>
      <c r="C836" s="47" t="str">
        <f t="shared" si="24"/>
        <v>Пт</v>
      </c>
      <c r="I836" s="46"/>
      <c r="J836" s="39">
        <f t="shared" si="25"/>
        <v>46799</v>
      </c>
      <c r="K836" t="str">
        <f ca="1">IF(AND(B836&gt;='План недели'!$B$4,B836&lt;'План недели'!$D$4,D836&lt;&gt;"",G836&lt;&gt;"Отменён"),COUNTIFS($B$5:B836,"&gt;="&amp;'План недели'!$B$4,$B$5:B836,"&lt;"&amp;'План недели'!$D$4,$D$5:D836,"&lt;&gt;",$G$5:G836,"&lt;&gt;Отменён"),"")</f>
        <v/>
      </c>
    </row>
    <row r="837" spans="1:11">
      <c r="A837" t="str">
        <f>IF(B837="","","VIS_"&amp;(YEAR(B837)*10000+MONTH(B837)*100+DAY(B837))&amp;"_"&amp;IF(COUNTIF($B$5:B837,B837)&lt;10,"00"&amp;COUNTIF($B$5:B837,B837),IF(COUNTIF($B$5:B837,B837)&lt;100,"0"&amp;COUNTIF($B$5:B837,B837),COUNTIF($B$5:B837,B837))))</f>
        <v>VIS_20280219_001</v>
      </c>
      <c r="B837" s="42">
        <v>46802</v>
      </c>
      <c r="C837" s="49" t="str">
        <f t="shared" ref="C837:C900" si="26">IF(B837="","",CHOOSE(WEEKDAY(B837,2),"Пн","Вт","Ср","Чт","Пт","Сб","Вс"))</f>
        <v>Сб</v>
      </c>
      <c r="I837" s="46"/>
      <c r="J837" s="39">
        <f t="shared" ref="J837:J900" si="27">IF(B837="","",B837-MOD(WEEKDAY(B837,2)-3,7))</f>
        <v>46799</v>
      </c>
      <c r="K837" t="str">
        <f ca="1">IF(AND(B837&gt;='План недели'!$B$4,B837&lt;'План недели'!$D$4,D837&lt;&gt;"",G837&lt;&gt;"Отменён"),COUNTIFS($B$5:B837,"&gt;="&amp;'План недели'!$B$4,$B$5:B837,"&lt;"&amp;'План недели'!$D$4,$D$5:D837,"&lt;&gt;",$G$5:G837,"&lt;&gt;Отменён"),"")</f>
        <v/>
      </c>
    </row>
    <row r="838" spans="1:11">
      <c r="A838" t="str">
        <f>IF(B838="","","VIS_"&amp;(YEAR(B838)*10000+MONTH(B838)*100+DAY(B838))&amp;"_"&amp;IF(COUNTIF($B$5:B838,B838)&lt;10,"00"&amp;COUNTIF($B$5:B838,B838),IF(COUNTIF($B$5:B838,B838)&lt;100,"0"&amp;COUNTIF($B$5:B838,B838),COUNTIF($B$5:B838,B838))))</f>
        <v>VIS_20280220_001</v>
      </c>
      <c r="B838" s="42">
        <v>46803</v>
      </c>
      <c r="C838" s="49" t="str">
        <f t="shared" si="26"/>
        <v>Вс</v>
      </c>
      <c r="I838" s="46"/>
      <c r="J838" s="39">
        <f t="shared" si="27"/>
        <v>46799</v>
      </c>
      <c r="K838" t="str">
        <f ca="1">IF(AND(B838&gt;='План недели'!$B$4,B838&lt;'План недели'!$D$4,D838&lt;&gt;"",G838&lt;&gt;"Отменён"),COUNTIFS($B$5:B838,"&gt;="&amp;'План недели'!$B$4,$B$5:B838,"&lt;"&amp;'План недели'!$D$4,$D$5:D838,"&lt;&gt;",$G$5:G838,"&lt;&gt;Отменён"),"")</f>
        <v/>
      </c>
    </row>
    <row r="839" spans="1:11">
      <c r="A839" t="str">
        <f>IF(B839="","","VIS_"&amp;(YEAR(B839)*10000+MONTH(B839)*100+DAY(B839))&amp;"_"&amp;IF(COUNTIF($B$5:B839,B839)&lt;10,"00"&amp;COUNTIF($B$5:B839,B839),IF(COUNTIF($B$5:B839,B839)&lt;100,"0"&amp;COUNTIF($B$5:B839,B839),COUNTIF($B$5:B839,B839))))</f>
        <v>VIS_20280221_001</v>
      </c>
      <c r="B839" s="40">
        <v>46804</v>
      </c>
      <c r="C839" s="47" t="str">
        <f t="shared" si="26"/>
        <v>Пн</v>
      </c>
      <c r="I839" s="46"/>
      <c r="J839" s="39">
        <f t="shared" si="27"/>
        <v>46799</v>
      </c>
      <c r="K839" t="str">
        <f ca="1">IF(AND(B839&gt;='План недели'!$B$4,B839&lt;'План недели'!$D$4,D839&lt;&gt;"",G839&lt;&gt;"Отменён"),COUNTIFS($B$5:B839,"&gt;="&amp;'План недели'!$B$4,$B$5:B839,"&lt;"&amp;'План недели'!$D$4,$D$5:D839,"&lt;&gt;",$G$5:G839,"&lt;&gt;Отменён"),"")</f>
        <v/>
      </c>
    </row>
    <row r="840" spans="1:11">
      <c r="A840" t="str">
        <f>IF(B840="","","VIS_"&amp;(YEAR(B840)*10000+MONTH(B840)*100+DAY(B840))&amp;"_"&amp;IF(COUNTIF($B$5:B840,B840)&lt;10,"00"&amp;COUNTIF($B$5:B840,B840),IF(COUNTIF($B$5:B840,B840)&lt;100,"0"&amp;COUNTIF($B$5:B840,B840),COUNTIF($B$5:B840,B840))))</f>
        <v>VIS_20280222_001</v>
      </c>
      <c r="B840" s="40">
        <v>46805</v>
      </c>
      <c r="C840" s="47" t="str">
        <f t="shared" si="26"/>
        <v>Вт</v>
      </c>
      <c r="I840" s="46"/>
      <c r="J840" s="39">
        <f t="shared" si="27"/>
        <v>46799</v>
      </c>
      <c r="K840" t="str">
        <f ca="1">IF(AND(B840&gt;='План недели'!$B$4,B840&lt;'План недели'!$D$4,D840&lt;&gt;"",G840&lt;&gt;"Отменён"),COUNTIFS($B$5:B840,"&gt;="&amp;'План недели'!$B$4,$B$5:B840,"&lt;"&amp;'План недели'!$D$4,$D$5:D840,"&lt;&gt;",$G$5:G840,"&lt;&gt;Отменён"),"")</f>
        <v/>
      </c>
    </row>
    <row r="841" spans="1:11">
      <c r="A841" t="str">
        <f>IF(B841="","","VIS_"&amp;(YEAR(B841)*10000+MONTH(B841)*100+DAY(B841))&amp;"_"&amp;IF(COUNTIF($B$5:B841,B841)&lt;10,"00"&amp;COUNTIF($B$5:B841,B841),IF(COUNTIF($B$5:B841,B841)&lt;100,"0"&amp;COUNTIF($B$5:B841,B841),COUNTIF($B$5:B841,B841))))</f>
        <v>VIS_20280223_001</v>
      </c>
      <c r="B841" s="40">
        <v>46806</v>
      </c>
      <c r="C841" s="47" t="str">
        <f t="shared" si="26"/>
        <v>Ср</v>
      </c>
      <c r="I841" s="46"/>
      <c r="J841" s="39">
        <f t="shared" si="27"/>
        <v>46806</v>
      </c>
      <c r="K841" t="str">
        <f ca="1">IF(AND(B841&gt;='План недели'!$B$4,B841&lt;'План недели'!$D$4,D841&lt;&gt;"",G841&lt;&gt;"Отменён"),COUNTIFS($B$5:B841,"&gt;="&amp;'План недели'!$B$4,$B$5:B841,"&lt;"&amp;'План недели'!$D$4,$D$5:D841,"&lt;&gt;",$G$5:G841,"&lt;&gt;Отменён"),"")</f>
        <v/>
      </c>
    </row>
    <row r="842" spans="1:11">
      <c r="A842" t="str">
        <f>IF(B842="","","VIS_"&amp;(YEAR(B842)*10000+MONTH(B842)*100+DAY(B842))&amp;"_"&amp;IF(COUNTIF($B$5:B842,B842)&lt;10,"00"&amp;COUNTIF($B$5:B842,B842),IF(COUNTIF($B$5:B842,B842)&lt;100,"0"&amp;COUNTIF($B$5:B842,B842),COUNTIF($B$5:B842,B842))))</f>
        <v>VIS_20280224_001</v>
      </c>
      <c r="B842" s="40">
        <v>46807</v>
      </c>
      <c r="C842" s="47" t="str">
        <f t="shared" si="26"/>
        <v>Чт</v>
      </c>
      <c r="I842" s="46"/>
      <c r="J842" s="39">
        <f t="shared" si="27"/>
        <v>46806</v>
      </c>
      <c r="K842" t="str">
        <f ca="1">IF(AND(B842&gt;='План недели'!$B$4,B842&lt;'План недели'!$D$4,D842&lt;&gt;"",G842&lt;&gt;"Отменён"),COUNTIFS($B$5:B842,"&gt;="&amp;'План недели'!$B$4,$B$5:B842,"&lt;"&amp;'План недели'!$D$4,$D$5:D842,"&lt;&gt;",$G$5:G842,"&lt;&gt;Отменён"),"")</f>
        <v/>
      </c>
    </row>
    <row r="843" spans="1:11">
      <c r="A843" t="str">
        <f>IF(B843="","","VIS_"&amp;(YEAR(B843)*10000+MONTH(B843)*100+DAY(B843))&amp;"_"&amp;IF(COUNTIF($B$5:B843,B843)&lt;10,"00"&amp;COUNTIF($B$5:B843,B843),IF(COUNTIF($B$5:B843,B843)&lt;100,"0"&amp;COUNTIF($B$5:B843,B843),COUNTIF($B$5:B843,B843))))</f>
        <v>VIS_20280225_001</v>
      </c>
      <c r="B843" s="40">
        <v>46808</v>
      </c>
      <c r="C843" s="47" t="str">
        <f t="shared" si="26"/>
        <v>Пт</v>
      </c>
      <c r="I843" s="46"/>
      <c r="J843" s="39">
        <f t="shared" si="27"/>
        <v>46806</v>
      </c>
      <c r="K843" t="str">
        <f ca="1">IF(AND(B843&gt;='План недели'!$B$4,B843&lt;'План недели'!$D$4,D843&lt;&gt;"",G843&lt;&gt;"Отменён"),COUNTIFS($B$5:B843,"&gt;="&amp;'План недели'!$B$4,$B$5:B843,"&lt;"&amp;'План недели'!$D$4,$D$5:D843,"&lt;&gt;",$G$5:G843,"&lt;&gt;Отменён"),"")</f>
        <v/>
      </c>
    </row>
    <row r="844" spans="1:11">
      <c r="A844" t="str">
        <f>IF(B844="","","VIS_"&amp;(YEAR(B844)*10000+MONTH(B844)*100+DAY(B844))&amp;"_"&amp;IF(COUNTIF($B$5:B844,B844)&lt;10,"00"&amp;COUNTIF($B$5:B844,B844),IF(COUNTIF($B$5:B844,B844)&lt;100,"0"&amp;COUNTIF($B$5:B844,B844),COUNTIF($B$5:B844,B844))))</f>
        <v>VIS_20280226_001</v>
      </c>
      <c r="B844" s="42">
        <v>46809</v>
      </c>
      <c r="C844" s="49" t="str">
        <f t="shared" si="26"/>
        <v>Сб</v>
      </c>
      <c r="I844" s="46"/>
      <c r="J844" s="39">
        <f t="shared" si="27"/>
        <v>46806</v>
      </c>
      <c r="K844" t="str">
        <f ca="1">IF(AND(B844&gt;='План недели'!$B$4,B844&lt;'План недели'!$D$4,D844&lt;&gt;"",G844&lt;&gt;"Отменён"),COUNTIFS($B$5:B844,"&gt;="&amp;'План недели'!$B$4,$B$5:B844,"&lt;"&amp;'План недели'!$D$4,$D$5:D844,"&lt;&gt;",$G$5:G844,"&lt;&gt;Отменён"),"")</f>
        <v/>
      </c>
    </row>
    <row r="845" spans="1:11">
      <c r="A845" t="str">
        <f>IF(B845="","","VIS_"&amp;(YEAR(B845)*10000+MONTH(B845)*100+DAY(B845))&amp;"_"&amp;IF(COUNTIF($B$5:B845,B845)&lt;10,"00"&amp;COUNTIF($B$5:B845,B845),IF(COUNTIF($B$5:B845,B845)&lt;100,"0"&amp;COUNTIF($B$5:B845,B845),COUNTIF($B$5:B845,B845))))</f>
        <v>VIS_20280227_001</v>
      </c>
      <c r="B845" s="42">
        <v>46810</v>
      </c>
      <c r="C845" s="49" t="str">
        <f t="shared" si="26"/>
        <v>Вс</v>
      </c>
      <c r="I845" s="46"/>
      <c r="J845" s="39">
        <f t="shared" si="27"/>
        <v>46806</v>
      </c>
      <c r="K845" t="str">
        <f ca="1">IF(AND(B845&gt;='План недели'!$B$4,B845&lt;'План недели'!$D$4,D845&lt;&gt;"",G845&lt;&gt;"Отменён"),COUNTIFS($B$5:B845,"&gt;="&amp;'План недели'!$B$4,$B$5:B845,"&lt;"&amp;'План недели'!$D$4,$D$5:D845,"&lt;&gt;",$G$5:G845,"&lt;&gt;Отменён"),"")</f>
        <v/>
      </c>
    </row>
    <row r="846" spans="1:11">
      <c r="A846" t="str">
        <f>IF(B846="","","VIS_"&amp;(YEAR(B846)*10000+MONTH(B846)*100+DAY(B846))&amp;"_"&amp;IF(COUNTIF($B$5:B846,B846)&lt;10,"00"&amp;COUNTIF($B$5:B846,B846),IF(COUNTIF($B$5:B846,B846)&lt;100,"0"&amp;COUNTIF($B$5:B846,B846),COUNTIF($B$5:B846,B846))))</f>
        <v>VIS_20280228_001</v>
      </c>
      <c r="B846" s="40">
        <v>46811</v>
      </c>
      <c r="C846" s="47" t="str">
        <f t="shared" si="26"/>
        <v>Пн</v>
      </c>
      <c r="I846" s="46"/>
      <c r="J846" s="39">
        <f t="shared" si="27"/>
        <v>46806</v>
      </c>
      <c r="K846" t="str">
        <f ca="1">IF(AND(B846&gt;='План недели'!$B$4,B846&lt;'План недели'!$D$4,D846&lt;&gt;"",G846&lt;&gt;"Отменён"),COUNTIFS($B$5:B846,"&gt;="&amp;'План недели'!$B$4,$B$5:B846,"&lt;"&amp;'План недели'!$D$4,$D$5:D846,"&lt;&gt;",$G$5:G846,"&lt;&gt;Отменён"),"")</f>
        <v/>
      </c>
    </row>
    <row r="847" spans="1:11">
      <c r="A847" t="str">
        <f>IF(B847="","","VIS_"&amp;(YEAR(B847)*10000+MONTH(B847)*100+DAY(B847))&amp;"_"&amp;IF(COUNTIF($B$5:B847,B847)&lt;10,"00"&amp;COUNTIF($B$5:B847,B847),IF(COUNTIF($B$5:B847,B847)&lt;100,"0"&amp;COUNTIF($B$5:B847,B847),COUNTIF($B$5:B847,B847))))</f>
        <v>VIS_20280229_001</v>
      </c>
      <c r="B847" s="40">
        <v>46812</v>
      </c>
      <c r="C847" s="47" t="str">
        <f t="shared" si="26"/>
        <v>Вт</v>
      </c>
      <c r="I847" s="46"/>
      <c r="J847" s="39">
        <f t="shared" si="27"/>
        <v>46806</v>
      </c>
      <c r="K847" t="str">
        <f ca="1">IF(AND(B847&gt;='План недели'!$B$4,B847&lt;'План недели'!$D$4,D847&lt;&gt;"",G847&lt;&gt;"Отменён"),COUNTIFS($B$5:B847,"&gt;="&amp;'План недели'!$B$4,$B$5:B847,"&lt;"&amp;'План недели'!$D$4,$D$5:D847,"&lt;&gt;",$G$5:G847,"&lt;&gt;Отменён"),"")</f>
        <v/>
      </c>
    </row>
    <row r="848" spans="1:11">
      <c r="A848" t="str">
        <f>IF(B848="","","VIS_"&amp;(YEAR(B848)*10000+MONTH(B848)*100+DAY(B848))&amp;"_"&amp;IF(COUNTIF($B$5:B848,B848)&lt;10,"00"&amp;COUNTIF($B$5:B848,B848),IF(COUNTIF($B$5:B848,B848)&lt;100,"0"&amp;COUNTIF($B$5:B848,B848),COUNTIF($B$5:B848,B848))))</f>
        <v>VIS_20280301_001</v>
      </c>
      <c r="B848" s="40">
        <v>46813</v>
      </c>
      <c r="C848" s="47" t="str">
        <f t="shared" si="26"/>
        <v>Ср</v>
      </c>
      <c r="I848" s="46"/>
      <c r="J848" s="39">
        <f t="shared" si="27"/>
        <v>46813</v>
      </c>
      <c r="K848" t="str">
        <f ca="1">IF(AND(B848&gt;='План недели'!$B$4,B848&lt;'План недели'!$D$4,D848&lt;&gt;"",G848&lt;&gt;"Отменён"),COUNTIFS($B$5:B848,"&gt;="&amp;'План недели'!$B$4,$B$5:B848,"&lt;"&amp;'План недели'!$D$4,$D$5:D848,"&lt;&gt;",$G$5:G848,"&lt;&gt;Отменён"),"")</f>
        <v/>
      </c>
    </row>
    <row r="849" spans="1:11">
      <c r="A849" t="str">
        <f>IF(B849="","","VIS_"&amp;(YEAR(B849)*10000+MONTH(B849)*100+DAY(B849))&amp;"_"&amp;IF(COUNTIF($B$5:B849,B849)&lt;10,"00"&amp;COUNTIF($B$5:B849,B849),IF(COUNTIF($B$5:B849,B849)&lt;100,"0"&amp;COUNTIF($B$5:B849,B849),COUNTIF($B$5:B849,B849))))</f>
        <v>VIS_20280302_001</v>
      </c>
      <c r="B849" s="40">
        <v>46814</v>
      </c>
      <c r="C849" s="47" t="str">
        <f t="shared" si="26"/>
        <v>Чт</v>
      </c>
      <c r="I849" s="46"/>
      <c r="J849" s="39">
        <f t="shared" si="27"/>
        <v>46813</v>
      </c>
      <c r="K849" t="str">
        <f ca="1">IF(AND(B849&gt;='План недели'!$B$4,B849&lt;'План недели'!$D$4,D849&lt;&gt;"",G849&lt;&gt;"Отменён"),COUNTIFS($B$5:B849,"&gt;="&amp;'План недели'!$B$4,$B$5:B849,"&lt;"&amp;'План недели'!$D$4,$D$5:D849,"&lt;&gt;",$G$5:G849,"&lt;&gt;Отменён"),"")</f>
        <v/>
      </c>
    </row>
    <row r="850" spans="1:11">
      <c r="A850" t="str">
        <f>IF(B850="","","VIS_"&amp;(YEAR(B850)*10000+MONTH(B850)*100+DAY(B850))&amp;"_"&amp;IF(COUNTIF($B$5:B850,B850)&lt;10,"00"&amp;COUNTIF($B$5:B850,B850),IF(COUNTIF($B$5:B850,B850)&lt;100,"0"&amp;COUNTIF($B$5:B850,B850),COUNTIF($B$5:B850,B850))))</f>
        <v>VIS_20280303_001</v>
      </c>
      <c r="B850" s="40">
        <v>46815</v>
      </c>
      <c r="C850" s="47" t="str">
        <f t="shared" si="26"/>
        <v>Пт</v>
      </c>
      <c r="I850" s="46"/>
      <c r="J850" s="39">
        <f t="shared" si="27"/>
        <v>46813</v>
      </c>
      <c r="K850" t="str">
        <f ca="1">IF(AND(B850&gt;='План недели'!$B$4,B850&lt;'План недели'!$D$4,D850&lt;&gt;"",G850&lt;&gt;"Отменён"),COUNTIFS($B$5:B850,"&gt;="&amp;'План недели'!$B$4,$B$5:B850,"&lt;"&amp;'План недели'!$D$4,$D$5:D850,"&lt;&gt;",$G$5:G850,"&lt;&gt;Отменён"),"")</f>
        <v/>
      </c>
    </row>
    <row r="851" spans="1:11">
      <c r="A851" t="str">
        <f>IF(B851="","","VIS_"&amp;(YEAR(B851)*10000+MONTH(B851)*100+DAY(B851))&amp;"_"&amp;IF(COUNTIF($B$5:B851,B851)&lt;10,"00"&amp;COUNTIF($B$5:B851,B851),IF(COUNTIF($B$5:B851,B851)&lt;100,"0"&amp;COUNTIF($B$5:B851,B851),COUNTIF($B$5:B851,B851))))</f>
        <v>VIS_20280304_001</v>
      </c>
      <c r="B851" s="42">
        <v>46816</v>
      </c>
      <c r="C851" s="49" t="str">
        <f t="shared" si="26"/>
        <v>Сб</v>
      </c>
      <c r="I851" s="46"/>
      <c r="J851" s="39">
        <f t="shared" si="27"/>
        <v>46813</v>
      </c>
      <c r="K851" t="str">
        <f ca="1">IF(AND(B851&gt;='План недели'!$B$4,B851&lt;'План недели'!$D$4,D851&lt;&gt;"",G851&lt;&gt;"Отменён"),COUNTIFS($B$5:B851,"&gt;="&amp;'План недели'!$B$4,$B$5:B851,"&lt;"&amp;'План недели'!$D$4,$D$5:D851,"&lt;&gt;",$G$5:G851,"&lt;&gt;Отменён"),"")</f>
        <v/>
      </c>
    </row>
    <row r="852" spans="1:11">
      <c r="A852" t="str">
        <f>IF(B852="","","VIS_"&amp;(YEAR(B852)*10000+MONTH(B852)*100+DAY(B852))&amp;"_"&amp;IF(COUNTIF($B$5:B852,B852)&lt;10,"00"&amp;COUNTIF($B$5:B852,B852),IF(COUNTIF($B$5:B852,B852)&lt;100,"0"&amp;COUNTIF($B$5:B852,B852),COUNTIF($B$5:B852,B852))))</f>
        <v>VIS_20280305_001</v>
      </c>
      <c r="B852" s="42">
        <v>46817</v>
      </c>
      <c r="C852" s="49" t="str">
        <f t="shared" si="26"/>
        <v>Вс</v>
      </c>
      <c r="I852" s="46"/>
      <c r="J852" s="39">
        <f t="shared" si="27"/>
        <v>46813</v>
      </c>
      <c r="K852" t="str">
        <f ca="1">IF(AND(B852&gt;='План недели'!$B$4,B852&lt;'План недели'!$D$4,D852&lt;&gt;"",G852&lt;&gt;"Отменён"),COUNTIFS($B$5:B852,"&gt;="&amp;'План недели'!$B$4,$B$5:B852,"&lt;"&amp;'План недели'!$D$4,$D$5:D852,"&lt;&gt;",$G$5:G852,"&lt;&gt;Отменён"),"")</f>
        <v/>
      </c>
    </row>
    <row r="853" spans="1:11">
      <c r="A853" t="str">
        <f>IF(B853="","","VIS_"&amp;(YEAR(B853)*10000+MONTH(B853)*100+DAY(B853))&amp;"_"&amp;IF(COUNTIF($B$5:B853,B853)&lt;10,"00"&amp;COUNTIF($B$5:B853,B853),IF(COUNTIF($B$5:B853,B853)&lt;100,"0"&amp;COUNTIF($B$5:B853,B853),COUNTIF($B$5:B853,B853))))</f>
        <v>VIS_20280306_001</v>
      </c>
      <c r="B853" s="40">
        <v>46818</v>
      </c>
      <c r="C853" s="47" t="str">
        <f t="shared" si="26"/>
        <v>Пн</v>
      </c>
      <c r="I853" s="46"/>
      <c r="J853" s="39">
        <f t="shared" si="27"/>
        <v>46813</v>
      </c>
      <c r="K853" t="str">
        <f ca="1">IF(AND(B853&gt;='План недели'!$B$4,B853&lt;'План недели'!$D$4,D853&lt;&gt;"",G853&lt;&gt;"Отменён"),COUNTIFS($B$5:B853,"&gt;="&amp;'План недели'!$B$4,$B$5:B853,"&lt;"&amp;'План недели'!$D$4,$D$5:D853,"&lt;&gt;",$G$5:G853,"&lt;&gt;Отменён"),"")</f>
        <v/>
      </c>
    </row>
    <row r="854" spans="1:11">
      <c r="A854" t="str">
        <f>IF(B854="","","VIS_"&amp;(YEAR(B854)*10000+MONTH(B854)*100+DAY(B854))&amp;"_"&amp;IF(COUNTIF($B$5:B854,B854)&lt;10,"00"&amp;COUNTIF($B$5:B854,B854),IF(COUNTIF($B$5:B854,B854)&lt;100,"0"&amp;COUNTIF($B$5:B854,B854),COUNTIF($B$5:B854,B854))))</f>
        <v>VIS_20280307_001</v>
      </c>
      <c r="B854" s="40">
        <v>46819</v>
      </c>
      <c r="C854" s="47" t="str">
        <f t="shared" si="26"/>
        <v>Вт</v>
      </c>
      <c r="I854" s="46"/>
      <c r="J854" s="39">
        <f t="shared" si="27"/>
        <v>46813</v>
      </c>
      <c r="K854" t="str">
        <f ca="1">IF(AND(B854&gt;='План недели'!$B$4,B854&lt;'План недели'!$D$4,D854&lt;&gt;"",G854&lt;&gt;"Отменён"),COUNTIFS($B$5:B854,"&gt;="&amp;'План недели'!$B$4,$B$5:B854,"&lt;"&amp;'План недели'!$D$4,$D$5:D854,"&lt;&gt;",$G$5:G854,"&lt;&gt;Отменён"),"")</f>
        <v/>
      </c>
    </row>
    <row r="855" spans="1:11">
      <c r="A855" t="str">
        <f>IF(B855="","","VIS_"&amp;(YEAR(B855)*10000+MONTH(B855)*100+DAY(B855))&amp;"_"&amp;IF(COUNTIF($B$5:B855,B855)&lt;10,"00"&amp;COUNTIF($B$5:B855,B855),IF(COUNTIF($B$5:B855,B855)&lt;100,"0"&amp;COUNTIF($B$5:B855,B855),COUNTIF($B$5:B855,B855))))</f>
        <v>VIS_20280308_001</v>
      </c>
      <c r="B855" s="40">
        <v>46820</v>
      </c>
      <c r="C855" s="47" t="str">
        <f t="shared" si="26"/>
        <v>Ср</v>
      </c>
      <c r="I855" s="46"/>
      <c r="J855" s="39">
        <f t="shared" si="27"/>
        <v>46820</v>
      </c>
      <c r="K855" t="str">
        <f ca="1">IF(AND(B855&gt;='План недели'!$B$4,B855&lt;'План недели'!$D$4,D855&lt;&gt;"",G855&lt;&gt;"Отменён"),COUNTIFS($B$5:B855,"&gt;="&amp;'План недели'!$B$4,$B$5:B855,"&lt;"&amp;'План недели'!$D$4,$D$5:D855,"&lt;&gt;",$G$5:G855,"&lt;&gt;Отменён"),"")</f>
        <v/>
      </c>
    </row>
    <row r="856" spans="1:11">
      <c r="A856" t="str">
        <f>IF(B856="","","VIS_"&amp;(YEAR(B856)*10000+MONTH(B856)*100+DAY(B856))&amp;"_"&amp;IF(COUNTIF($B$5:B856,B856)&lt;10,"00"&amp;COUNTIF($B$5:B856,B856),IF(COUNTIF($B$5:B856,B856)&lt;100,"0"&amp;COUNTIF($B$5:B856,B856),COUNTIF($B$5:B856,B856))))</f>
        <v>VIS_20280309_001</v>
      </c>
      <c r="B856" s="40">
        <v>46821</v>
      </c>
      <c r="C856" s="47" t="str">
        <f t="shared" si="26"/>
        <v>Чт</v>
      </c>
      <c r="I856" s="46"/>
      <c r="J856" s="39">
        <f t="shared" si="27"/>
        <v>46820</v>
      </c>
      <c r="K856" t="str">
        <f ca="1">IF(AND(B856&gt;='План недели'!$B$4,B856&lt;'План недели'!$D$4,D856&lt;&gt;"",G856&lt;&gt;"Отменён"),COUNTIFS($B$5:B856,"&gt;="&amp;'План недели'!$B$4,$B$5:B856,"&lt;"&amp;'План недели'!$D$4,$D$5:D856,"&lt;&gt;",$G$5:G856,"&lt;&gt;Отменён"),"")</f>
        <v/>
      </c>
    </row>
    <row r="857" spans="1:11">
      <c r="A857" t="str">
        <f>IF(B857="","","VIS_"&amp;(YEAR(B857)*10000+MONTH(B857)*100+DAY(B857))&amp;"_"&amp;IF(COUNTIF($B$5:B857,B857)&lt;10,"00"&amp;COUNTIF($B$5:B857,B857),IF(COUNTIF($B$5:B857,B857)&lt;100,"0"&amp;COUNTIF($B$5:B857,B857),COUNTIF($B$5:B857,B857))))</f>
        <v>VIS_20280310_001</v>
      </c>
      <c r="B857" s="40">
        <v>46822</v>
      </c>
      <c r="C857" s="47" t="str">
        <f t="shared" si="26"/>
        <v>Пт</v>
      </c>
      <c r="I857" s="46"/>
      <c r="J857" s="39">
        <f t="shared" si="27"/>
        <v>46820</v>
      </c>
      <c r="K857" t="str">
        <f ca="1">IF(AND(B857&gt;='План недели'!$B$4,B857&lt;'План недели'!$D$4,D857&lt;&gt;"",G857&lt;&gt;"Отменён"),COUNTIFS($B$5:B857,"&gt;="&amp;'План недели'!$B$4,$B$5:B857,"&lt;"&amp;'План недели'!$D$4,$D$5:D857,"&lt;&gt;",$G$5:G857,"&lt;&gt;Отменён"),"")</f>
        <v/>
      </c>
    </row>
    <row r="858" spans="1:11">
      <c r="A858" t="str">
        <f>IF(B858="","","VIS_"&amp;(YEAR(B858)*10000+MONTH(B858)*100+DAY(B858))&amp;"_"&amp;IF(COUNTIF($B$5:B858,B858)&lt;10,"00"&amp;COUNTIF($B$5:B858,B858),IF(COUNTIF($B$5:B858,B858)&lt;100,"0"&amp;COUNTIF($B$5:B858,B858),COUNTIF($B$5:B858,B858))))</f>
        <v>VIS_20280311_001</v>
      </c>
      <c r="B858" s="42">
        <v>46823</v>
      </c>
      <c r="C858" s="49" t="str">
        <f t="shared" si="26"/>
        <v>Сб</v>
      </c>
      <c r="I858" s="46"/>
      <c r="J858" s="39">
        <f t="shared" si="27"/>
        <v>46820</v>
      </c>
      <c r="K858" t="str">
        <f ca="1">IF(AND(B858&gt;='План недели'!$B$4,B858&lt;'План недели'!$D$4,D858&lt;&gt;"",G858&lt;&gt;"Отменён"),COUNTIFS($B$5:B858,"&gt;="&amp;'План недели'!$B$4,$B$5:B858,"&lt;"&amp;'План недели'!$D$4,$D$5:D858,"&lt;&gt;",$G$5:G858,"&lt;&gt;Отменён"),"")</f>
        <v/>
      </c>
    </row>
    <row r="859" spans="1:11">
      <c r="A859" t="str">
        <f>IF(B859="","","VIS_"&amp;(YEAR(B859)*10000+MONTH(B859)*100+DAY(B859))&amp;"_"&amp;IF(COUNTIF($B$5:B859,B859)&lt;10,"00"&amp;COUNTIF($B$5:B859,B859),IF(COUNTIF($B$5:B859,B859)&lt;100,"0"&amp;COUNTIF($B$5:B859,B859),COUNTIF($B$5:B859,B859))))</f>
        <v>VIS_20280312_001</v>
      </c>
      <c r="B859" s="42">
        <v>46824</v>
      </c>
      <c r="C859" s="49" t="str">
        <f t="shared" si="26"/>
        <v>Вс</v>
      </c>
      <c r="I859" s="46"/>
      <c r="J859" s="39">
        <f t="shared" si="27"/>
        <v>46820</v>
      </c>
      <c r="K859" t="str">
        <f ca="1">IF(AND(B859&gt;='План недели'!$B$4,B859&lt;'План недели'!$D$4,D859&lt;&gt;"",G859&lt;&gt;"Отменён"),COUNTIFS($B$5:B859,"&gt;="&amp;'План недели'!$B$4,$B$5:B859,"&lt;"&amp;'План недели'!$D$4,$D$5:D859,"&lt;&gt;",$G$5:G859,"&lt;&gt;Отменён"),"")</f>
        <v/>
      </c>
    </row>
    <row r="860" spans="1:11">
      <c r="A860" t="str">
        <f>IF(B860="","","VIS_"&amp;(YEAR(B860)*10000+MONTH(B860)*100+DAY(B860))&amp;"_"&amp;IF(COUNTIF($B$5:B860,B860)&lt;10,"00"&amp;COUNTIF($B$5:B860,B860),IF(COUNTIF($B$5:B860,B860)&lt;100,"0"&amp;COUNTIF($B$5:B860,B860),COUNTIF($B$5:B860,B860))))</f>
        <v>VIS_20280313_001</v>
      </c>
      <c r="B860" s="40">
        <v>46825</v>
      </c>
      <c r="C860" s="47" t="str">
        <f t="shared" si="26"/>
        <v>Пн</v>
      </c>
      <c r="I860" s="46"/>
      <c r="J860" s="39">
        <f t="shared" si="27"/>
        <v>46820</v>
      </c>
      <c r="K860" t="str">
        <f ca="1">IF(AND(B860&gt;='План недели'!$B$4,B860&lt;'План недели'!$D$4,D860&lt;&gt;"",G860&lt;&gt;"Отменён"),COUNTIFS($B$5:B860,"&gt;="&amp;'План недели'!$B$4,$B$5:B860,"&lt;"&amp;'План недели'!$D$4,$D$5:D860,"&lt;&gt;",$G$5:G860,"&lt;&gt;Отменён"),"")</f>
        <v/>
      </c>
    </row>
    <row r="861" spans="1:11">
      <c r="A861" t="str">
        <f>IF(B861="","","VIS_"&amp;(YEAR(B861)*10000+MONTH(B861)*100+DAY(B861))&amp;"_"&amp;IF(COUNTIF($B$5:B861,B861)&lt;10,"00"&amp;COUNTIF($B$5:B861,B861),IF(COUNTIF($B$5:B861,B861)&lt;100,"0"&amp;COUNTIF($B$5:B861,B861),COUNTIF($B$5:B861,B861))))</f>
        <v>VIS_20280314_001</v>
      </c>
      <c r="B861" s="40">
        <v>46826</v>
      </c>
      <c r="C861" s="47" t="str">
        <f t="shared" si="26"/>
        <v>Вт</v>
      </c>
      <c r="I861" s="46"/>
      <c r="J861" s="39">
        <f t="shared" si="27"/>
        <v>46820</v>
      </c>
      <c r="K861" t="str">
        <f ca="1">IF(AND(B861&gt;='План недели'!$B$4,B861&lt;'План недели'!$D$4,D861&lt;&gt;"",G861&lt;&gt;"Отменён"),COUNTIFS($B$5:B861,"&gt;="&amp;'План недели'!$B$4,$B$5:B861,"&lt;"&amp;'План недели'!$D$4,$D$5:D861,"&lt;&gt;",$G$5:G861,"&lt;&gt;Отменён"),"")</f>
        <v/>
      </c>
    </row>
    <row r="862" spans="1:11">
      <c r="A862" t="str">
        <f>IF(B862="","","VIS_"&amp;(YEAR(B862)*10000+MONTH(B862)*100+DAY(B862))&amp;"_"&amp;IF(COUNTIF($B$5:B862,B862)&lt;10,"00"&amp;COUNTIF($B$5:B862,B862),IF(COUNTIF($B$5:B862,B862)&lt;100,"0"&amp;COUNTIF($B$5:B862,B862),COUNTIF($B$5:B862,B862))))</f>
        <v>VIS_20280315_001</v>
      </c>
      <c r="B862" s="40">
        <v>46827</v>
      </c>
      <c r="C862" s="47" t="str">
        <f t="shared" si="26"/>
        <v>Ср</v>
      </c>
      <c r="I862" s="46"/>
      <c r="J862" s="39">
        <f t="shared" si="27"/>
        <v>46827</v>
      </c>
      <c r="K862" t="str">
        <f ca="1">IF(AND(B862&gt;='План недели'!$B$4,B862&lt;'План недели'!$D$4,D862&lt;&gt;"",G862&lt;&gt;"Отменён"),COUNTIFS($B$5:B862,"&gt;="&amp;'План недели'!$B$4,$B$5:B862,"&lt;"&amp;'План недели'!$D$4,$D$5:D862,"&lt;&gt;",$G$5:G862,"&lt;&gt;Отменён"),"")</f>
        <v/>
      </c>
    </row>
    <row r="863" spans="1:11">
      <c r="A863" t="str">
        <f>IF(B863="","","VIS_"&amp;(YEAR(B863)*10000+MONTH(B863)*100+DAY(B863))&amp;"_"&amp;IF(COUNTIF($B$5:B863,B863)&lt;10,"00"&amp;COUNTIF($B$5:B863,B863),IF(COUNTIF($B$5:B863,B863)&lt;100,"0"&amp;COUNTIF($B$5:B863,B863),COUNTIF($B$5:B863,B863))))</f>
        <v>VIS_20280316_001</v>
      </c>
      <c r="B863" s="40">
        <v>46828</v>
      </c>
      <c r="C863" s="47" t="str">
        <f t="shared" si="26"/>
        <v>Чт</v>
      </c>
      <c r="I863" s="46"/>
      <c r="J863" s="39">
        <f t="shared" si="27"/>
        <v>46827</v>
      </c>
      <c r="K863" t="str">
        <f ca="1">IF(AND(B863&gt;='План недели'!$B$4,B863&lt;'План недели'!$D$4,D863&lt;&gt;"",G863&lt;&gt;"Отменён"),COUNTIFS($B$5:B863,"&gt;="&amp;'План недели'!$B$4,$B$5:B863,"&lt;"&amp;'План недели'!$D$4,$D$5:D863,"&lt;&gt;",$G$5:G863,"&lt;&gt;Отменён"),"")</f>
        <v/>
      </c>
    </row>
    <row r="864" spans="1:11">
      <c r="A864" t="str">
        <f>IF(B864="","","VIS_"&amp;(YEAR(B864)*10000+MONTH(B864)*100+DAY(B864))&amp;"_"&amp;IF(COUNTIF($B$5:B864,B864)&lt;10,"00"&amp;COUNTIF($B$5:B864,B864),IF(COUNTIF($B$5:B864,B864)&lt;100,"0"&amp;COUNTIF($B$5:B864,B864),COUNTIF($B$5:B864,B864))))</f>
        <v>VIS_20280317_001</v>
      </c>
      <c r="B864" s="40">
        <v>46829</v>
      </c>
      <c r="C864" s="47" t="str">
        <f t="shared" si="26"/>
        <v>Пт</v>
      </c>
      <c r="I864" s="46"/>
      <c r="J864" s="39">
        <f t="shared" si="27"/>
        <v>46827</v>
      </c>
      <c r="K864" t="str">
        <f ca="1">IF(AND(B864&gt;='План недели'!$B$4,B864&lt;'План недели'!$D$4,D864&lt;&gt;"",G864&lt;&gt;"Отменён"),COUNTIFS($B$5:B864,"&gt;="&amp;'План недели'!$B$4,$B$5:B864,"&lt;"&amp;'План недели'!$D$4,$D$5:D864,"&lt;&gt;",$G$5:G864,"&lt;&gt;Отменён"),"")</f>
        <v/>
      </c>
    </row>
    <row r="865" spans="1:11">
      <c r="A865" t="str">
        <f>IF(B865="","","VIS_"&amp;(YEAR(B865)*10000+MONTH(B865)*100+DAY(B865))&amp;"_"&amp;IF(COUNTIF($B$5:B865,B865)&lt;10,"00"&amp;COUNTIF($B$5:B865,B865),IF(COUNTIF($B$5:B865,B865)&lt;100,"0"&amp;COUNTIF($B$5:B865,B865),COUNTIF($B$5:B865,B865))))</f>
        <v>VIS_20280318_001</v>
      </c>
      <c r="B865" s="42">
        <v>46830</v>
      </c>
      <c r="C865" s="49" t="str">
        <f t="shared" si="26"/>
        <v>Сб</v>
      </c>
      <c r="I865" s="46"/>
      <c r="J865" s="39">
        <f t="shared" si="27"/>
        <v>46827</v>
      </c>
      <c r="K865" t="str">
        <f ca="1">IF(AND(B865&gt;='План недели'!$B$4,B865&lt;'План недели'!$D$4,D865&lt;&gt;"",G865&lt;&gt;"Отменён"),COUNTIFS($B$5:B865,"&gt;="&amp;'План недели'!$B$4,$B$5:B865,"&lt;"&amp;'План недели'!$D$4,$D$5:D865,"&lt;&gt;",$G$5:G865,"&lt;&gt;Отменён"),"")</f>
        <v/>
      </c>
    </row>
    <row r="866" spans="1:11">
      <c r="A866" t="str">
        <f>IF(B866="","","VIS_"&amp;(YEAR(B866)*10000+MONTH(B866)*100+DAY(B866))&amp;"_"&amp;IF(COUNTIF($B$5:B866,B866)&lt;10,"00"&amp;COUNTIF($B$5:B866,B866),IF(COUNTIF($B$5:B866,B866)&lt;100,"0"&amp;COUNTIF($B$5:B866,B866),COUNTIF($B$5:B866,B866))))</f>
        <v>VIS_20280319_001</v>
      </c>
      <c r="B866" s="42">
        <v>46831</v>
      </c>
      <c r="C866" s="49" t="str">
        <f t="shared" si="26"/>
        <v>Вс</v>
      </c>
      <c r="I866" s="46"/>
      <c r="J866" s="39">
        <f t="shared" si="27"/>
        <v>46827</v>
      </c>
      <c r="K866" t="str">
        <f ca="1">IF(AND(B866&gt;='План недели'!$B$4,B866&lt;'План недели'!$D$4,D866&lt;&gt;"",G866&lt;&gt;"Отменён"),COUNTIFS($B$5:B866,"&gt;="&amp;'План недели'!$B$4,$B$5:B866,"&lt;"&amp;'План недели'!$D$4,$D$5:D866,"&lt;&gt;",$G$5:G866,"&lt;&gt;Отменён"),"")</f>
        <v/>
      </c>
    </row>
    <row r="867" spans="1:11">
      <c r="A867" t="str">
        <f>IF(B867="","","VIS_"&amp;(YEAR(B867)*10000+MONTH(B867)*100+DAY(B867))&amp;"_"&amp;IF(COUNTIF($B$5:B867,B867)&lt;10,"00"&amp;COUNTIF($B$5:B867,B867),IF(COUNTIF($B$5:B867,B867)&lt;100,"0"&amp;COUNTIF($B$5:B867,B867),COUNTIF($B$5:B867,B867))))</f>
        <v>VIS_20280320_001</v>
      </c>
      <c r="B867" s="40">
        <v>46832</v>
      </c>
      <c r="C867" s="47" t="str">
        <f t="shared" si="26"/>
        <v>Пн</v>
      </c>
      <c r="I867" s="46"/>
      <c r="J867" s="39">
        <f t="shared" si="27"/>
        <v>46827</v>
      </c>
      <c r="K867" t="str">
        <f ca="1">IF(AND(B867&gt;='План недели'!$B$4,B867&lt;'План недели'!$D$4,D867&lt;&gt;"",G867&lt;&gt;"Отменён"),COUNTIFS($B$5:B867,"&gt;="&amp;'План недели'!$B$4,$B$5:B867,"&lt;"&amp;'План недели'!$D$4,$D$5:D867,"&lt;&gt;",$G$5:G867,"&lt;&gt;Отменён"),"")</f>
        <v/>
      </c>
    </row>
    <row r="868" spans="1:11">
      <c r="A868" t="str">
        <f>IF(B868="","","VIS_"&amp;(YEAR(B868)*10000+MONTH(B868)*100+DAY(B868))&amp;"_"&amp;IF(COUNTIF($B$5:B868,B868)&lt;10,"00"&amp;COUNTIF($B$5:B868,B868),IF(COUNTIF($B$5:B868,B868)&lt;100,"0"&amp;COUNTIF($B$5:B868,B868),COUNTIF($B$5:B868,B868))))</f>
        <v>VIS_20280321_001</v>
      </c>
      <c r="B868" s="40">
        <v>46833</v>
      </c>
      <c r="C868" s="47" t="str">
        <f t="shared" si="26"/>
        <v>Вт</v>
      </c>
      <c r="I868" s="46"/>
      <c r="J868" s="39">
        <f t="shared" si="27"/>
        <v>46827</v>
      </c>
      <c r="K868" t="str">
        <f ca="1">IF(AND(B868&gt;='План недели'!$B$4,B868&lt;'План недели'!$D$4,D868&lt;&gt;"",G868&lt;&gt;"Отменён"),COUNTIFS($B$5:B868,"&gt;="&amp;'План недели'!$B$4,$B$5:B868,"&lt;"&amp;'План недели'!$D$4,$D$5:D868,"&lt;&gt;",$G$5:G868,"&lt;&gt;Отменён"),"")</f>
        <v/>
      </c>
    </row>
    <row r="869" spans="1:11">
      <c r="A869" t="str">
        <f>IF(B869="","","VIS_"&amp;(YEAR(B869)*10000+MONTH(B869)*100+DAY(B869))&amp;"_"&amp;IF(COUNTIF($B$5:B869,B869)&lt;10,"00"&amp;COUNTIF($B$5:B869,B869),IF(COUNTIF($B$5:B869,B869)&lt;100,"0"&amp;COUNTIF($B$5:B869,B869),COUNTIF($B$5:B869,B869))))</f>
        <v>VIS_20280322_001</v>
      </c>
      <c r="B869" s="40">
        <v>46834</v>
      </c>
      <c r="C869" s="47" t="str">
        <f t="shared" si="26"/>
        <v>Ср</v>
      </c>
      <c r="I869" s="46"/>
      <c r="J869" s="39">
        <f t="shared" si="27"/>
        <v>46834</v>
      </c>
      <c r="K869" t="str">
        <f ca="1">IF(AND(B869&gt;='План недели'!$B$4,B869&lt;'План недели'!$D$4,D869&lt;&gt;"",G869&lt;&gt;"Отменён"),COUNTIFS($B$5:B869,"&gt;="&amp;'План недели'!$B$4,$B$5:B869,"&lt;"&amp;'План недели'!$D$4,$D$5:D869,"&lt;&gt;",$G$5:G869,"&lt;&gt;Отменён"),"")</f>
        <v/>
      </c>
    </row>
    <row r="870" spans="1:11">
      <c r="A870" t="str">
        <f>IF(B870="","","VIS_"&amp;(YEAR(B870)*10000+MONTH(B870)*100+DAY(B870))&amp;"_"&amp;IF(COUNTIF($B$5:B870,B870)&lt;10,"00"&amp;COUNTIF($B$5:B870,B870),IF(COUNTIF($B$5:B870,B870)&lt;100,"0"&amp;COUNTIF($B$5:B870,B870),COUNTIF($B$5:B870,B870))))</f>
        <v>VIS_20280323_001</v>
      </c>
      <c r="B870" s="40">
        <v>46835</v>
      </c>
      <c r="C870" s="47" t="str">
        <f t="shared" si="26"/>
        <v>Чт</v>
      </c>
      <c r="I870" s="46"/>
      <c r="J870" s="39">
        <f t="shared" si="27"/>
        <v>46834</v>
      </c>
      <c r="K870" t="str">
        <f ca="1">IF(AND(B870&gt;='План недели'!$B$4,B870&lt;'План недели'!$D$4,D870&lt;&gt;"",G870&lt;&gt;"Отменён"),COUNTIFS($B$5:B870,"&gt;="&amp;'План недели'!$B$4,$B$5:B870,"&lt;"&amp;'План недели'!$D$4,$D$5:D870,"&lt;&gt;",$G$5:G870,"&lt;&gt;Отменён"),"")</f>
        <v/>
      </c>
    </row>
    <row r="871" spans="1:11">
      <c r="A871" t="str">
        <f>IF(B871="","","VIS_"&amp;(YEAR(B871)*10000+MONTH(B871)*100+DAY(B871))&amp;"_"&amp;IF(COUNTIF($B$5:B871,B871)&lt;10,"00"&amp;COUNTIF($B$5:B871,B871),IF(COUNTIF($B$5:B871,B871)&lt;100,"0"&amp;COUNTIF($B$5:B871,B871),COUNTIF($B$5:B871,B871))))</f>
        <v>VIS_20280324_001</v>
      </c>
      <c r="B871" s="40">
        <v>46836</v>
      </c>
      <c r="C871" s="47" t="str">
        <f t="shared" si="26"/>
        <v>Пт</v>
      </c>
      <c r="I871" s="46"/>
      <c r="J871" s="39">
        <f t="shared" si="27"/>
        <v>46834</v>
      </c>
      <c r="K871" t="str">
        <f ca="1">IF(AND(B871&gt;='План недели'!$B$4,B871&lt;'План недели'!$D$4,D871&lt;&gt;"",G871&lt;&gt;"Отменён"),COUNTIFS($B$5:B871,"&gt;="&amp;'План недели'!$B$4,$B$5:B871,"&lt;"&amp;'План недели'!$D$4,$D$5:D871,"&lt;&gt;",$G$5:G871,"&lt;&gt;Отменён"),"")</f>
        <v/>
      </c>
    </row>
    <row r="872" spans="1:11">
      <c r="A872" t="str">
        <f>IF(B872="","","VIS_"&amp;(YEAR(B872)*10000+MONTH(B872)*100+DAY(B872))&amp;"_"&amp;IF(COUNTIF($B$5:B872,B872)&lt;10,"00"&amp;COUNTIF($B$5:B872,B872),IF(COUNTIF($B$5:B872,B872)&lt;100,"0"&amp;COUNTIF($B$5:B872,B872),COUNTIF($B$5:B872,B872))))</f>
        <v>VIS_20280325_001</v>
      </c>
      <c r="B872" s="42">
        <v>46837</v>
      </c>
      <c r="C872" s="49" t="str">
        <f t="shared" si="26"/>
        <v>Сб</v>
      </c>
      <c r="I872" s="46"/>
      <c r="J872" s="39">
        <f t="shared" si="27"/>
        <v>46834</v>
      </c>
      <c r="K872" t="str">
        <f ca="1">IF(AND(B872&gt;='План недели'!$B$4,B872&lt;'План недели'!$D$4,D872&lt;&gt;"",G872&lt;&gt;"Отменён"),COUNTIFS($B$5:B872,"&gt;="&amp;'План недели'!$B$4,$B$5:B872,"&lt;"&amp;'План недели'!$D$4,$D$5:D872,"&lt;&gt;",$G$5:G872,"&lt;&gt;Отменён"),"")</f>
        <v/>
      </c>
    </row>
    <row r="873" spans="1:11">
      <c r="A873" t="str">
        <f>IF(B873="","","VIS_"&amp;(YEAR(B873)*10000+MONTH(B873)*100+DAY(B873))&amp;"_"&amp;IF(COUNTIF($B$5:B873,B873)&lt;10,"00"&amp;COUNTIF($B$5:B873,B873),IF(COUNTIF($B$5:B873,B873)&lt;100,"0"&amp;COUNTIF($B$5:B873,B873),COUNTIF($B$5:B873,B873))))</f>
        <v>VIS_20280326_001</v>
      </c>
      <c r="B873" s="42">
        <v>46838</v>
      </c>
      <c r="C873" s="49" t="str">
        <f t="shared" si="26"/>
        <v>Вс</v>
      </c>
      <c r="I873" s="46"/>
      <c r="J873" s="39">
        <f t="shared" si="27"/>
        <v>46834</v>
      </c>
      <c r="K873" t="str">
        <f ca="1">IF(AND(B873&gt;='План недели'!$B$4,B873&lt;'План недели'!$D$4,D873&lt;&gt;"",G873&lt;&gt;"Отменён"),COUNTIFS($B$5:B873,"&gt;="&amp;'План недели'!$B$4,$B$5:B873,"&lt;"&amp;'План недели'!$D$4,$D$5:D873,"&lt;&gt;",$G$5:G873,"&lt;&gt;Отменён"),"")</f>
        <v/>
      </c>
    </row>
    <row r="874" spans="1:11">
      <c r="A874" t="str">
        <f>IF(B874="","","VIS_"&amp;(YEAR(B874)*10000+MONTH(B874)*100+DAY(B874))&amp;"_"&amp;IF(COUNTIF($B$5:B874,B874)&lt;10,"00"&amp;COUNTIF($B$5:B874,B874),IF(COUNTIF($B$5:B874,B874)&lt;100,"0"&amp;COUNTIF($B$5:B874,B874),COUNTIF($B$5:B874,B874))))</f>
        <v>VIS_20280327_001</v>
      </c>
      <c r="B874" s="40">
        <v>46839</v>
      </c>
      <c r="C874" s="47" t="str">
        <f t="shared" si="26"/>
        <v>Пн</v>
      </c>
      <c r="I874" s="46"/>
      <c r="J874" s="39">
        <f t="shared" si="27"/>
        <v>46834</v>
      </c>
      <c r="K874" t="str">
        <f ca="1">IF(AND(B874&gt;='План недели'!$B$4,B874&lt;'План недели'!$D$4,D874&lt;&gt;"",G874&lt;&gt;"Отменён"),COUNTIFS($B$5:B874,"&gt;="&amp;'План недели'!$B$4,$B$5:B874,"&lt;"&amp;'План недели'!$D$4,$D$5:D874,"&lt;&gt;",$G$5:G874,"&lt;&gt;Отменён"),"")</f>
        <v/>
      </c>
    </row>
    <row r="875" spans="1:11">
      <c r="A875" t="str">
        <f>IF(B875="","","VIS_"&amp;(YEAR(B875)*10000+MONTH(B875)*100+DAY(B875))&amp;"_"&amp;IF(COUNTIF($B$5:B875,B875)&lt;10,"00"&amp;COUNTIF($B$5:B875,B875),IF(COUNTIF($B$5:B875,B875)&lt;100,"0"&amp;COUNTIF($B$5:B875,B875),COUNTIF($B$5:B875,B875))))</f>
        <v>VIS_20280328_001</v>
      </c>
      <c r="B875" s="40">
        <v>46840</v>
      </c>
      <c r="C875" s="47" t="str">
        <f t="shared" si="26"/>
        <v>Вт</v>
      </c>
      <c r="I875" s="46"/>
      <c r="J875" s="39">
        <f t="shared" si="27"/>
        <v>46834</v>
      </c>
      <c r="K875" t="str">
        <f ca="1">IF(AND(B875&gt;='План недели'!$B$4,B875&lt;'План недели'!$D$4,D875&lt;&gt;"",G875&lt;&gt;"Отменён"),COUNTIFS($B$5:B875,"&gt;="&amp;'План недели'!$B$4,$B$5:B875,"&lt;"&amp;'План недели'!$D$4,$D$5:D875,"&lt;&gt;",$G$5:G875,"&lt;&gt;Отменён"),"")</f>
        <v/>
      </c>
    </row>
    <row r="876" spans="1:11">
      <c r="A876" t="str">
        <f>IF(B876="","","VIS_"&amp;(YEAR(B876)*10000+MONTH(B876)*100+DAY(B876))&amp;"_"&amp;IF(COUNTIF($B$5:B876,B876)&lt;10,"00"&amp;COUNTIF($B$5:B876,B876),IF(COUNTIF($B$5:B876,B876)&lt;100,"0"&amp;COUNTIF($B$5:B876,B876),COUNTIF($B$5:B876,B876))))</f>
        <v>VIS_20280329_001</v>
      </c>
      <c r="B876" s="40">
        <v>46841</v>
      </c>
      <c r="C876" s="47" t="str">
        <f t="shared" si="26"/>
        <v>Ср</v>
      </c>
      <c r="I876" s="46"/>
      <c r="J876" s="39">
        <f t="shared" si="27"/>
        <v>46841</v>
      </c>
      <c r="K876" t="str">
        <f ca="1">IF(AND(B876&gt;='План недели'!$B$4,B876&lt;'План недели'!$D$4,D876&lt;&gt;"",G876&lt;&gt;"Отменён"),COUNTIFS($B$5:B876,"&gt;="&amp;'План недели'!$B$4,$B$5:B876,"&lt;"&amp;'План недели'!$D$4,$D$5:D876,"&lt;&gt;",$G$5:G876,"&lt;&gt;Отменён"),"")</f>
        <v/>
      </c>
    </row>
    <row r="877" spans="1:11">
      <c r="A877" t="str">
        <f>IF(B877="","","VIS_"&amp;(YEAR(B877)*10000+MONTH(B877)*100+DAY(B877))&amp;"_"&amp;IF(COUNTIF($B$5:B877,B877)&lt;10,"00"&amp;COUNTIF($B$5:B877,B877),IF(COUNTIF($B$5:B877,B877)&lt;100,"0"&amp;COUNTIF($B$5:B877,B877),COUNTIF($B$5:B877,B877))))</f>
        <v>VIS_20280330_001</v>
      </c>
      <c r="B877" s="40">
        <v>46842</v>
      </c>
      <c r="C877" s="47" t="str">
        <f t="shared" si="26"/>
        <v>Чт</v>
      </c>
      <c r="I877" s="46"/>
      <c r="J877" s="39">
        <f t="shared" si="27"/>
        <v>46841</v>
      </c>
      <c r="K877" t="str">
        <f ca="1">IF(AND(B877&gt;='План недели'!$B$4,B877&lt;'План недели'!$D$4,D877&lt;&gt;"",G877&lt;&gt;"Отменён"),COUNTIFS($B$5:B877,"&gt;="&amp;'План недели'!$B$4,$B$5:B877,"&lt;"&amp;'План недели'!$D$4,$D$5:D877,"&lt;&gt;",$G$5:G877,"&lt;&gt;Отменён"),"")</f>
        <v/>
      </c>
    </row>
    <row r="878" spans="1:11">
      <c r="A878" t="str">
        <f>IF(B878="","","VIS_"&amp;(YEAR(B878)*10000+MONTH(B878)*100+DAY(B878))&amp;"_"&amp;IF(COUNTIF($B$5:B878,B878)&lt;10,"00"&amp;COUNTIF($B$5:B878,B878),IF(COUNTIF($B$5:B878,B878)&lt;100,"0"&amp;COUNTIF($B$5:B878,B878),COUNTIF($B$5:B878,B878))))</f>
        <v>VIS_20280331_001</v>
      </c>
      <c r="B878" s="40">
        <v>46843</v>
      </c>
      <c r="C878" s="47" t="str">
        <f t="shared" si="26"/>
        <v>Пт</v>
      </c>
      <c r="I878" s="46"/>
      <c r="J878" s="39">
        <f t="shared" si="27"/>
        <v>46841</v>
      </c>
      <c r="K878" t="str">
        <f ca="1">IF(AND(B878&gt;='План недели'!$B$4,B878&lt;'План недели'!$D$4,D878&lt;&gt;"",G878&lt;&gt;"Отменён"),COUNTIFS($B$5:B878,"&gt;="&amp;'План недели'!$B$4,$B$5:B878,"&lt;"&amp;'План недели'!$D$4,$D$5:D878,"&lt;&gt;",$G$5:G878,"&lt;&gt;Отменён"),"")</f>
        <v/>
      </c>
    </row>
    <row r="879" spans="1:11">
      <c r="A879" t="str">
        <f>IF(B879="","","VIS_"&amp;(YEAR(B879)*10000+MONTH(B879)*100+DAY(B879))&amp;"_"&amp;IF(COUNTIF($B$5:B879,B879)&lt;10,"00"&amp;COUNTIF($B$5:B879,B879),IF(COUNTIF($B$5:B879,B879)&lt;100,"0"&amp;COUNTIF($B$5:B879,B879),COUNTIF($B$5:B879,B879))))</f>
        <v>VIS_20280401_001</v>
      </c>
      <c r="B879" s="42">
        <v>46844</v>
      </c>
      <c r="C879" s="49" t="str">
        <f t="shared" si="26"/>
        <v>Сб</v>
      </c>
      <c r="I879" s="46"/>
      <c r="J879" s="39">
        <f t="shared" si="27"/>
        <v>46841</v>
      </c>
      <c r="K879" t="str">
        <f ca="1">IF(AND(B879&gt;='План недели'!$B$4,B879&lt;'План недели'!$D$4,D879&lt;&gt;"",G879&lt;&gt;"Отменён"),COUNTIFS($B$5:B879,"&gt;="&amp;'План недели'!$B$4,$B$5:B879,"&lt;"&amp;'План недели'!$D$4,$D$5:D879,"&lt;&gt;",$G$5:G879,"&lt;&gt;Отменён"),"")</f>
        <v/>
      </c>
    </row>
    <row r="880" spans="1:11">
      <c r="A880" t="str">
        <f>IF(B880="","","VIS_"&amp;(YEAR(B880)*10000+MONTH(B880)*100+DAY(B880))&amp;"_"&amp;IF(COUNTIF($B$5:B880,B880)&lt;10,"00"&amp;COUNTIF($B$5:B880,B880),IF(COUNTIF($B$5:B880,B880)&lt;100,"0"&amp;COUNTIF($B$5:B880,B880),COUNTIF($B$5:B880,B880))))</f>
        <v>VIS_20280402_001</v>
      </c>
      <c r="B880" s="42">
        <v>46845</v>
      </c>
      <c r="C880" s="49" t="str">
        <f t="shared" si="26"/>
        <v>Вс</v>
      </c>
      <c r="I880" s="46"/>
      <c r="J880" s="39">
        <f t="shared" si="27"/>
        <v>46841</v>
      </c>
      <c r="K880" t="str">
        <f ca="1">IF(AND(B880&gt;='План недели'!$B$4,B880&lt;'План недели'!$D$4,D880&lt;&gt;"",G880&lt;&gt;"Отменён"),COUNTIFS($B$5:B880,"&gt;="&amp;'План недели'!$B$4,$B$5:B880,"&lt;"&amp;'План недели'!$D$4,$D$5:D880,"&lt;&gt;",$G$5:G880,"&lt;&gt;Отменён"),"")</f>
        <v/>
      </c>
    </row>
    <row r="881" spans="1:11">
      <c r="A881" t="str">
        <f>IF(B881="","","VIS_"&amp;(YEAR(B881)*10000+MONTH(B881)*100+DAY(B881))&amp;"_"&amp;IF(COUNTIF($B$5:B881,B881)&lt;10,"00"&amp;COUNTIF($B$5:B881,B881),IF(COUNTIF($B$5:B881,B881)&lt;100,"0"&amp;COUNTIF($B$5:B881,B881),COUNTIF($B$5:B881,B881))))</f>
        <v>VIS_20280403_001</v>
      </c>
      <c r="B881" s="40">
        <v>46846</v>
      </c>
      <c r="C881" s="47" t="str">
        <f t="shared" si="26"/>
        <v>Пн</v>
      </c>
      <c r="I881" s="46"/>
      <c r="J881" s="39">
        <f t="shared" si="27"/>
        <v>46841</v>
      </c>
      <c r="K881" t="str">
        <f ca="1">IF(AND(B881&gt;='План недели'!$B$4,B881&lt;'План недели'!$D$4,D881&lt;&gt;"",G881&lt;&gt;"Отменён"),COUNTIFS($B$5:B881,"&gt;="&amp;'План недели'!$B$4,$B$5:B881,"&lt;"&amp;'План недели'!$D$4,$D$5:D881,"&lt;&gt;",$G$5:G881,"&lt;&gt;Отменён"),"")</f>
        <v/>
      </c>
    </row>
    <row r="882" spans="1:11">
      <c r="A882" t="str">
        <f>IF(B882="","","VIS_"&amp;(YEAR(B882)*10000+MONTH(B882)*100+DAY(B882))&amp;"_"&amp;IF(COUNTIF($B$5:B882,B882)&lt;10,"00"&amp;COUNTIF($B$5:B882,B882),IF(COUNTIF($B$5:B882,B882)&lt;100,"0"&amp;COUNTIF($B$5:B882,B882),COUNTIF($B$5:B882,B882))))</f>
        <v>VIS_20280404_001</v>
      </c>
      <c r="B882" s="40">
        <v>46847</v>
      </c>
      <c r="C882" s="47" t="str">
        <f t="shared" si="26"/>
        <v>Вт</v>
      </c>
      <c r="I882" s="46"/>
      <c r="J882" s="39">
        <f t="shared" si="27"/>
        <v>46841</v>
      </c>
      <c r="K882" t="str">
        <f ca="1">IF(AND(B882&gt;='План недели'!$B$4,B882&lt;'План недели'!$D$4,D882&lt;&gt;"",G882&lt;&gt;"Отменён"),COUNTIFS($B$5:B882,"&gt;="&amp;'План недели'!$B$4,$B$5:B882,"&lt;"&amp;'План недели'!$D$4,$D$5:D882,"&lt;&gt;",$G$5:G882,"&lt;&gt;Отменён"),"")</f>
        <v/>
      </c>
    </row>
    <row r="883" spans="1:11">
      <c r="A883" t="str">
        <f>IF(B883="","","VIS_"&amp;(YEAR(B883)*10000+MONTH(B883)*100+DAY(B883))&amp;"_"&amp;IF(COUNTIF($B$5:B883,B883)&lt;10,"00"&amp;COUNTIF($B$5:B883,B883),IF(COUNTIF($B$5:B883,B883)&lt;100,"0"&amp;COUNTIF($B$5:B883,B883),COUNTIF($B$5:B883,B883))))</f>
        <v>VIS_20280405_001</v>
      </c>
      <c r="B883" s="40">
        <v>46848</v>
      </c>
      <c r="C883" s="47" t="str">
        <f t="shared" si="26"/>
        <v>Ср</v>
      </c>
      <c r="I883" s="46"/>
      <c r="J883" s="39">
        <f t="shared" si="27"/>
        <v>46848</v>
      </c>
      <c r="K883" t="str">
        <f ca="1">IF(AND(B883&gt;='План недели'!$B$4,B883&lt;'План недели'!$D$4,D883&lt;&gt;"",G883&lt;&gt;"Отменён"),COUNTIFS($B$5:B883,"&gt;="&amp;'План недели'!$B$4,$B$5:B883,"&lt;"&amp;'План недели'!$D$4,$D$5:D883,"&lt;&gt;",$G$5:G883,"&lt;&gt;Отменён"),"")</f>
        <v/>
      </c>
    </row>
    <row r="884" spans="1:11">
      <c r="A884" t="str">
        <f>IF(B884="","","VIS_"&amp;(YEAR(B884)*10000+MONTH(B884)*100+DAY(B884))&amp;"_"&amp;IF(COUNTIF($B$5:B884,B884)&lt;10,"00"&amp;COUNTIF($B$5:B884,B884),IF(COUNTIF($B$5:B884,B884)&lt;100,"0"&amp;COUNTIF($B$5:B884,B884),COUNTIF($B$5:B884,B884))))</f>
        <v>VIS_20280406_001</v>
      </c>
      <c r="B884" s="40">
        <v>46849</v>
      </c>
      <c r="C884" s="47" t="str">
        <f t="shared" si="26"/>
        <v>Чт</v>
      </c>
      <c r="I884" s="46"/>
      <c r="J884" s="39">
        <f t="shared" si="27"/>
        <v>46848</v>
      </c>
      <c r="K884" t="str">
        <f ca="1">IF(AND(B884&gt;='План недели'!$B$4,B884&lt;'План недели'!$D$4,D884&lt;&gt;"",G884&lt;&gt;"Отменён"),COUNTIFS($B$5:B884,"&gt;="&amp;'План недели'!$B$4,$B$5:B884,"&lt;"&amp;'План недели'!$D$4,$D$5:D884,"&lt;&gt;",$G$5:G884,"&lt;&gt;Отменён"),"")</f>
        <v/>
      </c>
    </row>
    <row r="885" spans="1:11">
      <c r="A885" t="str">
        <f>IF(B885="","","VIS_"&amp;(YEAR(B885)*10000+MONTH(B885)*100+DAY(B885))&amp;"_"&amp;IF(COUNTIF($B$5:B885,B885)&lt;10,"00"&amp;COUNTIF($B$5:B885,B885),IF(COUNTIF($B$5:B885,B885)&lt;100,"0"&amp;COUNTIF($B$5:B885,B885),COUNTIF($B$5:B885,B885))))</f>
        <v>VIS_20280407_001</v>
      </c>
      <c r="B885" s="40">
        <v>46850</v>
      </c>
      <c r="C885" s="47" t="str">
        <f t="shared" si="26"/>
        <v>Пт</v>
      </c>
      <c r="I885" s="46"/>
      <c r="J885" s="39">
        <f t="shared" si="27"/>
        <v>46848</v>
      </c>
      <c r="K885" t="str">
        <f ca="1">IF(AND(B885&gt;='План недели'!$B$4,B885&lt;'План недели'!$D$4,D885&lt;&gt;"",G885&lt;&gt;"Отменён"),COUNTIFS($B$5:B885,"&gt;="&amp;'План недели'!$B$4,$B$5:B885,"&lt;"&amp;'План недели'!$D$4,$D$5:D885,"&lt;&gt;",$G$5:G885,"&lt;&gt;Отменён"),"")</f>
        <v/>
      </c>
    </row>
    <row r="886" spans="1:11">
      <c r="A886" t="str">
        <f>IF(B886="","","VIS_"&amp;(YEAR(B886)*10000+MONTH(B886)*100+DAY(B886))&amp;"_"&amp;IF(COUNTIF($B$5:B886,B886)&lt;10,"00"&amp;COUNTIF($B$5:B886,B886),IF(COUNTIF($B$5:B886,B886)&lt;100,"0"&amp;COUNTIF($B$5:B886,B886),COUNTIF($B$5:B886,B886))))</f>
        <v>VIS_20280408_001</v>
      </c>
      <c r="B886" s="42">
        <v>46851</v>
      </c>
      <c r="C886" s="49" t="str">
        <f t="shared" si="26"/>
        <v>Сб</v>
      </c>
      <c r="I886" s="46"/>
      <c r="J886" s="39">
        <f t="shared" si="27"/>
        <v>46848</v>
      </c>
      <c r="K886" t="str">
        <f ca="1">IF(AND(B886&gt;='План недели'!$B$4,B886&lt;'План недели'!$D$4,D886&lt;&gt;"",G886&lt;&gt;"Отменён"),COUNTIFS($B$5:B886,"&gt;="&amp;'План недели'!$B$4,$B$5:B886,"&lt;"&amp;'План недели'!$D$4,$D$5:D886,"&lt;&gt;",$G$5:G886,"&lt;&gt;Отменён"),"")</f>
        <v/>
      </c>
    </row>
    <row r="887" spans="1:11">
      <c r="A887" t="str">
        <f>IF(B887="","","VIS_"&amp;(YEAR(B887)*10000+MONTH(B887)*100+DAY(B887))&amp;"_"&amp;IF(COUNTIF($B$5:B887,B887)&lt;10,"00"&amp;COUNTIF($B$5:B887,B887),IF(COUNTIF($B$5:B887,B887)&lt;100,"0"&amp;COUNTIF($B$5:B887,B887),COUNTIF($B$5:B887,B887))))</f>
        <v>VIS_20280409_001</v>
      </c>
      <c r="B887" s="42">
        <v>46852</v>
      </c>
      <c r="C887" s="49" t="str">
        <f t="shared" si="26"/>
        <v>Вс</v>
      </c>
      <c r="I887" s="46"/>
      <c r="J887" s="39">
        <f t="shared" si="27"/>
        <v>46848</v>
      </c>
      <c r="K887" t="str">
        <f ca="1">IF(AND(B887&gt;='План недели'!$B$4,B887&lt;'План недели'!$D$4,D887&lt;&gt;"",G887&lt;&gt;"Отменён"),COUNTIFS($B$5:B887,"&gt;="&amp;'План недели'!$B$4,$B$5:B887,"&lt;"&amp;'План недели'!$D$4,$D$5:D887,"&lt;&gt;",$G$5:G887,"&lt;&gt;Отменён"),"")</f>
        <v/>
      </c>
    </row>
    <row r="888" spans="1:11">
      <c r="A888" t="str">
        <f>IF(B888="","","VIS_"&amp;(YEAR(B888)*10000+MONTH(B888)*100+DAY(B888))&amp;"_"&amp;IF(COUNTIF($B$5:B888,B888)&lt;10,"00"&amp;COUNTIF($B$5:B888,B888),IF(COUNTIF($B$5:B888,B888)&lt;100,"0"&amp;COUNTIF($B$5:B888,B888),COUNTIF($B$5:B888,B888))))</f>
        <v>VIS_20280410_001</v>
      </c>
      <c r="B888" s="40">
        <v>46853</v>
      </c>
      <c r="C888" s="47" t="str">
        <f t="shared" si="26"/>
        <v>Пн</v>
      </c>
      <c r="I888" s="46"/>
      <c r="J888" s="39">
        <f t="shared" si="27"/>
        <v>46848</v>
      </c>
      <c r="K888" t="str">
        <f ca="1">IF(AND(B888&gt;='План недели'!$B$4,B888&lt;'План недели'!$D$4,D888&lt;&gt;"",G888&lt;&gt;"Отменён"),COUNTIFS($B$5:B888,"&gt;="&amp;'План недели'!$B$4,$B$5:B888,"&lt;"&amp;'План недели'!$D$4,$D$5:D888,"&lt;&gt;",$G$5:G888,"&lt;&gt;Отменён"),"")</f>
        <v/>
      </c>
    </row>
    <row r="889" spans="1:11">
      <c r="A889" t="str">
        <f>IF(B889="","","VIS_"&amp;(YEAR(B889)*10000+MONTH(B889)*100+DAY(B889))&amp;"_"&amp;IF(COUNTIF($B$5:B889,B889)&lt;10,"00"&amp;COUNTIF($B$5:B889,B889),IF(COUNTIF($B$5:B889,B889)&lt;100,"0"&amp;COUNTIF($B$5:B889,B889),COUNTIF($B$5:B889,B889))))</f>
        <v>VIS_20280411_001</v>
      </c>
      <c r="B889" s="40">
        <v>46854</v>
      </c>
      <c r="C889" s="47" t="str">
        <f t="shared" si="26"/>
        <v>Вт</v>
      </c>
      <c r="I889" s="46"/>
      <c r="J889" s="39">
        <f t="shared" si="27"/>
        <v>46848</v>
      </c>
      <c r="K889" t="str">
        <f ca="1">IF(AND(B889&gt;='План недели'!$B$4,B889&lt;'План недели'!$D$4,D889&lt;&gt;"",G889&lt;&gt;"Отменён"),COUNTIFS($B$5:B889,"&gt;="&amp;'План недели'!$B$4,$B$5:B889,"&lt;"&amp;'План недели'!$D$4,$D$5:D889,"&lt;&gt;",$G$5:G889,"&lt;&gt;Отменён"),"")</f>
        <v/>
      </c>
    </row>
    <row r="890" spans="1:11">
      <c r="A890" t="str">
        <f>IF(B890="","","VIS_"&amp;(YEAR(B890)*10000+MONTH(B890)*100+DAY(B890))&amp;"_"&amp;IF(COUNTIF($B$5:B890,B890)&lt;10,"00"&amp;COUNTIF($B$5:B890,B890),IF(COUNTIF($B$5:B890,B890)&lt;100,"0"&amp;COUNTIF($B$5:B890,B890),COUNTIF($B$5:B890,B890))))</f>
        <v>VIS_20280412_001</v>
      </c>
      <c r="B890" s="40">
        <v>46855</v>
      </c>
      <c r="C890" s="47" t="str">
        <f t="shared" si="26"/>
        <v>Ср</v>
      </c>
      <c r="I890" s="46"/>
      <c r="J890" s="39">
        <f t="shared" si="27"/>
        <v>46855</v>
      </c>
      <c r="K890" t="str">
        <f ca="1">IF(AND(B890&gt;='План недели'!$B$4,B890&lt;'План недели'!$D$4,D890&lt;&gt;"",G890&lt;&gt;"Отменён"),COUNTIFS($B$5:B890,"&gt;="&amp;'План недели'!$B$4,$B$5:B890,"&lt;"&amp;'План недели'!$D$4,$D$5:D890,"&lt;&gt;",$G$5:G890,"&lt;&gt;Отменён"),"")</f>
        <v/>
      </c>
    </row>
    <row r="891" spans="1:11">
      <c r="A891" t="str">
        <f>IF(B891="","","VIS_"&amp;(YEAR(B891)*10000+MONTH(B891)*100+DAY(B891))&amp;"_"&amp;IF(COUNTIF($B$5:B891,B891)&lt;10,"00"&amp;COUNTIF($B$5:B891,B891),IF(COUNTIF($B$5:B891,B891)&lt;100,"0"&amp;COUNTIF($B$5:B891,B891),COUNTIF($B$5:B891,B891))))</f>
        <v>VIS_20280413_001</v>
      </c>
      <c r="B891" s="40">
        <v>46856</v>
      </c>
      <c r="C891" s="47" t="str">
        <f t="shared" si="26"/>
        <v>Чт</v>
      </c>
      <c r="I891" s="46"/>
      <c r="J891" s="39">
        <f t="shared" si="27"/>
        <v>46855</v>
      </c>
      <c r="K891" t="str">
        <f ca="1">IF(AND(B891&gt;='План недели'!$B$4,B891&lt;'План недели'!$D$4,D891&lt;&gt;"",G891&lt;&gt;"Отменён"),COUNTIFS($B$5:B891,"&gt;="&amp;'План недели'!$B$4,$B$5:B891,"&lt;"&amp;'План недели'!$D$4,$D$5:D891,"&lt;&gt;",$G$5:G891,"&lt;&gt;Отменён"),"")</f>
        <v/>
      </c>
    </row>
    <row r="892" spans="1:11">
      <c r="A892" t="str">
        <f>IF(B892="","","VIS_"&amp;(YEAR(B892)*10000+MONTH(B892)*100+DAY(B892))&amp;"_"&amp;IF(COUNTIF($B$5:B892,B892)&lt;10,"00"&amp;COUNTIF($B$5:B892,B892),IF(COUNTIF($B$5:B892,B892)&lt;100,"0"&amp;COUNTIF($B$5:B892,B892),COUNTIF($B$5:B892,B892))))</f>
        <v>VIS_20280414_001</v>
      </c>
      <c r="B892" s="40">
        <v>46857</v>
      </c>
      <c r="C892" s="47" t="str">
        <f t="shared" si="26"/>
        <v>Пт</v>
      </c>
      <c r="I892" s="46"/>
      <c r="J892" s="39">
        <f t="shared" si="27"/>
        <v>46855</v>
      </c>
      <c r="K892" t="str">
        <f ca="1">IF(AND(B892&gt;='План недели'!$B$4,B892&lt;'План недели'!$D$4,D892&lt;&gt;"",G892&lt;&gt;"Отменён"),COUNTIFS($B$5:B892,"&gt;="&amp;'План недели'!$B$4,$B$5:B892,"&lt;"&amp;'План недели'!$D$4,$D$5:D892,"&lt;&gt;",$G$5:G892,"&lt;&gt;Отменён"),"")</f>
        <v/>
      </c>
    </row>
    <row r="893" spans="1:11">
      <c r="A893" t="str">
        <f>IF(B893="","","VIS_"&amp;(YEAR(B893)*10000+MONTH(B893)*100+DAY(B893))&amp;"_"&amp;IF(COUNTIF($B$5:B893,B893)&lt;10,"00"&amp;COUNTIF($B$5:B893,B893),IF(COUNTIF($B$5:B893,B893)&lt;100,"0"&amp;COUNTIF($B$5:B893,B893),COUNTIF($B$5:B893,B893))))</f>
        <v>VIS_20280415_001</v>
      </c>
      <c r="B893" s="42">
        <v>46858</v>
      </c>
      <c r="C893" s="49" t="str">
        <f t="shared" si="26"/>
        <v>Сб</v>
      </c>
      <c r="I893" s="46"/>
      <c r="J893" s="39">
        <f t="shared" si="27"/>
        <v>46855</v>
      </c>
      <c r="K893" t="str">
        <f ca="1">IF(AND(B893&gt;='План недели'!$B$4,B893&lt;'План недели'!$D$4,D893&lt;&gt;"",G893&lt;&gt;"Отменён"),COUNTIFS($B$5:B893,"&gt;="&amp;'План недели'!$B$4,$B$5:B893,"&lt;"&amp;'План недели'!$D$4,$D$5:D893,"&lt;&gt;",$G$5:G893,"&lt;&gt;Отменён"),"")</f>
        <v/>
      </c>
    </row>
    <row r="894" spans="1:11">
      <c r="A894" t="str">
        <f>IF(B894="","","VIS_"&amp;(YEAR(B894)*10000+MONTH(B894)*100+DAY(B894))&amp;"_"&amp;IF(COUNTIF($B$5:B894,B894)&lt;10,"00"&amp;COUNTIF($B$5:B894,B894),IF(COUNTIF($B$5:B894,B894)&lt;100,"0"&amp;COUNTIF($B$5:B894,B894),COUNTIF($B$5:B894,B894))))</f>
        <v>VIS_20280416_001</v>
      </c>
      <c r="B894" s="42">
        <v>46859</v>
      </c>
      <c r="C894" s="49" t="str">
        <f t="shared" si="26"/>
        <v>Вс</v>
      </c>
      <c r="I894" s="46"/>
      <c r="J894" s="39">
        <f t="shared" si="27"/>
        <v>46855</v>
      </c>
      <c r="K894" t="str">
        <f ca="1">IF(AND(B894&gt;='План недели'!$B$4,B894&lt;'План недели'!$D$4,D894&lt;&gt;"",G894&lt;&gt;"Отменён"),COUNTIFS($B$5:B894,"&gt;="&amp;'План недели'!$B$4,$B$5:B894,"&lt;"&amp;'План недели'!$D$4,$D$5:D894,"&lt;&gt;",$G$5:G894,"&lt;&gt;Отменён"),"")</f>
        <v/>
      </c>
    </row>
    <row r="895" spans="1:11">
      <c r="A895" t="str">
        <f>IF(B895="","","VIS_"&amp;(YEAR(B895)*10000+MONTH(B895)*100+DAY(B895))&amp;"_"&amp;IF(COUNTIF($B$5:B895,B895)&lt;10,"00"&amp;COUNTIF($B$5:B895,B895),IF(COUNTIF($B$5:B895,B895)&lt;100,"0"&amp;COUNTIF($B$5:B895,B895),COUNTIF($B$5:B895,B895))))</f>
        <v>VIS_20280417_001</v>
      </c>
      <c r="B895" s="40">
        <v>46860</v>
      </c>
      <c r="C895" s="47" t="str">
        <f t="shared" si="26"/>
        <v>Пн</v>
      </c>
      <c r="I895" s="46"/>
      <c r="J895" s="39">
        <f t="shared" si="27"/>
        <v>46855</v>
      </c>
      <c r="K895" t="str">
        <f ca="1">IF(AND(B895&gt;='План недели'!$B$4,B895&lt;'План недели'!$D$4,D895&lt;&gt;"",G895&lt;&gt;"Отменён"),COUNTIFS($B$5:B895,"&gt;="&amp;'План недели'!$B$4,$B$5:B895,"&lt;"&amp;'План недели'!$D$4,$D$5:D895,"&lt;&gt;",$G$5:G895,"&lt;&gt;Отменён"),"")</f>
        <v/>
      </c>
    </row>
    <row r="896" spans="1:11">
      <c r="A896" t="str">
        <f>IF(B896="","","VIS_"&amp;(YEAR(B896)*10000+MONTH(B896)*100+DAY(B896))&amp;"_"&amp;IF(COUNTIF($B$5:B896,B896)&lt;10,"00"&amp;COUNTIF($B$5:B896,B896),IF(COUNTIF($B$5:B896,B896)&lt;100,"0"&amp;COUNTIF($B$5:B896,B896),COUNTIF($B$5:B896,B896))))</f>
        <v>VIS_20280418_001</v>
      </c>
      <c r="B896" s="40">
        <v>46861</v>
      </c>
      <c r="C896" s="47" t="str">
        <f t="shared" si="26"/>
        <v>Вт</v>
      </c>
      <c r="I896" s="46"/>
      <c r="J896" s="39">
        <f t="shared" si="27"/>
        <v>46855</v>
      </c>
      <c r="K896" t="str">
        <f ca="1">IF(AND(B896&gt;='План недели'!$B$4,B896&lt;'План недели'!$D$4,D896&lt;&gt;"",G896&lt;&gt;"Отменён"),COUNTIFS($B$5:B896,"&gt;="&amp;'План недели'!$B$4,$B$5:B896,"&lt;"&amp;'План недели'!$D$4,$D$5:D896,"&lt;&gt;",$G$5:G896,"&lt;&gt;Отменён"),"")</f>
        <v/>
      </c>
    </row>
    <row r="897" spans="1:11">
      <c r="A897" t="str">
        <f>IF(B897="","","VIS_"&amp;(YEAR(B897)*10000+MONTH(B897)*100+DAY(B897))&amp;"_"&amp;IF(COUNTIF($B$5:B897,B897)&lt;10,"00"&amp;COUNTIF($B$5:B897,B897),IF(COUNTIF($B$5:B897,B897)&lt;100,"0"&amp;COUNTIF($B$5:B897,B897),COUNTIF($B$5:B897,B897))))</f>
        <v>VIS_20280419_001</v>
      </c>
      <c r="B897" s="40">
        <v>46862</v>
      </c>
      <c r="C897" s="47" t="str">
        <f t="shared" si="26"/>
        <v>Ср</v>
      </c>
      <c r="I897" s="46"/>
      <c r="J897" s="39">
        <f t="shared" si="27"/>
        <v>46862</v>
      </c>
      <c r="K897" t="str">
        <f ca="1">IF(AND(B897&gt;='План недели'!$B$4,B897&lt;'План недели'!$D$4,D897&lt;&gt;"",G897&lt;&gt;"Отменён"),COUNTIFS($B$5:B897,"&gt;="&amp;'План недели'!$B$4,$B$5:B897,"&lt;"&amp;'План недели'!$D$4,$D$5:D897,"&lt;&gt;",$G$5:G897,"&lt;&gt;Отменён"),"")</f>
        <v/>
      </c>
    </row>
    <row r="898" spans="1:11">
      <c r="A898" t="str">
        <f>IF(B898="","","VIS_"&amp;(YEAR(B898)*10000+MONTH(B898)*100+DAY(B898))&amp;"_"&amp;IF(COUNTIF($B$5:B898,B898)&lt;10,"00"&amp;COUNTIF($B$5:B898,B898),IF(COUNTIF($B$5:B898,B898)&lt;100,"0"&amp;COUNTIF($B$5:B898,B898),COUNTIF($B$5:B898,B898))))</f>
        <v>VIS_20280420_001</v>
      </c>
      <c r="B898" s="40">
        <v>46863</v>
      </c>
      <c r="C898" s="47" t="str">
        <f t="shared" si="26"/>
        <v>Чт</v>
      </c>
      <c r="I898" s="46"/>
      <c r="J898" s="39">
        <f t="shared" si="27"/>
        <v>46862</v>
      </c>
      <c r="K898" t="str">
        <f ca="1">IF(AND(B898&gt;='План недели'!$B$4,B898&lt;'План недели'!$D$4,D898&lt;&gt;"",G898&lt;&gt;"Отменён"),COUNTIFS($B$5:B898,"&gt;="&amp;'План недели'!$B$4,$B$5:B898,"&lt;"&amp;'План недели'!$D$4,$D$5:D898,"&lt;&gt;",$G$5:G898,"&lt;&gt;Отменён"),"")</f>
        <v/>
      </c>
    </row>
    <row r="899" spans="1:11">
      <c r="A899" t="str">
        <f>IF(B899="","","VIS_"&amp;(YEAR(B899)*10000+MONTH(B899)*100+DAY(B899))&amp;"_"&amp;IF(COUNTIF($B$5:B899,B899)&lt;10,"00"&amp;COUNTIF($B$5:B899,B899),IF(COUNTIF($B$5:B899,B899)&lt;100,"0"&amp;COUNTIF($B$5:B899,B899),COUNTIF($B$5:B899,B899))))</f>
        <v>VIS_20280421_001</v>
      </c>
      <c r="B899" s="40">
        <v>46864</v>
      </c>
      <c r="C899" s="47" t="str">
        <f t="shared" si="26"/>
        <v>Пт</v>
      </c>
      <c r="I899" s="46"/>
      <c r="J899" s="39">
        <f t="shared" si="27"/>
        <v>46862</v>
      </c>
      <c r="K899" t="str">
        <f ca="1">IF(AND(B899&gt;='План недели'!$B$4,B899&lt;'План недели'!$D$4,D899&lt;&gt;"",G899&lt;&gt;"Отменён"),COUNTIFS($B$5:B899,"&gt;="&amp;'План недели'!$B$4,$B$5:B899,"&lt;"&amp;'План недели'!$D$4,$D$5:D899,"&lt;&gt;",$G$5:G899,"&lt;&gt;Отменён"),"")</f>
        <v/>
      </c>
    </row>
    <row r="900" spans="1:11">
      <c r="A900" t="str">
        <f>IF(B900="","","VIS_"&amp;(YEAR(B900)*10000+MONTH(B900)*100+DAY(B900))&amp;"_"&amp;IF(COUNTIF($B$5:B900,B900)&lt;10,"00"&amp;COUNTIF($B$5:B900,B900),IF(COUNTIF($B$5:B900,B900)&lt;100,"0"&amp;COUNTIF($B$5:B900,B900),COUNTIF($B$5:B900,B900))))</f>
        <v>VIS_20280422_001</v>
      </c>
      <c r="B900" s="42">
        <v>46865</v>
      </c>
      <c r="C900" s="49" t="str">
        <f t="shared" si="26"/>
        <v>Сб</v>
      </c>
      <c r="I900" s="46"/>
      <c r="J900" s="39">
        <f t="shared" si="27"/>
        <v>46862</v>
      </c>
      <c r="K900" t="str">
        <f ca="1">IF(AND(B900&gt;='План недели'!$B$4,B900&lt;'План недели'!$D$4,D900&lt;&gt;"",G900&lt;&gt;"Отменён"),COUNTIFS($B$5:B900,"&gt;="&amp;'План недели'!$B$4,$B$5:B900,"&lt;"&amp;'План недели'!$D$4,$D$5:D900,"&lt;&gt;",$G$5:G900,"&lt;&gt;Отменён"),"")</f>
        <v/>
      </c>
    </row>
    <row r="901" spans="1:11">
      <c r="A901" t="str">
        <f>IF(B901="","","VIS_"&amp;(YEAR(B901)*10000+MONTH(B901)*100+DAY(B901))&amp;"_"&amp;IF(COUNTIF($B$5:B901,B901)&lt;10,"00"&amp;COUNTIF($B$5:B901,B901),IF(COUNTIF($B$5:B901,B901)&lt;100,"0"&amp;COUNTIF($B$5:B901,B901),COUNTIF($B$5:B901,B901))))</f>
        <v>VIS_20280423_001</v>
      </c>
      <c r="B901" s="42">
        <v>46866</v>
      </c>
      <c r="C901" s="49" t="str">
        <f t="shared" ref="C901:C964" si="28">IF(B901="","",CHOOSE(WEEKDAY(B901,2),"Пн","Вт","Ср","Чт","Пт","Сб","Вс"))</f>
        <v>Вс</v>
      </c>
      <c r="I901" s="46"/>
      <c r="J901" s="39">
        <f t="shared" ref="J901:J964" si="29">IF(B901="","",B901-MOD(WEEKDAY(B901,2)-3,7))</f>
        <v>46862</v>
      </c>
      <c r="K901" t="str">
        <f ca="1">IF(AND(B901&gt;='План недели'!$B$4,B901&lt;'План недели'!$D$4,D901&lt;&gt;"",G901&lt;&gt;"Отменён"),COUNTIFS($B$5:B901,"&gt;="&amp;'План недели'!$B$4,$B$5:B901,"&lt;"&amp;'План недели'!$D$4,$D$5:D901,"&lt;&gt;",$G$5:G901,"&lt;&gt;Отменён"),"")</f>
        <v/>
      </c>
    </row>
    <row r="902" spans="1:11">
      <c r="A902" t="str">
        <f>IF(B902="","","VIS_"&amp;(YEAR(B902)*10000+MONTH(B902)*100+DAY(B902))&amp;"_"&amp;IF(COUNTIF($B$5:B902,B902)&lt;10,"00"&amp;COUNTIF($B$5:B902,B902),IF(COUNTIF($B$5:B902,B902)&lt;100,"0"&amp;COUNTIF($B$5:B902,B902),COUNTIF($B$5:B902,B902))))</f>
        <v>VIS_20280424_001</v>
      </c>
      <c r="B902" s="40">
        <v>46867</v>
      </c>
      <c r="C902" s="47" t="str">
        <f t="shared" si="28"/>
        <v>Пн</v>
      </c>
      <c r="I902" s="46"/>
      <c r="J902" s="39">
        <f t="shared" si="29"/>
        <v>46862</v>
      </c>
      <c r="K902" t="str">
        <f ca="1">IF(AND(B902&gt;='План недели'!$B$4,B902&lt;'План недели'!$D$4,D902&lt;&gt;"",G902&lt;&gt;"Отменён"),COUNTIFS($B$5:B902,"&gt;="&amp;'План недели'!$B$4,$B$5:B902,"&lt;"&amp;'План недели'!$D$4,$D$5:D902,"&lt;&gt;",$G$5:G902,"&lt;&gt;Отменён"),"")</f>
        <v/>
      </c>
    </row>
    <row r="903" spans="1:11">
      <c r="A903" t="str">
        <f>IF(B903="","","VIS_"&amp;(YEAR(B903)*10000+MONTH(B903)*100+DAY(B903))&amp;"_"&amp;IF(COUNTIF($B$5:B903,B903)&lt;10,"00"&amp;COUNTIF($B$5:B903,B903),IF(COUNTIF($B$5:B903,B903)&lt;100,"0"&amp;COUNTIF($B$5:B903,B903),COUNTIF($B$5:B903,B903))))</f>
        <v>VIS_20280425_001</v>
      </c>
      <c r="B903" s="40">
        <v>46868</v>
      </c>
      <c r="C903" s="47" t="str">
        <f t="shared" si="28"/>
        <v>Вт</v>
      </c>
      <c r="I903" s="46"/>
      <c r="J903" s="39">
        <f t="shared" si="29"/>
        <v>46862</v>
      </c>
      <c r="K903" t="str">
        <f ca="1">IF(AND(B903&gt;='План недели'!$B$4,B903&lt;'План недели'!$D$4,D903&lt;&gt;"",G903&lt;&gt;"Отменён"),COUNTIFS($B$5:B903,"&gt;="&amp;'План недели'!$B$4,$B$5:B903,"&lt;"&amp;'План недели'!$D$4,$D$5:D903,"&lt;&gt;",$G$5:G903,"&lt;&gt;Отменён"),"")</f>
        <v/>
      </c>
    </row>
    <row r="904" spans="1:11">
      <c r="A904" t="str">
        <f>IF(B904="","","VIS_"&amp;(YEAR(B904)*10000+MONTH(B904)*100+DAY(B904))&amp;"_"&amp;IF(COUNTIF($B$5:B904,B904)&lt;10,"00"&amp;COUNTIF($B$5:B904,B904),IF(COUNTIF($B$5:B904,B904)&lt;100,"0"&amp;COUNTIF($B$5:B904,B904),COUNTIF($B$5:B904,B904))))</f>
        <v>VIS_20280426_001</v>
      </c>
      <c r="B904" s="40">
        <v>46869</v>
      </c>
      <c r="C904" s="47" t="str">
        <f t="shared" si="28"/>
        <v>Ср</v>
      </c>
      <c r="I904" s="46"/>
      <c r="J904" s="39">
        <f t="shared" si="29"/>
        <v>46869</v>
      </c>
      <c r="K904" t="str">
        <f ca="1">IF(AND(B904&gt;='План недели'!$B$4,B904&lt;'План недели'!$D$4,D904&lt;&gt;"",G904&lt;&gt;"Отменён"),COUNTIFS($B$5:B904,"&gt;="&amp;'План недели'!$B$4,$B$5:B904,"&lt;"&amp;'План недели'!$D$4,$D$5:D904,"&lt;&gt;",$G$5:G904,"&lt;&gt;Отменён"),"")</f>
        <v/>
      </c>
    </row>
    <row r="905" spans="1:11">
      <c r="A905" t="str">
        <f>IF(B905="","","VIS_"&amp;(YEAR(B905)*10000+MONTH(B905)*100+DAY(B905))&amp;"_"&amp;IF(COUNTIF($B$5:B905,B905)&lt;10,"00"&amp;COUNTIF($B$5:B905,B905),IF(COUNTIF($B$5:B905,B905)&lt;100,"0"&amp;COUNTIF($B$5:B905,B905),COUNTIF($B$5:B905,B905))))</f>
        <v>VIS_20280427_001</v>
      </c>
      <c r="B905" s="40">
        <v>46870</v>
      </c>
      <c r="C905" s="47" t="str">
        <f t="shared" si="28"/>
        <v>Чт</v>
      </c>
      <c r="I905" s="46"/>
      <c r="J905" s="39">
        <f t="shared" si="29"/>
        <v>46869</v>
      </c>
      <c r="K905" t="str">
        <f ca="1">IF(AND(B905&gt;='План недели'!$B$4,B905&lt;'План недели'!$D$4,D905&lt;&gt;"",G905&lt;&gt;"Отменён"),COUNTIFS($B$5:B905,"&gt;="&amp;'План недели'!$B$4,$B$5:B905,"&lt;"&amp;'План недели'!$D$4,$D$5:D905,"&lt;&gt;",$G$5:G905,"&lt;&gt;Отменён"),"")</f>
        <v/>
      </c>
    </row>
    <row r="906" spans="1:11">
      <c r="A906" t="str">
        <f>IF(B906="","","VIS_"&amp;(YEAR(B906)*10000+MONTH(B906)*100+DAY(B906))&amp;"_"&amp;IF(COUNTIF($B$5:B906,B906)&lt;10,"00"&amp;COUNTIF($B$5:B906,B906),IF(COUNTIF($B$5:B906,B906)&lt;100,"0"&amp;COUNTIF($B$5:B906,B906),COUNTIF($B$5:B906,B906))))</f>
        <v>VIS_20280428_001</v>
      </c>
      <c r="B906" s="40">
        <v>46871</v>
      </c>
      <c r="C906" s="47" t="str">
        <f t="shared" si="28"/>
        <v>Пт</v>
      </c>
      <c r="I906" s="46"/>
      <c r="J906" s="39">
        <f t="shared" si="29"/>
        <v>46869</v>
      </c>
      <c r="K906" t="str">
        <f ca="1">IF(AND(B906&gt;='План недели'!$B$4,B906&lt;'План недели'!$D$4,D906&lt;&gt;"",G906&lt;&gt;"Отменён"),COUNTIFS($B$5:B906,"&gt;="&amp;'План недели'!$B$4,$B$5:B906,"&lt;"&amp;'План недели'!$D$4,$D$5:D906,"&lt;&gt;",$G$5:G906,"&lt;&gt;Отменён"),"")</f>
        <v/>
      </c>
    </row>
    <row r="907" spans="1:11">
      <c r="A907" t="str">
        <f>IF(B907="","","VIS_"&amp;(YEAR(B907)*10000+MONTH(B907)*100+DAY(B907))&amp;"_"&amp;IF(COUNTIF($B$5:B907,B907)&lt;10,"00"&amp;COUNTIF($B$5:B907,B907),IF(COUNTIF($B$5:B907,B907)&lt;100,"0"&amp;COUNTIF($B$5:B907,B907),COUNTIF($B$5:B907,B907))))</f>
        <v>VIS_20280429_001</v>
      </c>
      <c r="B907" s="42">
        <v>46872</v>
      </c>
      <c r="C907" s="49" t="str">
        <f t="shared" si="28"/>
        <v>Сб</v>
      </c>
      <c r="I907" s="46"/>
      <c r="J907" s="39">
        <f t="shared" si="29"/>
        <v>46869</v>
      </c>
      <c r="K907" t="str">
        <f ca="1">IF(AND(B907&gt;='План недели'!$B$4,B907&lt;'План недели'!$D$4,D907&lt;&gt;"",G907&lt;&gt;"Отменён"),COUNTIFS($B$5:B907,"&gt;="&amp;'План недели'!$B$4,$B$5:B907,"&lt;"&amp;'План недели'!$D$4,$D$5:D907,"&lt;&gt;",$G$5:G907,"&lt;&gt;Отменён"),"")</f>
        <v/>
      </c>
    </row>
    <row r="908" spans="1:11">
      <c r="A908" t="str">
        <f>IF(B908="","","VIS_"&amp;(YEAR(B908)*10000+MONTH(B908)*100+DAY(B908))&amp;"_"&amp;IF(COUNTIF($B$5:B908,B908)&lt;10,"00"&amp;COUNTIF($B$5:B908,B908),IF(COUNTIF($B$5:B908,B908)&lt;100,"0"&amp;COUNTIF($B$5:B908,B908),COUNTIF($B$5:B908,B908))))</f>
        <v>VIS_20280430_001</v>
      </c>
      <c r="B908" s="42">
        <v>46873</v>
      </c>
      <c r="C908" s="49" t="str">
        <f t="shared" si="28"/>
        <v>Вс</v>
      </c>
      <c r="I908" s="46"/>
      <c r="J908" s="39">
        <f t="shared" si="29"/>
        <v>46869</v>
      </c>
      <c r="K908" t="str">
        <f ca="1">IF(AND(B908&gt;='План недели'!$B$4,B908&lt;'План недели'!$D$4,D908&lt;&gt;"",G908&lt;&gt;"Отменён"),COUNTIFS($B$5:B908,"&gt;="&amp;'План недели'!$B$4,$B$5:B908,"&lt;"&amp;'План недели'!$D$4,$D$5:D908,"&lt;&gt;",$G$5:G908,"&lt;&gt;Отменён"),"")</f>
        <v/>
      </c>
    </row>
    <row r="909" spans="1:11">
      <c r="A909" t="str">
        <f>IF(B909="","","VIS_"&amp;(YEAR(B909)*10000+MONTH(B909)*100+DAY(B909))&amp;"_"&amp;IF(COUNTIF($B$5:B909,B909)&lt;10,"00"&amp;COUNTIF($B$5:B909,B909),IF(COUNTIF($B$5:B909,B909)&lt;100,"0"&amp;COUNTIF($B$5:B909,B909),COUNTIF($B$5:B909,B909))))</f>
        <v>VIS_20280501_001</v>
      </c>
      <c r="B909" s="40">
        <v>46874</v>
      </c>
      <c r="C909" s="47" t="str">
        <f t="shared" si="28"/>
        <v>Пн</v>
      </c>
      <c r="I909" s="46"/>
      <c r="J909" s="39">
        <f t="shared" si="29"/>
        <v>46869</v>
      </c>
      <c r="K909" t="str">
        <f ca="1">IF(AND(B909&gt;='План недели'!$B$4,B909&lt;'План недели'!$D$4,D909&lt;&gt;"",G909&lt;&gt;"Отменён"),COUNTIFS($B$5:B909,"&gt;="&amp;'План недели'!$B$4,$B$5:B909,"&lt;"&amp;'План недели'!$D$4,$D$5:D909,"&lt;&gt;",$G$5:G909,"&lt;&gt;Отменён"),"")</f>
        <v/>
      </c>
    </row>
    <row r="910" spans="1:11">
      <c r="A910" t="str">
        <f>IF(B910="","","VIS_"&amp;(YEAR(B910)*10000+MONTH(B910)*100+DAY(B910))&amp;"_"&amp;IF(COUNTIF($B$5:B910,B910)&lt;10,"00"&amp;COUNTIF($B$5:B910,B910),IF(COUNTIF($B$5:B910,B910)&lt;100,"0"&amp;COUNTIF($B$5:B910,B910),COUNTIF($B$5:B910,B910))))</f>
        <v>VIS_20280502_001</v>
      </c>
      <c r="B910" s="40">
        <v>46875</v>
      </c>
      <c r="C910" s="47" t="str">
        <f t="shared" si="28"/>
        <v>Вт</v>
      </c>
      <c r="I910" s="46"/>
      <c r="J910" s="39">
        <f t="shared" si="29"/>
        <v>46869</v>
      </c>
      <c r="K910" t="str">
        <f ca="1">IF(AND(B910&gt;='План недели'!$B$4,B910&lt;'План недели'!$D$4,D910&lt;&gt;"",G910&lt;&gt;"Отменён"),COUNTIFS($B$5:B910,"&gt;="&amp;'План недели'!$B$4,$B$5:B910,"&lt;"&amp;'План недели'!$D$4,$D$5:D910,"&lt;&gt;",$G$5:G910,"&lt;&gt;Отменён"),"")</f>
        <v/>
      </c>
    </row>
    <row r="911" spans="1:11">
      <c r="A911" t="str">
        <f>IF(B911="","","VIS_"&amp;(YEAR(B911)*10000+MONTH(B911)*100+DAY(B911))&amp;"_"&amp;IF(COUNTIF($B$5:B911,B911)&lt;10,"00"&amp;COUNTIF($B$5:B911,B911),IF(COUNTIF($B$5:B911,B911)&lt;100,"0"&amp;COUNTIF($B$5:B911,B911),COUNTIF($B$5:B911,B911))))</f>
        <v>VIS_20280503_001</v>
      </c>
      <c r="B911" s="40">
        <v>46876</v>
      </c>
      <c r="C911" s="47" t="str">
        <f t="shared" si="28"/>
        <v>Ср</v>
      </c>
      <c r="I911" s="46"/>
      <c r="J911" s="39">
        <f t="shared" si="29"/>
        <v>46876</v>
      </c>
      <c r="K911" t="str">
        <f ca="1">IF(AND(B911&gt;='План недели'!$B$4,B911&lt;'План недели'!$D$4,D911&lt;&gt;"",G911&lt;&gt;"Отменён"),COUNTIFS($B$5:B911,"&gt;="&amp;'План недели'!$B$4,$B$5:B911,"&lt;"&amp;'План недели'!$D$4,$D$5:D911,"&lt;&gt;",$G$5:G911,"&lt;&gt;Отменён"),"")</f>
        <v/>
      </c>
    </row>
    <row r="912" spans="1:11">
      <c r="A912" t="str">
        <f>IF(B912="","","VIS_"&amp;(YEAR(B912)*10000+MONTH(B912)*100+DAY(B912))&amp;"_"&amp;IF(COUNTIF($B$5:B912,B912)&lt;10,"00"&amp;COUNTIF($B$5:B912,B912),IF(COUNTIF($B$5:B912,B912)&lt;100,"0"&amp;COUNTIF($B$5:B912,B912),COUNTIF($B$5:B912,B912))))</f>
        <v>VIS_20280504_001</v>
      </c>
      <c r="B912" s="40">
        <v>46877</v>
      </c>
      <c r="C912" s="47" t="str">
        <f t="shared" si="28"/>
        <v>Чт</v>
      </c>
      <c r="I912" s="46"/>
      <c r="J912" s="39">
        <f t="shared" si="29"/>
        <v>46876</v>
      </c>
      <c r="K912" t="str">
        <f ca="1">IF(AND(B912&gt;='План недели'!$B$4,B912&lt;'План недели'!$D$4,D912&lt;&gt;"",G912&lt;&gt;"Отменён"),COUNTIFS($B$5:B912,"&gt;="&amp;'План недели'!$B$4,$B$5:B912,"&lt;"&amp;'План недели'!$D$4,$D$5:D912,"&lt;&gt;",$G$5:G912,"&lt;&gt;Отменён"),"")</f>
        <v/>
      </c>
    </row>
    <row r="913" spans="1:11">
      <c r="A913" t="str">
        <f>IF(B913="","","VIS_"&amp;(YEAR(B913)*10000+MONTH(B913)*100+DAY(B913))&amp;"_"&amp;IF(COUNTIF($B$5:B913,B913)&lt;10,"00"&amp;COUNTIF($B$5:B913,B913),IF(COUNTIF($B$5:B913,B913)&lt;100,"0"&amp;COUNTIF($B$5:B913,B913),COUNTIF($B$5:B913,B913))))</f>
        <v>VIS_20280505_001</v>
      </c>
      <c r="B913" s="40">
        <v>46878</v>
      </c>
      <c r="C913" s="47" t="str">
        <f t="shared" si="28"/>
        <v>Пт</v>
      </c>
      <c r="I913" s="46"/>
      <c r="J913" s="39">
        <f t="shared" si="29"/>
        <v>46876</v>
      </c>
      <c r="K913" t="str">
        <f ca="1">IF(AND(B913&gt;='План недели'!$B$4,B913&lt;'План недели'!$D$4,D913&lt;&gt;"",G913&lt;&gt;"Отменён"),COUNTIFS($B$5:B913,"&gt;="&amp;'План недели'!$B$4,$B$5:B913,"&lt;"&amp;'План недели'!$D$4,$D$5:D913,"&lt;&gt;",$G$5:G913,"&lt;&gt;Отменён"),"")</f>
        <v/>
      </c>
    </row>
    <row r="914" spans="1:11">
      <c r="A914" t="str">
        <f>IF(B914="","","VIS_"&amp;(YEAR(B914)*10000+MONTH(B914)*100+DAY(B914))&amp;"_"&amp;IF(COUNTIF($B$5:B914,B914)&lt;10,"00"&amp;COUNTIF($B$5:B914,B914),IF(COUNTIF($B$5:B914,B914)&lt;100,"0"&amp;COUNTIF($B$5:B914,B914),COUNTIF($B$5:B914,B914))))</f>
        <v>VIS_20280506_001</v>
      </c>
      <c r="B914" s="42">
        <v>46879</v>
      </c>
      <c r="C914" s="49" t="str">
        <f t="shared" si="28"/>
        <v>Сб</v>
      </c>
      <c r="I914" s="46"/>
      <c r="J914" s="39">
        <f t="shared" si="29"/>
        <v>46876</v>
      </c>
      <c r="K914" t="str">
        <f ca="1">IF(AND(B914&gt;='План недели'!$B$4,B914&lt;'План недели'!$D$4,D914&lt;&gt;"",G914&lt;&gt;"Отменён"),COUNTIFS($B$5:B914,"&gt;="&amp;'План недели'!$B$4,$B$5:B914,"&lt;"&amp;'План недели'!$D$4,$D$5:D914,"&lt;&gt;",$G$5:G914,"&lt;&gt;Отменён"),"")</f>
        <v/>
      </c>
    </row>
    <row r="915" spans="1:11">
      <c r="A915" t="str">
        <f>IF(B915="","","VIS_"&amp;(YEAR(B915)*10000+MONTH(B915)*100+DAY(B915))&amp;"_"&amp;IF(COUNTIF($B$5:B915,B915)&lt;10,"00"&amp;COUNTIF($B$5:B915,B915),IF(COUNTIF($B$5:B915,B915)&lt;100,"0"&amp;COUNTIF($B$5:B915,B915),COUNTIF($B$5:B915,B915))))</f>
        <v>VIS_20280507_001</v>
      </c>
      <c r="B915" s="42">
        <v>46880</v>
      </c>
      <c r="C915" s="49" t="str">
        <f t="shared" si="28"/>
        <v>Вс</v>
      </c>
      <c r="I915" s="46"/>
      <c r="J915" s="39">
        <f t="shared" si="29"/>
        <v>46876</v>
      </c>
      <c r="K915" t="str">
        <f ca="1">IF(AND(B915&gt;='План недели'!$B$4,B915&lt;'План недели'!$D$4,D915&lt;&gt;"",G915&lt;&gt;"Отменён"),COUNTIFS($B$5:B915,"&gt;="&amp;'План недели'!$B$4,$B$5:B915,"&lt;"&amp;'План недели'!$D$4,$D$5:D915,"&lt;&gt;",$G$5:G915,"&lt;&gt;Отменён"),"")</f>
        <v/>
      </c>
    </row>
    <row r="916" spans="1:11">
      <c r="A916" t="str">
        <f>IF(B916="","","VIS_"&amp;(YEAR(B916)*10000+MONTH(B916)*100+DAY(B916))&amp;"_"&amp;IF(COUNTIF($B$5:B916,B916)&lt;10,"00"&amp;COUNTIF($B$5:B916,B916),IF(COUNTIF($B$5:B916,B916)&lt;100,"0"&amp;COUNTIF($B$5:B916,B916),COUNTIF($B$5:B916,B916))))</f>
        <v>VIS_20280508_001</v>
      </c>
      <c r="B916" s="40">
        <v>46881</v>
      </c>
      <c r="C916" s="47" t="str">
        <f t="shared" si="28"/>
        <v>Пн</v>
      </c>
      <c r="I916" s="46"/>
      <c r="J916" s="39">
        <f t="shared" si="29"/>
        <v>46876</v>
      </c>
      <c r="K916" t="str">
        <f ca="1">IF(AND(B916&gt;='План недели'!$B$4,B916&lt;'План недели'!$D$4,D916&lt;&gt;"",G916&lt;&gt;"Отменён"),COUNTIFS($B$5:B916,"&gt;="&amp;'План недели'!$B$4,$B$5:B916,"&lt;"&amp;'План недели'!$D$4,$D$5:D916,"&lt;&gt;",$G$5:G916,"&lt;&gt;Отменён"),"")</f>
        <v/>
      </c>
    </row>
    <row r="917" spans="1:11">
      <c r="A917" t="str">
        <f>IF(B917="","","VIS_"&amp;(YEAR(B917)*10000+MONTH(B917)*100+DAY(B917))&amp;"_"&amp;IF(COUNTIF($B$5:B917,B917)&lt;10,"00"&amp;COUNTIF($B$5:B917,B917),IF(COUNTIF($B$5:B917,B917)&lt;100,"0"&amp;COUNTIF($B$5:B917,B917),COUNTIF($B$5:B917,B917))))</f>
        <v>VIS_20280509_001</v>
      </c>
      <c r="B917" s="40">
        <v>46882</v>
      </c>
      <c r="C917" s="47" t="str">
        <f t="shared" si="28"/>
        <v>Вт</v>
      </c>
      <c r="I917" s="46"/>
      <c r="J917" s="39">
        <f t="shared" si="29"/>
        <v>46876</v>
      </c>
      <c r="K917" t="str">
        <f ca="1">IF(AND(B917&gt;='План недели'!$B$4,B917&lt;'План недели'!$D$4,D917&lt;&gt;"",G917&lt;&gt;"Отменён"),COUNTIFS($B$5:B917,"&gt;="&amp;'План недели'!$B$4,$B$5:B917,"&lt;"&amp;'План недели'!$D$4,$D$5:D917,"&lt;&gt;",$G$5:G917,"&lt;&gt;Отменён"),"")</f>
        <v/>
      </c>
    </row>
    <row r="918" spans="1:11">
      <c r="A918" t="str">
        <f>IF(B918="","","VIS_"&amp;(YEAR(B918)*10000+MONTH(B918)*100+DAY(B918))&amp;"_"&amp;IF(COUNTIF($B$5:B918,B918)&lt;10,"00"&amp;COUNTIF($B$5:B918,B918),IF(COUNTIF($B$5:B918,B918)&lt;100,"0"&amp;COUNTIF($B$5:B918,B918),COUNTIF($B$5:B918,B918))))</f>
        <v>VIS_20280510_001</v>
      </c>
      <c r="B918" s="40">
        <v>46883</v>
      </c>
      <c r="C918" s="47" t="str">
        <f t="shared" si="28"/>
        <v>Ср</v>
      </c>
      <c r="I918" s="46"/>
      <c r="J918" s="39">
        <f t="shared" si="29"/>
        <v>46883</v>
      </c>
      <c r="K918" t="str">
        <f ca="1">IF(AND(B918&gt;='План недели'!$B$4,B918&lt;'План недели'!$D$4,D918&lt;&gt;"",G918&lt;&gt;"Отменён"),COUNTIFS($B$5:B918,"&gt;="&amp;'План недели'!$B$4,$B$5:B918,"&lt;"&amp;'План недели'!$D$4,$D$5:D918,"&lt;&gt;",$G$5:G918,"&lt;&gt;Отменён"),"")</f>
        <v/>
      </c>
    </row>
    <row r="919" spans="1:11">
      <c r="A919" t="str">
        <f>IF(B919="","","VIS_"&amp;(YEAR(B919)*10000+MONTH(B919)*100+DAY(B919))&amp;"_"&amp;IF(COUNTIF($B$5:B919,B919)&lt;10,"00"&amp;COUNTIF($B$5:B919,B919),IF(COUNTIF($B$5:B919,B919)&lt;100,"0"&amp;COUNTIF($B$5:B919,B919),COUNTIF($B$5:B919,B919))))</f>
        <v>VIS_20280511_001</v>
      </c>
      <c r="B919" s="40">
        <v>46884</v>
      </c>
      <c r="C919" s="47" t="str">
        <f t="shared" si="28"/>
        <v>Чт</v>
      </c>
      <c r="I919" s="46"/>
      <c r="J919" s="39">
        <f t="shared" si="29"/>
        <v>46883</v>
      </c>
      <c r="K919" t="str">
        <f ca="1">IF(AND(B919&gt;='План недели'!$B$4,B919&lt;'План недели'!$D$4,D919&lt;&gt;"",G919&lt;&gt;"Отменён"),COUNTIFS($B$5:B919,"&gt;="&amp;'План недели'!$B$4,$B$5:B919,"&lt;"&amp;'План недели'!$D$4,$D$5:D919,"&lt;&gt;",$G$5:G919,"&lt;&gt;Отменён"),"")</f>
        <v/>
      </c>
    </row>
    <row r="920" spans="1:11">
      <c r="A920" t="str">
        <f>IF(B920="","","VIS_"&amp;(YEAR(B920)*10000+MONTH(B920)*100+DAY(B920))&amp;"_"&amp;IF(COUNTIF($B$5:B920,B920)&lt;10,"00"&amp;COUNTIF($B$5:B920,B920),IF(COUNTIF($B$5:B920,B920)&lt;100,"0"&amp;COUNTIF($B$5:B920,B920),COUNTIF($B$5:B920,B920))))</f>
        <v>VIS_20280512_001</v>
      </c>
      <c r="B920" s="40">
        <v>46885</v>
      </c>
      <c r="C920" s="47" t="str">
        <f t="shared" si="28"/>
        <v>Пт</v>
      </c>
      <c r="I920" s="46"/>
      <c r="J920" s="39">
        <f t="shared" si="29"/>
        <v>46883</v>
      </c>
      <c r="K920" t="str">
        <f ca="1">IF(AND(B920&gt;='План недели'!$B$4,B920&lt;'План недели'!$D$4,D920&lt;&gt;"",G920&lt;&gt;"Отменён"),COUNTIFS($B$5:B920,"&gt;="&amp;'План недели'!$B$4,$B$5:B920,"&lt;"&amp;'План недели'!$D$4,$D$5:D920,"&lt;&gt;",$G$5:G920,"&lt;&gt;Отменён"),"")</f>
        <v/>
      </c>
    </row>
    <row r="921" spans="1:11">
      <c r="A921" t="str">
        <f>IF(B921="","","VIS_"&amp;(YEAR(B921)*10000+MONTH(B921)*100+DAY(B921))&amp;"_"&amp;IF(COUNTIF($B$5:B921,B921)&lt;10,"00"&amp;COUNTIF($B$5:B921,B921),IF(COUNTIF($B$5:B921,B921)&lt;100,"0"&amp;COUNTIF($B$5:B921,B921),COUNTIF($B$5:B921,B921))))</f>
        <v>VIS_20280513_001</v>
      </c>
      <c r="B921" s="42">
        <v>46886</v>
      </c>
      <c r="C921" s="49" t="str">
        <f t="shared" si="28"/>
        <v>Сб</v>
      </c>
      <c r="I921" s="46"/>
      <c r="J921" s="39">
        <f t="shared" si="29"/>
        <v>46883</v>
      </c>
      <c r="K921" t="str">
        <f ca="1">IF(AND(B921&gt;='План недели'!$B$4,B921&lt;'План недели'!$D$4,D921&lt;&gt;"",G921&lt;&gt;"Отменён"),COUNTIFS($B$5:B921,"&gt;="&amp;'План недели'!$B$4,$B$5:B921,"&lt;"&amp;'План недели'!$D$4,$D$5:D921,"&lt;&gt;",$G$5:G921,"&lt;&gt;Отменён"),"")</f>
        <v/>
      </c>
    </row>
    <row r="922" spans="1:11">
      <c r="A922" t="str">
        <f>IF(B922="","","VIS_"&amp;(YEAR(B922)*10000+MONTH(B922)*100+DAY(B922))&amp;"_"&amp;IF(COUNTIF($B$5:B922,B922)&lt;10,"00"&amp;COUNTIF($B$5:B922,B922),IF(COUNTIF($B$5:B922,B922)&lt;100,"0"&amp;COUNTIF($B$5:B922,B922),COUNTIF($B$5:B922,B922))))</f>
        <v>VIS_20280514_001</v>
      </c>
      <c r="B922" s="42">
        <v>46887</v>
      </c>
      <c r="C922" s="49" t="str">
        <f t="shared" si="28"/>
        <v>Вс</v>
      </c>
      <c r="I922" s="46"/>
      <c r="J922" s="39">
        <f t="shared" si="29"/>
        <v>46883</v>
      </c>
      <c r="K922" t="str">
        <f ca="1">IF(AND(B922&gt;='План недели'!$B$4,B922&lt;'План недели'!$D$4,D922&lt;&gt;"",G922&lt;&gt;"Отменён"),COUNTIFS($B$5:B922,"&gt;="&amp;'План недели'!$B$4,$B$5:B922,"&lt;"&amp;'План недели'!$D$4,$D$5:D922,"&lt;&gt;",$G$5:G922,"&lt;&gt;Отменён"),"")</f>
        <v/>
      </c>
    </row>
    <row r="923" spans="1:11">
      <c r="A923" t="str">
        <f>IF(B923="","","VIS_"&amp;(YEAR(B923)*10000+MONTH(B923)*100+DAY(B923))&amp;"_"&amp;IF(COUNTIF($B$5:B923,B923)&lt;10,"00"&amp;COUNTIF($B$5:B923,B923),IF(COUNTIF($B$5:B923,B923)&lt;100,"0"&amp;COUNTIF($B$5:B923,B923),COUNTIF($B$5:B923,B923))))</f>
        <v>VIS_20280515_001</v>
      </c>
      <c r="B923" s="40">
        <v>46888</v>
      </c>
      <c r="C923" s="47" t="str">
        <f t="shared" si="28"/>
        <v>Пн</v>
      </c>
      <c r="I923" s="46"/>
      <c r="J923" s="39">
        <f t="shared" si="29"/>
        <v>46883</v>
      </c>
      <c r="K923" t="str">
        <f ca="1">IF(AND(B923&gt;='План недели'!$B$4,B923&lt;'План недели'!$D$4,D923&lt;&gt;"",G923&lt;&gt;"Отменён"),COUNTIFS($B$5:B923,"&gt;="&amp;'План недели'!$B$4,$B$5:B923,"&lt;"&amp;'План недели'!$D$4,$D$5:D923,"&lt;&gt;",$G$5:G923,"&lt;&gt;Отменён"),"")</f>
        <v/>
      </c>
    </row>
    <row r="924" spans="1:11">
      <c r="A924" t="str">
        <f>IF(B924="","","VIS_"&amp;(YEAR(B924)*10000+MONTH(B924)*100+DAY(B924))&amp;"_"&amp;IF(COUNTIF($B$5:B924,B924)&lt;10,"00"&amp;COUNTIF($B$5:B924,B924),IF(COUNTIF($B$5:B924,B924)&lt;100,"0"&amp;COUNTIF($B$5:B924,B924),COUNTIF($B$5:B924,B924))))</f>
        <v>VIS_20280516_001</v>
      </c>
      <c r="B924" s="40">
        <v>46889</v>
      </c>
      <c r="C924" s="47" t="str">
        <f t="shared" si="28"/>
        <v>Вт</v>
      </c>
      <c r="I924" s="46"/>
      <c r="J924" s="39">
        <f t="shared" si="29"/>
        <v>46883</v>
      </c>
      <c r="K924" t="str">
        <f ca="1">IF(AND(B924&gt;='План недели'!$B$4,B924&lt;'План недели'!$D$4,D924&lt;&gt;"",G924&lt;&gt;"Отменён"),COUNTIFS($B$5:B924,"&gt;="&amp;'План недели'!$B$4,$B$5:B924,"&lt;"&amp;'План недели'!$D$4,$D$5:D924,"&lt;&gt;",$G$5:G924,"&lt;&gt;Отменён"),"")</f>
        <v/>
      </c>
    </row>
    <row r="925" spans="1:11">
      <c r="A925" t="str">
        <f>IF(B925="","","VIS_"&amp;(YEAR(B925)*10000+MONTH(B925)*100+DAY(B925))&amp;"_"&amp;IF(COUNTIF($B$5:B925,B925)&lt;10,"00"&amp;COUNTIF($B$5:B925,B925),IF(COUNTIF($B$5:B925,B925)&lt;100,"0"&amp;COUNTIF($B$5:B925,B925),COUNTIF($B$5:B925,B925))))</f>
        <v>VIS_20280517_001</v>
      </c>
      <c r="B925" s="40">
        <v>46890</v>
      </c>
      <c r="C925" s="47" t="str">
        <f t="shared" si="28"/>
        <v>Ср</v>
      </c>
      <c r="I925" s="46"/>
      <c r="J925" s="39">
        <f t="shared" si="29"/>
        <v>46890</v>
      </c>
      <c r="K925" t="str">
        <f ca="1">IF(AND(B925&gt;='План недели'!$B$4,B925&lt;'План недели'!$D$4,D925&lt;&gt;"",G925&lt;&gt;"Отменён"),COUNTIFS($B$5:B925,"&gt;="&amp;'План недели'!$B$4,$B$5:B925,"&lt;"&amp;'План недели'!$D$4,$D$5:D925,"&lt;&gt;",$G$5:G925,"&lt;&gt;Отменён"),"")</f>
        <v/>
      </c>
    </row>
    <row r="926" spans="1:11">
      <c r="A926" t="str">
        <f>IF(B926="","","VIS_"&amp;(YEAR(B926)*10000+MONTH(B926)*100+DAY(B926))&amp;"_"&amp;IF(COUNTIF($B$5:B926,B926)&lt;10,"00"&amp;COUNTIF($B$5:B926,B926),IF(COUNTIF($B$5:B926,B926)&lt;100,"0"&amp;COUNTIF($B$5:B926,B926),COUNTIF($B$5:B926,B926))))</f>
        <v>VIS_20280518_001</v>
      </c>
      <c r="B926" s="40">
        <v>46891</v>
      </c>
      <c r="C926" s="47" t="str">
        <f t="shared" si="28"/>
        <v>Чт</v>
      </c>
      <c r="I926" s="46"/>
      <c r="J926" s="39">
        <f t="shared" si="29"/>
        <v>46890</v>
      </c>
      <c r="K926" t="str">
        <f ca="1">IF(AND(B926&gt;='План недели'!$B$4,B926&lt;'План недели'!$D$4,D926&lt;&gt;"",G926&lt;&gt;"Отменён"),COUNTIFS($B$5:B926,"&gt;="&amp;'План недели'!$B$4,$B$5:B926,"&lt;"&amp;'План недели'!$D$4,$D$5:D926,"&lt;&gt;",$G$5:G926,"&lt;&gt;Отменён"),"")</f>
        <v/>
      </c>
    </row>
    <row r="927" spans="1:11">
      <c r="A927" t="str">
        <f>IF(B927="","","VIS_"&amp;(YEAR(B927)*10000+MONTH(B927)*100+DAY(B927))&amp;"_"&amp;IF(COUNTIF($B$5:B927,B927)&lt;10,"00"&amp;COUNTIF($B$5:B927,B927),IF(COUNTIF($B$5:B927,B927)&lt;100,"0"&amp;COUNTIF($B$5:B927,B927),COUNTIF($B$5:B927,B927))))</f>
        <v>VIS_20280519_001</v>
      </c>
      <c r="B927" s="40">
        <v>46892</v>
      </c>
      <c r="C927" s="47" t="str">
        <f t="shared" si="28"/>
        <v>Пт</v>
      </c>
      <c r="I927" s="46"/>
      <c r="J927" s="39">
        <f t="shared" si="29"/>
        <v>46890</v>
      </c>
      <c r="K927" t="str">
        <f ca="1">IF(AND(B927&gt;='План недели'!$B$4,B927&lt;'План недели'!$D$4,D927&lt;&gt;"",G927&lt;&gt;"Отменён"),COUNTIFS($B$5:B927,"&gt;="&amp;'План недели'!$B$4,$B$5:B927,"&lt;"&amp;'План недели'!$D$4,$D$5:D927,"&lt;&gt;",$G$5:G927,"&lt;&gt;Отменён"),"")</f>
        <v/>
      </c>
    </row>
    <row r="928" spans="1:11">
      <c r="A928" t="str">
        <f>IF(B928="","","VIS_"&amp;(YEAR(B928)*10000+MONTH(B928)*100+DAY(B928))&amp;"_"&amp;IF(COUNTIF($B$5:B928,B928)&lt;10,"00"&amp;COUNTIF($B$5:B928,B928),IF(COUNTIF($B$5:B928,B928)&lt;100,"0"&amp;COUNTIF($B$5:B928,B928),COUNTIF($B$5:B928,B928))))</f>
        <v>VIS_20280520_001</v>
      </c>
      <c r="B928" s="42">
        <v>46893</v>
      </c>
      <c r="C928" s="49" t="str">
        <f t="shared" si="28"/>
        <v>Сб</v>
      </c>
      <c r="I928" s="46"/>
      <c r="J928" s="39">
        <f t="shared" si="29"/>
        <v>46890</v>
      </c>
      <c r="K928" t="str">
        <f ca="1">IF(AND(B928&gt;='План недели'!$B$4,B928&lt;'План недели'!$D$4,D928&lt;&gt;"",G928&lt;&gt;"Отменён"),COUNTIFS($B$5:B928,"&gt;="&amp;'План недели'!$B$4,$B$5:B928,"&lt;"&amp;'План недели'!$D$4,$D$5:D928,"&lt;&gt;",$G$5:G928,"&lt;&gt;Отменён"),"")</f>
        <v/>
      </c>
    </row>
    <row r="929" spans="1:11">
      <c r="A929" t="str">
        <f>IF(B929="","","VIS_"&amp;(YEAR(B929)*10000+MONTH(B929)*100+DAY(B929))&amp;"_"&amp;IF(COUNTIF($B$5:B929,B929)&lt;10,"00"&amp;COUNTIF($B$5:B929,B929),IF(COUNTIF($B$5:B929,B929)&lt;100,"0"&amp;COUNTIF($B$5:B929,B929),COUNTIF($B$5:B929,B929))))</f>
        <v>VIS_20280521_001</v>
      </c>
      <c r="B929" s="42">
        <v>46894</v>
      </c>
      <c r="C929" s="49" t="str">
        <f t="shared" si="28"/>
        <v>Вс</v>
      </c>
      <c r="I929" s="46"/>
      <c r="J929" s="39">
        <f t="shared" si="29"/>
        <v>46890</v>
      </c>
      <c r="K929" t="str">
        <f ca="1">IF(AND(B929&gt;='План недели'!$B$4,B929&lt;'План недели'!$D$4,D929&lt;&gt;"",G929&lt;&gt;"Отменён"),COUNTIFS($B$5:B929,"&gt;="&amp;'План недели'!$B$4,$B$5:B929,"&lt;"&amp;'План недели'!$D$4,$D$5:D929,"&lt;&gt;",$G$5:G929,"&lt;&gt;Отменён"),"")</f>
        <v/>
      </c>
    </row>
    <row r="930" spans="1:11">
      <c r="A930" t="str">
        <f>IF(B930="","","VIS_"&amp;(YEAR(B930)*10000+MONTH(B930)*100+DAY(B930))&amp;"_"&amp;IF(COUNTIF($B$5:B930,B930)&lt;10,"00"&amp;COUNTIF($B$5:B930,B930),IF(COUNTIF($B$5:B930,B930)&lt;100,"0"&amp;COUNTIF($B$5:B930,B930),COUNTIF($B$5:B930,B930))))</f>
        <v>VIS_20280522_001</v>
      </c>
      <c r="B930" s="40">
        <v>46895</v>
      </c>
      <c r="C930" s="47" t="str">
        <f t="shared" si="28"/>
        <v>Пн</v>
      </c>
      <c r="I930" s="46"/>
      <c r="J930" s="39">
        <f t="shared" si="29"/>
        <v>46890</v>
      </c>
      <c r="K930" t="str">
        <f ca="1">IF(AND(B930&gt;='План недели'!$B$4,B930&lt;'План недели'!$D$4,D930&lt;&gt;"",G930&lt;&gt;"Отменён"),COUNTIFS($B$5:B930,"&gt;="&amp;'План недели'!$B$4,$B$5:B930,"&lt;"&amp;'План недели'!$D$4,$D$5:D930,"&lt;&gt;",$G$5:G930,"&lt;&gt;Отменён"),"")</f>
        <v/>
      </c>
    </row>
    <row r="931" spans="1:11">
      <c r="A931" t="str">
        <f>IF(B931="","","VIS_"&amp;(YEAR(B931)*10000+MONTH(B931)*100+DAY(B931))&amp;"_"&amp;IF(COUNTIF($B$5:B931,B931)&lt;10,"00"&amp;COUNTIF($B$5:B931,B931),IF(COUNTIF($B$5:B931,B931)&lt;100,"0"&amp;COUNTIF($B$5:B931,B931),COUNTIF($B$5:B931,B931))))</f>
        <v>VIS_20280523_001</v>
      </c>
      <c r="B931" s="40">
        <v>46896</v>
      </c>
      <c r="C931" s="47" t="str">
        <f t="shared" si="28"/>
        <v>Вт</v>
      </c>
      <c r="I931" s="46"/>
      <c r="J931" s="39">
        <f t="shared" si="29"/>
        <v>46890</v>
      </c>
      <c r="K931" t="str">
        <f ca="1">IF(AND(B931&gt;='План недели'!$B$4,B931&lt;'План недели'!$D$4,D931&lt;&gt;"",G931&lt;&gt;"Отменён"),COUNTIFS($B$5:B931,"&gt;="&amp;'План недели'!$B$4,$B$5:B931,"&lt;"&amp;'План недели'!$D$4,$D$5:D931,"&lt;&gt;",$G$5:G931,"&lt;&gt;Отменён"),"")</f>
        <v/>
      </c>
    </row>
    <row r="932" spans="1:11">
      <c r="A932" t="str">
        <f>IF(B932="","","VIS_"&amp;(YEAR(B932)*10000+MONTH(B932)*100+DAY(B932))&amp;"_"&amp;IF(COUNTIF($B$5:B932,B932)&lt;10,"00"&amp;COUNTIF($B$5:B932,B932),IF(COUNTIF($B$5:B932,B932)&lt;100,"0"&amp;COUNTIF($B$5:B932,B932),COUNTIF($B$5:B932,B932))))</f>
        <v>VIS_20280524_001</v>
      </c>
      <c r="B932" s="40">
        <v>46897</v>
      </c>
      <c r="C932" s="47" t="str">
        <f t="shared" si="28"/>
        <v>Ср</v>
      </c>
      <c r="I932" s="46"/>
      <c r="J932" s="39">
        <f t="shared" si="29"/>
        <v>46897</v>
      </c>
      <c r="K932" t="str">
        <f ca="1">IF(AND(B932&gt;='План недели'!$B$4,B932&lt;'План недели'!$D$4,D932&lt;&gt;"",G932&lt;&gt;"Отменён"),COUNTIFS($B$5:B932,"&gt;="&amp;'План недели'!$B$4,$B$5:B932,"&lt;"&amp;'План недели'!$D$4,$D$5:D932,"&lt;&gt;",$G$5:G932,"&lt;&gt;Отменён"),"")</f>
        <v/>
      </c>
    </row>
    <row r="933" spans="1:11">
      <c r="A933" t="str">
        <f>IF(B933="","","VIS_"&amp;(YEAR(B933)*10000+MONTH(B933)*100+DAY(B933))&amp;"_"&amp;IF(COUNTIF($B$5:B933,B933)&lt;10,"00"&amp;COUNTIF($B$5:B933,B933),IF(COUNTIF($B$5:B933,B933)&lt;100,"0"&amp;COUNTIF($B$5:B933,B933),COUNTIF($B$5:B933,B933))))</f>
        <v>VIS_20280525_001</v>
      </c>
      <c r="B933" s="40">
        <v>46898</v>
      </c>
      <c r="C933" s="47" t="str">
        <f t="shared" si="28"/>
        <v>Чт</v>
      </c>
      <c r="I933" s="46"/>
      <c r="J933" s="39">
        <f t="shared" si="29"/>
        <v>46897</v>
      </c>
      <c r="K933" t="str">
        <f ca="1">IF(AND(B933&gt;='План недели'!$B$4,B933&lt;'План недели'!$D$4,D933&lt;&gt;"",G933&lt;&gt;"Отменён"),COUNTIFS($B$5:B933,"&gt;="&amp;'План недели'!$B$4,$B$5:B933,"&lt;"&amp;'План недели'!$D$4,$D$5:D933,"&lt;&gt;",$G$5:G933,"&lt;&gt;Отменён"),"")</f>
        <v/>
      </c>
    </row>
    <row r="934" spans="1:11">
      <c r="A934" t="str">
        <f>IF(B934="","","VIS_"&amp;(YEAR(B934)*10000+MONTH(B934)*100+DAY(B934))&amp;"_"&amp;IF(COUNTIF($B$5:B934,B934)&lt;10,"00"&amp;COUNTIF($B$5:B934,B934),IF(COUNTIF($B$5:B934,B934)&lt;100,"0"&amp;COUNTIF($B$5:B934,B934),COUNTIF($B$5:B934,B934))))</f>
        <v>VIS_20280526_001</v>
      </c>
      <c r="B934" s="40">
        <v>46899</v>
      </c>
      <c r="C934" s="47" t="str">
        <f t="shared" si="28"/>
        <v>Пт</v>
      </c>
      <c r="I934" s="46"/>
      <c r="J934" s="39">
        <f t="shared" si="29"/>
        <v>46897</v>
      </c>
      <c r="K934" t="str">
        <f ca="1">IF(AND(B934&gt;='План недели'!$B$4,B934&lt;'План недели'!$D$4,D934&lt;&gt;"",G934&lt;&gt;"Отменён"),COUNTIFS($B$5:B934,"&gt;="&amp;'План недели'!$B$4,$B$5:B934,"&lt;"&amp;'План недели'!$D$4,$D$5:D934,"&lt;&gt;",$G$5:G934,"&lt;&gt;Отменён"),"")</f>
        <v/>
      </c>
    </row>
    <row r="935" spans="1:11">
      <c r="A935" t="str">
        <f>IF(B935="","","VIS_"&amp;(YEAR(B935)*10000+MONTH(B935)*100+DAY(B935))&amp;"_"&amp;IF(COUNTIF($B$5:B935,B935)&lt;10,"00"&amp;COUNTIF($B$5:B935,B935),IF(COUNTIF($B$5:B935,B935)&lt;100,"0"&amp;COUNTIF($B$5:B935,B935),COUNTIF($B$5:B935,B935))))</f>
        <v>VIS_20280527_001</v>
      </c>
      <c r="B935" s="42">
        <v>46900</v>
      </c>
      <c r="C935" s="49" t="str">
        <f t="shared" si="28"/>
        <v>Сб</v>
      </c>
      <c r="I935" s="46"/>
      <c r="J935" s="39">
        <f t="shared" si="29"/>
        <v>46897</v>
      </c>
      <c r="K935" t="str">
        <f ca="1">IF(AND(B935&gt;='План недели'!$B$4,B935&lt;'План недели'!$D$4,D935&lt;&gt;"",G935&lt;&gt;"Отменён"),COUNTIFS($B$5:B935,"&gt;="&amp;'План недели'!$B$4,$B$5:B935,"&lt;"&amp;'План недели'!$D$4,$D$5:D935,"&lt;&gt;",$G$5:G935,"&lt;&gt;Отменён"),"")</f>
        <v/>
      </c>
    </row>
    <row r="936" spans="1:11">
      <c r="A936" t="str">
        <f>IF(B936="","","VIS_"&amp;(YEAR(B936)*10000+MONTH(B936)*100+DAY(B936))&amp;"_"&amp;IF(COUNTIF($B$5:B936,B936)&lt;10,"00"&amp;COUNTIF($B$5:B936,B936),IF(COUNTIF($B$5:B936,B936)&lt;100,"0"&amp;COUNTIF($B$5:B936,B936),COUNTIF($B$5:B936,B936))))</f>
        <v>VIS_20280528_001</v>
      </c>
      <c r="B936" s="42">
        <v>46901</v>
      </c>
      <c r="C936" s="49" t="str">
        <f t="shared" si="28"/>
        <v>Вс</v>
      </c>
      <c r="I936" s="46"/>
      <c r="J936" s="39">
        <f t="shared" si="29"/>
        <v>46897</v>
      </c>
      <c r="K936" t="str">
        <f ca="1">IF(AND(B936&gt;='План недели'!$B$4,B936&lt;'План недели'!$D$4,D936&lt;&gt;"",G936&lt;&gt;"Отменён"),COUNTIFS($B$5:B936,"&gt;="&amp;'План недели'!$B$4,$B$5:B936,"&lt;"&amp;'План недели'!$D$4,$D$5:D936,"&lt;&gt;",$G$5:G936,"&lt;&gt;Отменён"),"")</f>
        <v/>
      </c>
    </row>
    <row r="937" spans="1:11">
      <c r="A937" t="str">
        <f>IF(B937="","","VIS_"&amp;(YEAR(B937)*10000+MONTH(B937)*100+DAY(B937))&amp;"_"&amp;IF(COUNTIF($B$5:B937,B937)&lt;10,"00"&amp;COUNTIF($B$5:B937,B937),IF(COUNTIF($B$5:B937,B937)&lt;100,"0"&amp;COUNTIF($B$5:B937,B937),COUNTIF($B$5:B937,B937))))</f>
        <v>VIS_20280529_001</v>
      </c>
      <c r="B937" s="40">
        <v>46902</v>
      </c>
      <c r="C937" s="47" t="str">
        <f t="shared" si="28"/>
        <v>Пн</v>
      </c>
      <c r="I937" s="46"/>
      <c r="J937" s="39">
        <f t="shared" si="29"/>
        <v>46897</v>
      </c>
      <c r="K937" t="str">
        <f ca="1">IF(AND(B937&gt;='План недели'!$B$4,B937&lt;'План недели'!$D$4,D937&lt;&gt;"",G937&lt;&gt;"Отменён"),COUNTIFS($B$5:B937,"&gt;="&amp;'План недели'!$B$4,$B$5:B937,"&lt;"&amp;'План недели'!$D$4,$D$5:D937,"&lt;&gt;",$G$5:G937,"&lt;&gt;Отменён"),"")</f>
        <v/>
      </c>
    </row>
    <row r="938" spans="1:11">
      <c r="A938" t="str">
        <f>IF(B938="","","VIS_"&amp;(YEAR(B938)*10000+MONTH(B938)*100+DAY(B938))&amp;"_"&amp;IF(COUNTIF($B$5:B938,B938)&lt;10,"00"&amp;COUNTIF($B$5:B938,B938),IF(COUNTIF($B$5:B938,B938)&lt;100,"0"&amp;COUNTIF($B$5:B938,B938),COUNTIF($B$5:B938,B938))))</f>
        <v>VIS_20280530_001</v>
      </c>
      <c r="B938" s="40">
        <v>46903</v>
      </c>
      <c r="C938" s="47" t="str">
        <f t="shared" si="28"/>
        <v>Вт</v>
      </c>
      <c r="I938" s="46"/>
      <c r="J938" s="39">
        <f t="shared" si="29"/>
        <v>46897</v>
      </c>
      <c r="K938" t="str">
        <f ca="1">IF(AND(B938&gt;='План недели'!$B$4,B938&lt;'План недели'!$D$4,D938&lt;&gt;"",G938&lt;&gt;"Отменён"),COUNTIFS($B$5:B938,"&gt;="&amp;'План недели'!$B$4,$B$5:B938,"&lt;"&amp;'План недели'!$D$4,$D$5:D938,"&lt;&gt;",$G$5:G938,"&lt;&gt;Отменён"),"")</f>
        <v/>
      </c>
    </row>
    <row r="939" spans="1:11">
      <c r="A939" t="str">
        <f>IF(B939="","","VIS_"&amp;(YEAR(B939)*10000+MONTH(B939)*100+DAY(B939))&amp;"_"&amp;IF(COUNTIF($B$5:B939,B939)&lt;10,"00"&amp;COUNTIF($B$5:B939,B939),IF(COUNTIF($B$5:B939,B939)&lt;100,"0"&amp;COUNTIF($B$5:B939,B939),COUNTIF($B$5:B939,B939))))</f>
        <v>VIS_20280531_001</v>
      </c>
      <c r="B939" s="40">
        <v>46904</v>
      </c>
      <c r="C939" s="47" t="str">
        <f t="shared" si="28"/>
        <v>Ср</v>
      </c>
      <c r="I939" s="46"/>
      <c r="J939" s="39">
        <f t="shared" si="29"/>
        <v>46904</v>
      </c>
      <c r="K939" t="str">
        <f ca="1">IF(AND(B939&gt;='План недели'!$B$4,B939&lt;'План недели'!$D$4,D939&lt;&gt;"",G939&lt;&gt;"Отменён"),COUNTIFS($B$5:B939,"&gt;="&amp;'План недели'!$B$4,$B$5:B939,"&lt;"&amp;'План недели'!$D$4,$D$5:D939,"&lt;&gt;",$G$5:G939,"&lt;&gt;Отменён"),"")</f>
        <v/>
      </c>
    </row>
    <row r="940" spans="1:11">
      <c r="A940" t="str">
        <f>IF(B940="","","VIS_"&amp;(YEAR(B940)*10000+MONTH(B940)*100+DAY(B940))&amp;"_"&amp;IF(COUNTIF($B$5:B940,B940)&lt;10,"00"&amp;COUNTIF($B$5:B940,B940),IF(COUNTIF($B$5:B940,B940)&lt;100,"0"&amp;COUNTIF($B$5:B940,B940),COUNTIF($B$5:B940,B940))))</f>
        <v>VIS_20280601_001</v>
      </c>
      <c r="B940" s="40">
        <v>46905</v>
      </c>
      <c r="C940" s="47" t="str">
        <f t="shared" si="28"/>
        <v>Чт</v>
      </c>
      <c r="I940" s="46"/>
      <c r="J940" s="39">
        <f t="shared" si="29"/>
        <v>46904</v>
      </c>
      <c r="K940" t="str">
        <f ca="1">IF(AND(B940&gt;='План недели'!$B$4,B940&lt;'План недели'!$D$4,D940&lt;&gt;"",G940&lt;&gt;"Отменён"),COUNTIFS($B$5:B940,"&gt;="&amp;'План недели'!$B$4,$B$5:B940,"&lt;"&amp;'План недели'!$D$4,$D$5:D940,"&lt;&gt;",$G$5:G940,"&lt;&gt;Отменён"),"")</f>
        <v/>
      </c>
    </row>
    <row r="941" spans="1:11">
      <c r="A941" t="str">
        <f>IF(B941="","","VIS_"&amp;(YEAR(B941)*10000+MONTH(B941)*100+DAY(B941))&amp;"_"&amp;IF(COUNTIF($B$5:B941,B941)&lt;10,"00"&amp;COUNTIF($B$5:B941,B941),IF(COUNTIF($B$5:B941,B941)&lt;100,"0"&amp;COUNTIF($B$5:B941,B941),COUNTIF($B$5:B941,B941))))</f>
        <v>VIS_20280602_001</v>
      </c>
      <c r="B941" s="40">
        <v>46906</v>
      </c>
      <c r="C941" s="47" t="str">
        <f t="shared" si="28"/>
        <v>Пт</v>
      </c>
      <c r="I941" s="46"/>
      <c r="J941" s="39">
        <f t="shared" si="29"/>
        <v>46904</v>
      </c>
      <c r="K941" t="str">
        <f ca="1">IF(AND(B941&gt;='План недели'!$B$4,B941&lt;'План недели'!$D$4,D941&lt;&gt;"",G941&lt;&gt;"Отменён"),COUNTIFS($B$5:B941,"&gt;="&amp;'План недели'!$B$4,$B$5:B941,"&lt;"&amp;'План недели'!$D$4,$D$5:D941,"&lt;&gt;",$G$5:G941,"&lt;&gt;Отменён"),"")</f>
        <v/>
      </c>
    </row>
    <row r="942" spans="1:11">
      <c r="A942" t="str">
        <f>IF(B942="","","VIS_"&amp;(YEAR(B942)*10000+MONTH(B942)*100+DAY(B942))&amp;"_"&amp;IF(COUNTIF($B$5:B942,B942)&lt;10,"00"&amp;COUNTIF($B$5:B942,B942),IF(COUNTIF($B$5:B942,B942)&lt;100,"0"&amp;COUNTIF($B$5:B942,B942),COUNTIF($B$5:B942,B942))))</f>
        <v>VIS_20280603_001</v>
      </c>
      <c r="B942" s="42">
        <v>46907</v>
      </c>
      <c r="C942" s="49" t="str">
        <f t="shared" si="28"/>
        <v>Сб</v>
      </c>
      <c r="I942" s="46"/>
      <c r="J942" s="39">
        <f t="shared" si="29"/>
        <v>46904</v>
      </c>
      <c r="K942" t="str">
        <f ca="1">IF(AND(B942&gt;='План недели'!$B$4,B942&lt;'План недели'!$D$4,D942&lt;&gt;"",G942&lt;&gt;"Отменён"),COUNTIFS($B$5:B942,"&gt;="&amp;'План недели'!$B$4,$B$5:B942,"&lt;"&amp;'План недели'!$D$4,$D$5:D942,"&lt;&gt;",$G$5:G942,"&lt;&gt;Отменён"),"")</f>
        <v/>
      </c>
    </row>
    <row r="943" spans="1:11">
      <c r="A943" t="str">
        <f>IF(B943="","","VIS_"&amp;(YEAR(B943)*10000+MONTH(B943)*100+DAY(B943))&amp;"_"&amp;IF(COUNTIF($B$5:B943,B943)&lt;10,"00"&amp;COUNTIF($B$5:B943,B943),IF(COUNTIF($B$5:B943,B943)&lt;100,"0"&amp;COUNTIF($B$5:B943,B943),COUNTIF($B$5:B943,B943))))</f>
        <v>VIS_20280604_001</v>
      </c>
      <c r="B943" s="42">
        <v>46908</v>
      </c>
      <c r="C943" s="49" t="str">
        <f t="shared" si="28"/>
        <v>Вс</v>
      </c>
      <c r="I943" s="46"/>
      <c r="J943" s="39">
        <f t="shared" si="29"/>
        <v>46904</v>
      </c>
      <c r="K943" t="str">
        <f ca="1">IF(AND(B943&gt;='План недели'!$B$4,B943&lt;'План недели'!$D$4,D943&lt;&gt;"",G943&lt;&gt;"Отменён"),COUNTIFS($B$5:B943,"&gt;="&amp;'План недели'!$B$4,$B$5:B943,"&lt;"&amp;'План недели'!$D$4,$D$5:D943,"&lt;&gt;",$G$5:G943,"&lt;&gt;Отменён"),"")</f>
        <v/>
      </c>
    </row>
    <row r="944" spans="1:11">
      <c r="A944" t="str">
        <f>IF(B944="","","VIS_"&amp;(YEAR(B944)*10000+MONTH(B944)*100+DAY(B944))&amp;"_"&amp;IF(COUNTIF($B$5:B944,B944)&lt;10,"00"&amp;COUNTIF($B$5:B944,B944),IF(COUNTIF($B$5:B944,B944)&lt;100,"0"&amp;COUNTIF($B$5:B944,B944),COUNTIF($B$5:B944,B944))))</f>
        <v>VIS_20280605_001</v>
      </c>
      <c r="B944" s="40">
        <v>46909</v>
      </c>
      <c r="C944" s="47" t="str">
        <f t="shared" si="28"/>
        <v>Пн</v>
      </c>
      <c r="I944" s="46"/>
      <c r="J944" s="39">
        <f t="shared" si="29"/>
        <v>46904</v>
      </c>
      <c r="K944" t="str">
        <f ca="1">IF(AND(B944&gt;='План недели'!$B$4,B944&lt;'План недели'!$D$4,D944&lt;&gt;"",G944&lt;&gt;"Отменён"),COUNTIFS($B$5:B944,"&gt;="&amp;'План недели'!$B$4,$B$5:B944,"&lt;"&amp;'План недели'!$D$4,$D$5:D944,"&lt;&gt;",$G$5:G944,"&lt;&gt;Отменён"),"")</f>
        <v/>
      </c>
    </row>
    <row r="945" spans="1:11">
      <c r="A945" t="str">
        <f>IF(B945="","","VIS_"&amp;(YEAR(B945)*10000+MONTH(B945)*100+DAY(B945))&amp;"_"&amp;IF(COUNTIF($B$5:B945,B945)&lt;10,"00"&amp;COUNTIF($B$5:B945,B945),IF(COUNTIF($B$5:B945,B945)&lt;100,"0"&amp;COUNTIF($B$5:B945,B945),COUNTIF($B$5:B945,B945))))</f>
        <v>VIS_20280606_001</v>
      </c>
      <c r="B945" s="40">
        <v>46910</v>
      </c>
      <c r="C945" s="47" t="str">
        <f t="shared" si="28"/>
        <v>Вт</v>
      </c>
      <c r="I945" s="46"/>
      <c r="J945" s="39">
        <f t="shared" si="29"/>
        <v>46904</v>
      </c>
      <c r="K945" t="str">
        <f ca="1">IF(AND(B945&gt;='План недели'!$B$4,B945&lt;'План недели'!$D$4,D945&lt;&gt;"",G945&lt;&gt;"Отменён"),COUNTIFS($B$5:B945,"&gt;="&amp;'План недели'!$B$4,$B$5:B945,"&lt;"&amp;'План недели'!$D$4,$D$5:D945,"&lt;&gt;",$G$5:G945,"&lt;&gt;Отменён"),"")</f>
        <v/>
      </c>
    </row>
    <row r="946" spans="1:11">
      <c r="A946" t="str">
        <f>IF(B946="","","VIS_"&amp;(YEAR(B946)*10000+MONTH(B946)*100+DAY(B946))&amp;"_"&amp;IF(COUNTIF($B$5:B946,B946)&lt;10,"00"&amp;COUNTIF($B$5:B946,B946),IF(COUNTIF($B$5:B946,B946)&lt;100,"0"&amp;COUNTIF($B$5:B946,B946),COUNTIF($B$5:B946,B946))))</f>
        <v>VIS_20280607_001</v>
      </c>
      <c r="B946" s="40">
        <v>46911</v>
      </c>
      <c r="C946" s="47" t="str">
        <f t="shared" si="28"/>
        <v>Ср</v>
      </c>
      <c r="I946" s="46"/>
      <c r="J946" s="39">
        <f t="shared" si="29"/>
        <v>46911</v>
      </c>
      <c r="K946" t="str">
        <f ca="1">IF(AND(B946&gt;='План недели'!$B$4,B946&lt;'План недели'!$D$4,D946&lt;&gt;"",G946&lt;&gt;"Отменён"),COUNTIFS($B$5:B946,"&gt;="&amp;'План недели'!$B$4,$B$5:B946,"&lt;"&amp;'План недели'!$D$4,$D$5:D946,"&lt;&gt;",$G$5:G946,"&lt;&gt;Отменён"),"")</f>
        <v/>
      </c>
    </row>
    <row r="947" spans="1:11">
      <c r="A947" t="str">
        <f>IF(B947="","","VIS_"&amp;(YEAR(B947)*10000+MONTH(B947)*100+DAY(B947))&amp;"_"&amp;IF(COUNTIF($B$5:B947,B947)&lt;10,"00"&amp;COUNTIF($B$5:B947,B947),IF(COUNTIF($B$5:B947,B947)&lt;100,"0"&amp;COUNTIF($B$5:B947,B947),COUNTIF($B$5:B947,B947))))</f>
        <v>VIS_20280608_001</v>
      </c>
      <c r="B947" s="40">
        <v>46912</v>
      </c>
      <c r="C947" s="47" t="str">
        <f t="shared" si="28"/>
        <v>Чт</v>
      </c>
      <c r="I947" s="46"/>
      <c r="J947" s="39">
        <f t="shared" si="29"/>
        <v>46911</v>
      </c>
      <c r="K947" t="str">
        <f ca="1">IF(AND(B947&gt;='План недели'!$B$4,B947&lt;'План недели'!$D$4,D947&lt;&gt;"",G947&lt;&gt;"Отменён"),COUNTIFS($B$5:B947,"&gt;="&amp;'План недели'!$B$4,$B$5:B947,"&lt;"&amp;'План недели'!$D$4,$D$5:D947,"&lt;&gt;",$G$5:G947,"&lt;&gt;Отменён"),"")</f>
        <v/>
      </c>
    </row>
    <row r="948" spans="1:11">
      <c r="A948" t="str">
        <f>IF(B948="","","VIS_"&amp;(YEAR(B948)*10000+MONTH(B948)*100+DAY(B948))&amp;"_"&amp;IF(COUNTIF($B$5:B948,B948)&lt;10,"00"&amp;COUNTIF($B$5:B948,B948),IF(COUNTIF($B$5:B948,B948)&lt;100,"0"&amp;COUNTIF($B$5:B948,B948),COUNTIF($B$5:B948,B948))))</f>
        <v>VIS_20280609_001</v>
      </c>
      <c r="B948" s="40">
        <v>46913</v>
      </c>
      <c r="C948" s="47" t="str">
        <f t="shared" si="28"/>
        <v>Пт</v>
      </c>
      <c r="I948" s="46"/>
      <c r="J948" s="39">
        <f t="shared" si="29"/>
        <v>46911</v>
      </c>
      <c r="K948" t="str">
        <f ca="1">IF(AND(B948&gt;='План недели'!$B$4,B948&lt;'План недели'!$D$4,D948&lt;&gt;"",G948&lt;&gt;"Отменён"),COUNTIFS($B$5:B948,"&gt;="&amp;'План недели'!$B$4,$B$5:B948,"&lt;"&amp;'План недели'!$D$4,$D$5:D948,"&lt;&gt;",$G$5:G948,"&lt;&gt;Отменён"),"")</f>
        <v/>
      </c>
    </row>
    <row r="949" spans="1:11">
      <c r="A949" t="str">
        <f>IF(B949="","","VIS_"&amp;(YEAR(B949)*10000+MONTH(B949)*100+DAY(B949))&amp;"_"&amp;IF(COUNTIF($B$5:B949,B949)&lt;10,"00"&amp;COUNTIF($B$5:B949,B949),IF(COUNTIF($B$5:B949,B949)&lt;100,"0"&amp;COUNTIF($B$5:B949,B949),COUNTIF($B$5:B949,B949))))</f>
        <v>VIS_20280610_001</v>
      </c>
      <c r="B949" s="42">
        <v>46914</v>
      </c>
      <c r="C949" s="49" t="str">
        <f t="shared" si="28"/>
        <v>Сб</v>
      </c>
      <c r="I949" s="46"/>
      <c r="J949" s="39">
        <f t="shared" si="29"/>
        <v>46911</v>
      </c>
      <c r="K949" t="str">
        <f ca="1">IF(AND(B949&gt;='План недели'!$B$4,B949&lt;'План недели'!$D$4,D949&lt;&gt;"",G949&lt;&gt;"Отменён"),COUNTIFS($B$5:B949,"&gt;="&amp;'План недели'!$B$4,$B$5:B949,"&lt;"&amp;'План недели'!$D$4,$D$5:D949,"&lt;&gt;",$G$5:G949,"&lt;&gt;Отменён"),"")</f>
        <v/>
      </c>
    </row>
    <row r="950" spans="1:11">
      <c r="A950" t="str">
        <f>IF(B950="","","VIS_"&amp;(YEAR(B950)*10000+MONTH(B950)*100+DAY(B950))&amp;"_"&amp;IF(COUNTIF($B$5:B950,B950)&lt;10,"00"&amp;COUNTIF($B$5:B950,B950),IF(COUNTIF($B$5:B950,B950)&lt;100,"0"&amp;COUNTIF($B$5:B950,B950),COUNTIF($B$5:B950,B950))))</f>
        <v>VIS_20280611_001</v>
      </c>
      <c r="B950" s="42">
        <v>46915</v>
      </c>
      <c r="C950" s="49" t="str">
        <f t="shared" si="28"/>
        <v>Вс</v>
      </c>
      <c r="I950" s="46"/>
      <c r="J950" s="39">
        <f t="shared" si="29"/>
        <v>46911</v>
      </c>
      <c r="K950" t="str">
        <f ca="1">IF(AND(B950&gt;='План недели'!$B$4,B950&lt;'План недели'!$D$4,D950&lt;&gt;"",G950&lt;&gt;"Отменён"),COUNTIFS($B$5:B950,"&gt;="&amp;'План недели'!$B$4,$B$5:B950,"&lt;"&amp;'План недели'!$D$4,$D$5:D950,"&lt;&gt;",$G$5:G950,"&lt;&gt;Отменён"),"")</f>
        <v/>
      </c>
    </row>
    <row r="951" spans="1:11">
      <c r="A951" t="str">
        <f>IF(B951="","","VIS_"&amp;(YEAR(B951)*10000+MONTH(B951)*100+DAY(B951))&amp;"_"&amp;IF(COUNTIF($B$5:B951,B951)&lt;10,"00"&amp;COUNTIF($B$5:B951,B951),IF(COUNTIF($B$5:B951,B951)&lt;100,"0"&amp;COUNTIF($B$5:B951,B951),COUNTIF($B$5:B951,B951))))</f>
        <v>VIS_20280612_001</v>
      </c>
      <c r="B951" s="40">
        <v>46916</v>
      </c>
      <c r="C951" s="47" t="str">
        <f t="shared" si="28"/>
        <v>Пн</v>
      </c>
      <c r="I951" s="46"/>
      <c r="J951" s="39">
        <f t="shared" si="29"/>
        <v>46911</v>
      </c>
      <c r="K951" t="str">
        <f ca="1">IF(AND(B951&gt;='План недели'!$B$4,B951&lt;'План недели'!$D$4,D951&lt;&gt;"",G951&lt;&gt;"Отменён"),COUNTIFS($B$5:B951,"&gt;="&amp;'План недели'!$B$4,$B$5:B951,"&lt;"&amp;'План недели'!$D$4,$D$5:D951,"&lt;&gt;",$G$5:G951,"&lt;&gt;Отменён"),"")</f>
        <v/>
      </c>
    </row>
    <row r="952" spans="1:11">
      <c r="A952" t="str">
        <f>IF(B952="","","VIS_"&amp;(YEAR(B952)*10000+MONTH(B952)*100+DAY(B952))&amp;"_"&amp;IF(COUNTIF($B$5:B952,B952)&lt;10,"00"&amp;COUNTIF($B$5:B952,B952),IF(COUNTIF($B$5:B952,B952)&lt;100,"0"&amp;COUNTIF($B$5:B952,B952),COUNTIF($B$5:B952,B952))))</f>
        <v>VIS_20280613_001</v>
      </c>
      <c r="B952" s="40">
        <v>46917</v>
      </c>
      <c r="C952" s="47" t="str">
        <f t="shared" si="28"/>
        <v>Вт</v>
      </c>
      <c r="I952" s="46"/>
      <c r="J952" s="39">
        <f t="shared" si="29"/>
        <v>46911</v>
      </c>
      <c r="K952" t="str">
        <f ca="1">IF(AND(B952&gt;='План недели'!$B$4,B952&lt;'План недели'!$D$4,D952&lt;&gt;"",G952&lt;&gt;"Отменён"),COUNTIFS($B$5:B952,"&gt;="&amp;'План недели'!$B$4,$B$5:B952,"&lt;"&amp;'План недели'!$D$4,$D$5:D952,"&lt;&gt;",$G$5:G952,"&lt;&gt;Отменён"),"")</f>
        <v/>
      </c>
    </row>
    <row r="953" spans="1:11">
      <c r="A953" t="str">
        <f>IF(B953="","","VIS_"&amp;(YEAR(B953)*10000+MONTH(B953)*100+DAY(B953))&amp;"_"&amp;IF(COUNTIF($B$5:B953,B953)&lt;10,"00"&amp;COUNTIF($B$5:B953,B953),IF(COUNTIF($B$5:B953,B953)&lt;100,"0"&amp;COUNTIF($B$5:B953,B953),COUNTIF($B$5:B953,B953))))</f>
        <v>VIS_20280614_001</v>
      </c>
      <c r="B953" s="40">
        <v>46918</v>
      </c>
      <c r="C953" s="47" t="str">
        <f t="shared" si="28"/>
        <v>Ср</v>
      </c>
      <c r="I953" s="46"/>
      <c r="J953" s="39">
        <f t="shared" si="29"/>
        <v>46918</v>
      </c>
      <c r="K953" t="str">
        <f ca="1">IF(AND(B953&gt;='План недели'!$B$4,B953&lt;'План недели'!$D$4,D953&lt;&gt;"",G953&lt;&gt;"Отменён"),COUNTIFS($B$5:B953,"&gt;="&amp;'План недели'!$B$4,$B$5:B953,"&lt;"&amp;'План недели'!$D$4,$D$5:D953,"&lt;&gt;",$G$5:G953,"&lt;&gt;Отменён"),"")</f>
        <v/>
      </c>
    </row>
    <row r="954" spans="1:11">
      <c r="A954" t="str">
        <f>IF(B954="","","VIS_"&amp;(YEAR(B954)*10000+MONTH(B954)*100+DAY(B954))&amp;"_"&amp;IF(COUNTIF($B$5:B954,B954)&lt;10,"00"&amp;COUNTIF($B$5:B954,B954),IF(COUNTIF($B$5:B954,B954)&lt;100,"0"&amp;COUNTIF($B$5:B954,B954),COUNTIF($B$5:B954,B954))))</f>
        <v>VIS_20280615_001</v>
      </c>
      <c r="B954" s="40">
        <v>46919</v>
      </c>
      <c r="C954" s="47" t="str">
        <f t="shared" si="28"/>
        <v>Чт</v>
      </c>
      <c r="I954" s="46"/>
      <c r="J954" s="39">
        <f t="shared" si="29"/>
        <v>46918</v>
      </c>
      <c r="K954" t="str">
        <f ca="1">IF(AND(B954&gt;='План недели'!$B$4,B954&lt;'План недели'!$D$4,D954&lt;&gt;"",G954&lt;&gt;"Отменён"),COUNTIFS($B$5:B954,"&gt;="&amp;'План недели'!$B$4,$B$5:B954,"&lt;"&amp;'План недели'!$D$4,$D$5:D954,"&lt;&gt;",$G$5:G954,"&lt;&gt;Отменён"),"")</f>
        <v/>
      </c>
    </row>
    <row r="955" spans="1:11">
      <c r="A955" t="str">
        <f>IF(B955="","","VIS_"&amp;(YEAR(B955)*10000+MONTH(B955)*100+DAY(B955))&amp;"_"&amp;IF(COUNTIF($B$5:B955,B955)&lt;10,"00"&amp;COUNTIF($B$5:B955,B955),IF(COUNTIF($B$5:B955,B955)&lt;100,"0"&amp;COUNTIF($B$5:B955,B955),COUNTIF($B$5:B955,B955))))</f>
        <v>VIS_20280616_001</v>
      </c>
      <c r="B955" s="40">
        <v>46920</v>
      </c>
      <c r="C955" s="47" t="str">
        <f t="shared" si="28"/>
        <v>Пт</v>
      </c>
      <c r="I955" s="46"/>
      <c r="J955" s="39">
        <f t="shared" si="29"/>
        <v>46918</v>
      </c>
      <c r="K955" t="str">
        <f ca="1">IF(AND(B955&gt;='План недели'!$B$4,B955&lt;'План недели'!$D$4,D955&lt;&gt;"",G955&lt;&gt;"Отменён"),COUNTIFS($B$5:B955,"&gt;="&amp;'План недели'!$B$4,$B$5:B955,"&lt;"&amp;'План недели'!$D$4,$D$5:D955,"&lt;&gt;",$G$5:G955,"&lt;&gt;Отменён"),"")</f>
        <v/>
      </c>
    </row>
    <row r="956" spans="1:11">
      <c r="A956" t="str">
        <f>IF(B956="","","VIS_"&amp;(YEAR(B956)*10000+MONTH(B956)*100+DAY(B956))&amp;"_"&amp;IF(COUNTIF($B$5:B956,B956)&lt;10,"00"&amp;COUNTIF($B$5:B956,B956),IF(COUNTIF($B$5:B956,B956)&lt;100,"0"&amp;COUNTIF($B$5:B956,B956),COUNTIF($B$5:B956,B956))))</f>
        <v>VIS_20280617_001</v>
      </c>
      <c r="B956" s="42">
        <v>46921</v>
      </c>
      <c r="C956" s="49" t="str">
        <f t="shared" si="28"/>
        <v>Сб</v>
      </c>
      <c r="I956" s="46"/>
      <c r="J956" s="39">
        <f t="shared" si="29"/>
        <v>46918</v>
      </c>
      <c r="K956" t="str">
        <f ca="1">IF(AND(B956&gt;='План недели'!$B$4,B956&lt;'План недели'!$D$4,D956&lt;&gt;"",G956&lt;&gt;"Отменён"),COUNTIFS($B$5:B956,"&gt;="&amp;'План недели'!$B$4,$B$5:B956,"&lt;"&amp;'План недели'!$D$4,$D$5:D956,"&lt;&gt;",$G$5:G956,"&lt;&gt;Отменён"),"")</f>
        <v/>
      </c>
    </row>
    <row r="957" spans="1:11">
      <c r="A957" t="str">
        <f>IF(B957="","","VIS_"&amp;(YEAR(B957)*10000+MONTH(B957)*100+DAY(B957))&amp;"_"&amp;IF(COUNTIF($B$5:B957,B957)&lt;10,"00"&amp;COUNTIF($B$5:B957,B957),IF(COUNTIF($B$5:B957,B957)&lt;100,"0"&amp;COUNTIF($B$5:B957,B957),COUNTIF($B$5:B957,B957))))</f>
        <v>VIS_20280618_001</v>
      </c>
      <c r="B957" s="42">
        <v>46922</v>
      </c>
      <c r="C957" s="49" t="str">
        <f t="shared" si="28"/>
        <v>Вс</v>
      </c>
      <c r="I957" s="46"/>
      <c r="J957" s="39">
        <f t="shared" si="29"/>
        <v>46918</v>
      </c>
      <c r="K957" t="str">
        <f ca="1">IF(AND(B957&gt;='План недели'!$B$4,B957&lt;'План недели'!$D$4,D957&lt;&gt;"",G957&lt;&gt;"Отменён"),COUNTIFS($B$5:B957,"&gt;="&amp;'План недели'!$B$4,$B$5:B957,"&lt;"&amp;'План недели'!$D$4,$D$5:D957,"&lt;&gt;",$G$5:G957,"&lt;&gt;Отменён"),"")</f>
        <v/>
      </c>
    </row>
    <row r="958" spans="1:11">
      <c r="A958" t="str">
        <f>IF(B958="","","VIS_"&amp;(YEAR(B958)*10000+MONTH(B958)*100+DAY(B958))&amp;"_"&amp;IF(COUNTIF($B$5:B958,B958)&lt;10,"00"&amp;COUNTIF($B$5:B958,B958),IF(COUNTIF($B$5:B958,B958)&lt;100,"0"&amp;COUNTIF($B$5:B958,B958),COUNTIF($B$5:B958,B958))))</f>
        <v>VIS_20280619_001</v>
      </c>
      <c r="B958" s="40">
        <v>46923</v>
      </c>
      <c r="C958" s="47" t="str">
        <f t="shared" si="28"/>
        <v>Пн</v>
      </c>
      <c r="I958" s="46"/>
      <c r="J958" s="39">
        <f t="shared" si="29"/>
        <v>46918</v>
      </c>
      <c r="K958" t="str">
        <f ca="1">IF(AND(B958&gt;='План недели'!$B$4,B958&lt;'План недели'!$D$4,D958&lt;&gt;"",G958&lt;&gt;"Отменён"),COUNTIFS($B$5:B958,"&gt;="&amp;'План недели'!$B$4,$B$5:B958,"&lt;"&amp;'План недели'!$D$4,$D$5:D958,"&lt;&gt;",$G$5:G958,"&lt;&gt;Отменён"),"")</f>
        <v/>
      </c>
    </row>
    <row r="959" spans="1:11">
      <c r="A959" t="str">
        <f>IF(B959="","","VIS_"&amp;(YEAR(B959)*10000+MONTH(B959)*100+DAY(B959))&amp;"_"&amp;IF(COUNTIF($B$5:B959,B959)&lt;10,"00"&amp;COUNTIF($B$5:B959,B959),IF(COUNTIF($B$5:B959,B959)&lt;100,"0"&amp;COUNTIF($B$5:B959,B959),COUNTIF($B$5:B959,B959))))</f>
        <v>VIS_20280620_001</v>
      </c>
      <c r="B959" s="40">
        <v>46924</v>
      </c>
      <c r="C959" s="47" t="str">
        <f t="shared" si="28"/>
        <v>Вт</v>
      </c>
      <c r="I959" s="46"/>
      <c r="J959" s="39">
        <f t="shared" si="29"/>
        <v>46918</v>
      </c>
      <c r="K959" t="str">
        <f ca="1">IF(AND(B959&gt;='План недели'!$B$4,B959&lt;'План недели'!$D$4,D959&lt;&gt;"",G959&lt;&gt;"Отменён"),COUNTIFS($B$5:B959,"&gt;="&amp;'План недели'!$B$4,$B$5:B959,"&lt;"&amp;'План недели'!$D$4,$D$5:D959,"&lt;&gt;",$G$5:G959,"&lt;&gt;Отменён"),"")</f>
        <v/>
      </c>
    </row>
    <row r="960" spans="1:11">
      <c r="A960" t="str">
        <f>IF(B960="","","VIS_"&amp;(YEAR(B960)*10000+MONTH(B960)*100+DAY(B960))&amp;"_"&amp;IF(COUNTIF($B$5:B960,B960)&lt;10,"00"&amp;COUNTIF($B$5:B960,B960),IF(COUNTIF($B$5:B960,B960)&lt;100,"0"&amp;COUNTIF($B$5:B960,B960),COUNTIF($B$5:B960,B960))))</f>
        <v>VIS_20280621_001</v>
      </c>
      <c r="B960" s="40">
        <v>46925</v>
      </c>
      <c r="C960" s="47" t="str">
        <f t="shared" si="28"/>
        <v>Ср</v>
      </c>
      <c r="I960" s="46"/>
      <c r="J960" s="39">
        <f t="shared" si="29"/>
        <v>46925</v>
      </c>
      <c r="K960" t="str">
        <f ca="1">IF(AND(B960&gt;='План недели'!$B$4,B960&lt;'План недели'!$D$4,D960&lt;&gt;"",G960&lt;&gt;"Отменён"),COUNTIFS($B$5:B960,"&gt;="&amp;'План недели'!$B$4,$B$5:B960,"&lt;"&amp;'План недели'!$D$4,$D$5:D960,"&lt;&gt;",$G$5:G960,"&lt;&gt;Отменён"),"")</f>
        <v/>
      </c>
    </row>
    <row r="961" spans="1:11">
      <c r="A961" t="str">
        <f>IF(B961="","","VIS_"&amp;(YEAR(B961)*10000+MONTH(B961)*100+DAY(B961))&amp;"_"&amp;IF(COUNTIF($B$5:B961,B961)&lt;10,"00"&amp;COUNTIF($B$5:B961,B961),IF(COUNTIF($B$5:B961,B961)&lt;100,"0"&amp;COUNTIF($B$5:B961,B961),COUNTIF($B$5:B961,B961))))</f>
        <v>VIS_20280622_001</v>
      </c>
      <c r="B961" s="40">
        <v>46926</v>
      </c>
      <c r="C961" s="47" t="str">
        <f t="shared" si="28"/>
        <v>Чт</v>
      </c>
      <c r="I961" s="46"/>
      <c r="J961" s="39">
        <f t="shared" si="29"/>
        <v>46925</v>
      </c>
      <c r="K961" t="str">
        <f ca="1">IF(AND(B961&gt;='План недели'!$B$4,B961&lt;'План недели'!$D$4,D961&lt;&gt;"",G961&lt;&gt;"Отменён"),COUNTIFS($B$5:B961,"&gt;="&amp;'План недели'!$B$4,$B$5:B961,"&lt;"&amp;'План недели'!$D$4,$D$5:D961,"&lt;&gt;",$G$5:G961,"&lt;&gt;Отменён"),"")</f>
        <v/>
      </c>
    </row>
    <row r="962" spans="1:11">
      <c r="A962" t="str">
        <f>IF(B962="","","VIS_"&amp;(YEAR(B962)*10000+MONTH(B962)*100+DAY(B962))&amp;"_"&amp;IF(COUNTIF($B$5:B962,B962)&lt;10,"00"&amp;COUNTIF($B$5:B962,B962),IF(COUNTIF($B$5:B962,B962)&lt;100,"0"&amp;COUNTIF($B$5:B962,B962),COUNTIF($B$5:B962,B962))))</f>
        <v>VIS_20280623_001</v>
      </c>
      <c r="B962" s="40">
        <v>46927</v>
      </c>
      <c r="C962" s="47" t="str">
        <f t="shared" si="28"/>
        <v>Пт</v>
      </c>
      <c r="I962" s="46"/>
      <c r="J962" s="39">
        <f t="shared" si="29"/>
        <v>46925</v>
      </c>
      <c r="K962" t="str">
        <f ca="1">IF(AND(B962&gt;='План недели'!$B$4,B962&lt;'План недели'!$D$4,D962&lt;&gt;"",G962&lt;&gt;"Отменён"),COUNTIFS($B$5:B962,"&gt;="&amp;'План недели'!$B$4,$B$5:B962,"&lt;"&amp;'План недели'!$D$4,$D$5:D962,"&lt;&gt;",$G$5:G962,"&lt;&gt;Отменён"),"")</f>
        <v/>
      </c>
    </row>
    <row r="963" spans="1:11">
      <c r="A963" t="str">
        <f>IF(B963="","","VIS_"&amp;(YEAR(B963)*10000+MONTH(B963)*100+DAY(B963))&amp;"_"&amp;IF(COUNTIF($B$5:B963,B963)&lt;10,"00"&amp;COUNTIF($B$5:B963,B963),IF(COUNTIF($B$5:B963,B963)&lt;100,"0"&amp;COUNTIF($B$5:B963,B963),COUNTIF($B$5:B963,B963))))</f>
        <v>VIS_20280624_001</v>
      </c>
      <c r="B963" s="42">
        <v>46928</v>
      </c>
      <c r="C963" s="49" t="str">
        <f t="shared" si="28"/>
        <v>Сб</v>
      </c>
      <c r="I963" s="46"/>
      <c r="J963" s="39">
        <f t="shared" si="29"/>
        <v>46925</v>
      </c>
      <c r="K963" t="str">
        <f ca="1">IF(AND(B963&gt;='План недели'!$B$4,B963&lt;'План недели'!$D$4,D963&lt;&gt;"",G963&lt;&gt;"Отменён"),COUNTIFS($B$5:B963,"&gt;="&amp;'План недели'!$B$4,$B$5:B963,"&lt;"&amp;'План недели'!$D$4,$D$5:D963,"&lt;&gt;",$G$5:G963,"&lt;&gt;Отменён"),"")</f>
        <v/>
      </c>
    </row>
    <row r="964" spans="1:11">
      <c r="A964" t="str">
        <f>IF(B964="","","VIS_"&amp;(YEAR(B964)*10000+MONTH(B964)*100+DAY(B964))&amp;"_"&amp;IF(COUNTIF($B$5:B964,B964)&lt;10,"00"&amp;COUNTIF($B$5:B964,B964),IF(COUNTIF($B$5:B964,B964)&lt;100,"0"&amp;COUNTIF($B$5:B964,B964),COUNTIF($B$5:B964,B964))))</f>
        <v>VIS_20280625_001</v>
      </c>
      <c r="B964" s="42">
        <v>46929</v>
      </c>
      <c r="C964" s="49" t="str">
        <f t="shared" si="28"/>
        <v>Вс</v>
      </c>
      <c r="I964" s="46"/>
      <c r="J964" s="39">
        <f t="shared" si="29"/>
        <v>46925</v>
      </c>
      <c r="K964" t="str">
        <f ca="1">IF(AND(B964&gt;='План недели'!$B$4,B964&lt;'План недели'!$D$4,D964&lt;&gt;"",G964&lt;&gt;"Отменён"),COUNTIFS($B$5:B964,"&gt;="&amp;'План недели'!$B$4,$B$5:B964,"&lt;"&amp;'План недели'!$D$4,$D$5:D964,"&lt;&gt;",$G$5:G964,"&lt;&gt;Отменён"),"")</f>
        <v/>
      </c>
    </row>
    <row r="965" spans="1:11">
      <c r="A965" t="str">
        <f>IF(B965="","","VIS_"&amp;(YEAR(B965)*10000+MONTH(B965)*100+DAY(B965))&amp;"_"&amp;IF(COUNTIF($B$5:B965,B965)&lt;10,"00"&amp;COUNTIF($B$5:B965,B965),IF(COUNTIF($B$5:B965,B965)&lt;100,"0"&amp;COUNTIF($B$5:B965,B965),COUNTIF($B$5:B965,B965))))</f>
        <v>VIS_20280626_001</v>
      </c>
      <c r="B965" s="40">
        <v>46930</v>
      </c>
      <c r="C965" s="47" t="str">
        <f t="shared" ref="C965:C1028" si="30">IF(B965="","",CHOOSE(WEEKDAY(B965,2),"Пн","Вт","Ср","Чт","Пт","Сб","Вс"))</f>
        <v>Пн</v>
      </c>
      <c r="I965" s="46"/>
      <c r="J965" s="39">
        <f t="shared" ref="J965:J1028" si="31">IF(B965="","",B965-MOD(WEEKDAY(B965,2)-3,7))</f>
        <v>46925</v>
      </c>
      <c r="K965" t="str">
        <f ca="1">IF(AND(B965&gt;='План недели'!$B$4,B965&lt;'План недели'!$D$4,D965&lt;&gt;"",G965&lt;&gt;"Отменён"),COUNTIFS($B$5:B965,"&gt;="&amp;'План недели'!$B$4,$B$5:B965,"&lt;"&amp;'План недели'!$D$4,$D$5:D965,"&lt;&gt;",$G$5:G965,"&lt;&gt;Отменён"),"")</f>
        <v/>
      </c>
    </row>
    <row r="966" spans="1:11">
      <c r="A966" t="str">
        <f>IF(B966="","","VIS_"&amp;(YEAR(B966)*10000+MONTH(B966)*100+DAY(B966))&amp;"_"&amp;IF(COUNTIF($B$5:B966,B966)&lt;10,"00"&amp;COUNTIF($B$5:B966,B966),IF(COUNTIF($B$5:B966,B966)&lt;100,"0"&amp;COUNTIF($B$5:B966,B966),COUNTIF($B$5:B966,B966))))</f>
        <v>VIS_20280627_001</v>
      </c>
      <c r="B966" s="40">
        <v>46931</v>
      </c>
      <c r="C966" s="47" t="str">
        <f t="shared" si="30"/>
        <v>Вт</v>
      </c>
      <c r="I966" s="46"/>
      <c r="J966" s="39">
        <f t="shared" si="31"/>
        <v>46925</v>
      </c>
      <c r="K966" t="str">
        <f ca="1">IF(AND(B966&gt;='План недели'!$B$4,B966&lt;'План недели'!$D$4,D966&lt;&gt;"",G966&lt;&gt;"Отменён"),COUNTIFS($B$5:B966,"&gt;="&amp;'План недели'!$B$4,$B$5:B966,"&lt;"&amp;'План недели'!$D$4,$D$5:D966,"&lt;&gt;",$G$5:G966,"&lt;&gt;Отменён"),"")</f>
        <v/>
      </c>
    </row>
    <row r="967" spans="1:11">
      <c r="A967" t="str">
        <f>IF(B967="","","VIS_"&amp;(YEAR(B967)*10000+MONTH(B967)*100+DAY(B967))&amp;"_"&amp;IF(COUNTIF($B$5:B967,B967)&lt;10,"00"&amp;COUNTIF($B$5:B967,B967),IF(COUNTIF($B$5:B967,B967)&lt;100,"0"&amp;COUNTIF($B$5:B967,B967),COUNTIF($B$5:B967,B967))))</f>
        <v>VIS_20280628_001</v>
      </c>
      <c r="B967" s="40">
        <v>46932</v>
      </c>
      <c r="C967" s="47" t="str">
        <f t="shared" si="30"/>
        <v>Ср</v>
      </c>
      <c r="I967" s="46"/>
      <c r="J967" s="39">
        <f t="shared" si="31"/>
        <v>46932</v>
      </c>
      <c r="K967" t="str">
        <f ca="1">IF(AND(B967&gt;='План недели'!$B$4,B967&lt;'План недели'!$D$4,D967&lt;&gt;"",G967&lt;&gt;"Отменён"),COUNTIFS($B$5:B967,"&gt;="&amp;'План недели'!$B$4,$B$5:B967,"&lt;"&amp;'План недели'!$D$4,$D$5:D967,"&lt;&gt;",$G$5:G967,"&lt;&gt;Отменён"),"")</f>
        <v/>
      </c>
    </row>
    <row r="968" spans="1:11">
      <c r="A968" t="str">
        <f>IF(B968="","","VIS_"&amp;(YEAR(B968)*10000+MONTH(B968)*100+DAY(B968))&amp;"_"&amp;IF(COUNTIF($B$5:B968,B968)&lt;10,"00"&amp;COUNTIF($B$5:B968,B968),IF(COUNTIF($B$5:B968,B968)&lt;100,"0"&amp;COUNTIF($B$5:B968,B968),COUNTIF($B$5:B968,B968))))</f>
        <v>VIS_20280629_001</v>
      </c>
      <c r="B968" s="40">
        <v>46933</v>
      </c>
      <c r="C968" s="47" t="str">
        <f t="shared" si="30"/>
        <v>Чт</v>
      </c>
      <c r="I968" s="46"/>
      <c r="J968" s="39">
        <f t="shared" si="31"/>
        <v>46932</v>
      </c>
      <c r="K968" t="str">
        <f ca="1">IF(AND(B968&gt;='План недели'!$B$4,B968&lt;'План недели'!$D$4,D968&lt;&gt;"",G968&lt;&gt;"Отменён"),COUNTIFS($B$5:B968,"&gt;="&amp;'План недели'!$B$4,$B$5:B968,"&lt;"&amp;'План недели'!$D$4,$D$5:D968,"&lt;&gt;",$G$5:G968,"&lt;&gt;Отменён"),"")</f>
        <v/>
      </c>
    </row>
    <row r="969" spans="1:11">
      <c r="A969" t="str">
        <f>IF(B969="","","VIS_"&amp;(YEAR(B969)*10000+MONTH(B969)*100+DAY(B969))&amp;"_"&amp;IF(COUNTIF($B$5:B969,B969)&lt;10,"00"&amp;COUNTIF($B$5:B969,B969),IF(COUNTIF($B$5:B969,B969)&lt;100,"0"&amp;COUNTIF($B$5:B969,B969),COUNTIF($B$5:B969,B969))))</f>
        <v>VIS_20280630_001</v>
      </c>
      <c r="B969" s="40">
        <v>46934</v>
      </c>
      <c r="C969" s="47" t="str">
        <f t="shared" si="30"/>
        <v>Пт</v>
      </c>
      <c r="I969" s="46"/>
      <c r="J969" s="39">
        <f t="shared" si="31"/>
        <v>46932</v>
      </c>
      <c r="K969" t="str">
        <f ca="1">IF(AND(B969&gt;='План недели'!$B$4,B969&lt;'План недели'!$D$4,D969&lt;&gt;"",G969&lt;&gt;"Отменён"),COUNTIFS($B$5:B969,"&gt;="&amp;'План недели'!$B$4,$B$5:B969,"&lt;"&amp;'План недели'!$D$4,$D$5:D969,"&lt;&gt;",$G$5:G969,"&lt;&gt;Отменён"),"")</f>
        <v/>
      </c>
    </row>
    <row r="970" spans="1:11">
      <c r="A970" t="str">
        <f>IF(B970="","","VIS_"&amp;(YEAR(B970)*10000+MONTH(B970)*100+DAY(B970))&amp;"_"&amp;IF(COUNTIF($B$5:B970,B970)&lt;10,"00"&amp;COUNTIF($B$5:B970,B970),IF(COUNTIF($B$5:B970,B970)&lt;100,"0"&amp;COUNTIF($B$5:B970,B970),COUNTIF($B$5:B970,B970))))</f>
        <v>VIS_20280701_001</v>
      </c>
      <c r="B970" s="42">
        <v>46935</v>
      </c>
      <c r="C970" s="49" t="str">
        <f t="shared" si="30"/>
        <v>Сб</v>
      </c>
      <c r="I970" s="46"/>
      <c r="J970" s="39">
        <f t="shared" si="31"/>
        <v>46932</v>
      </c>
      <c r="K970" t="str">
        <f ca="1">IF(AND(B970&gt;='План недели'!$B$4,B970&lt;'План недели'!$D$4,D970&lt;&gt;"",G970&lt;&gt;"Отменён"),COUNTIFS($B$5:B970,"&gt;="&amp;'План недели'!$B$4,$B$5:B970,"&lt;"&amp;'План недели'!$D$4,$D$5:D970,"&lt;&gt;",$G$5:G970,"&lt;&gt;Отменён"),"")</f>
        <v/>
      </c>
    </row>
    <row r="971" spans="1:11">
      <c r="A971" t="str">
        <f>IF(B971="","","VIS_"&amp;(YEAR(B971)*10000+MONTH(B971)*100+DAY(B971))&amp;"_"&amp;IF(COUNTIF($B$5:B971,B971)&lt;10,"00"&amp;COUNTIF($B$5:B971,B971),IF(COUNTIF($B$5:B971,B971)&lt;100,"0"&amp;COUNTIF($B$5:B971,B971),COUNTIF($B$5:B971,B971))))</f>
        <v>VIS_20280702_001</v>
      </c>
      <c r="B971" s="42">
        <v>46936</v>
      </c>
      <c r="C971" s="49" t="str">
        <f t="shared" si="30"/>
        <v>Вс</v>
      </c>
      <c r="I971" s="46"/>
      <c r="J971" s="39">
        <f t="shared" si="31"/>
        <v>46932</v>
      </c>
      <c r="K971" t="str">
        <f ca="1">IF(AND(B971&gt;='План недели'!$B$4,B971&lt;'План недели'!$D$4,D971&lt;&gt;"",G971&lt;&gt;"Отменён"),COUNTIFS($B$5:B971,"&gt;="&amp;'План недели'!$B$4,$B$5:B971,"&lt;"&amp;'План недели'!$D$4,$D$5:D971,"&lt;&gt;",$G$5:G971,"&lt;&gt;Отменён"),"")</f>
        <v/>
      </c>
    </row>
    <row r="972" spans="1:11">
      <c r="A972" t="str">
        <f>IF(B972="","","VIS_"&amp;(YEAR(B972)*10000+MONTH(B972)*100+DAY(B972))&amp;"_"&amp;IF(COUNTIF($B$5:B972,B972)&lt;10,"00"&amp;COUNTIF($B$5:B972,B972),IF(COUNTIF($B$5:B972,B972)&lt;100,"0"&amp;COUNTIF($B$5:B972,B972),COUNTIF($B$5:B972,B972))))</f>
        <v>VIS_20280703_001</v>
      </c>
      <c r="B972" s="40">
        <v>46937</v>
      </c>
      <c r="C972" s="47" t="str">
        <f t="shared" si="30"/>
        <v>Пн</v>
      </c>
      <c r="I972" s="46"/>
      <c r="J972" s="39">
        <f t="shared" si="31"/>
        <v>46932</v>
      </c>
      <c r="K972" t="str">
        <f ca="1">IF(AND(B972&gt;='План недели'!$B$4,B972&lt;'План недели'!$D$4,D972&lt;&gt;"",G972&lt;&gt;"Отменён"),COUNTIFS($B$5:B972,"&gt;="&amp;'План недели'!$B$4,$B$5:B972,"&lt;"&amp;'План недели'!$D$4,$D$5:D972,"&lt;&gt;",$G$5:G972,"&lt;&gt;Отменён"),"")</f>
        <v/>
      </c>
    </row>
    <row r="973" spans="1:11">
      <c r="A973" t="str">
        <f>IF(B973="","","VIS_"&amp;(YEAR(B973)*10000+MONTH(B973)*100+DAY(B973))&amp;"_"&amp;IF(COUNTIF($B$5:B973,B973)&lt;10,"00"&amp;COUNTIF($B$5:B973,B973),IF(COUNTIF($B$5:B973,B973)&lt;100,"0"&amp;COUNTIF($B$5:B973,B973),COUNTIF($B$5:B973,B973))))</f>
        <v>VIS_20280704_001</v>
      </c>
      <c r="B973" s="40">
        <v>46938</v>
      </c>
      <c r="C973" s="47" t="str">
        <f t="shared" si="30"/>
        <v>Вт</v>
      </c>
      <c r="I973" s="46"/>
      <c r="J973" s="39">
        <f t="shared" si="31"/>
        <v>46932</v>
      </c>
      <c r="K973" t="str">
        <f ca="1">IF(AND(B973&gt;='План недели'!$B$4,B973&lt;'План недели'!$D$4,D973&lt;&gt;"",G973&lt;&gt;"Отменён"),COUNTIFS($B$5:B973,"&gt;="&amp;'План недели'!$B$4,$B$5:B973,"&lt;"&amp;'План недели'!$D$4,$D$5:D973,"&lt;&gt;",$G$5:G973,"&lt;&gt;Отменён"),"")</f>
        <v/>
      </c>
    </row>
    <row r="974" spans="1:11">
      <c r="A974" t="str">
        <f>IF(B974="","","VIS_"&amp;(YEAR(B974)*10000+MONTH(B974)*100+DAY(B974))&amp;"_"&amp;IF(COUNTIF($B$5:B974,B974)&lt;10,"00"&amp;COUNTIF($B$5:B974,B974),IF(COUNTIF($B$5:B974,B974)&lt;100,"0"&amp;COUNTIF($B$5:B974,B974),COUNTIF($B$5:B974,B974))))</f>
        <v>VIS_20280705_001</v>
      </c>
      <c r="B974" s="40">
        <v>46939</v>
      </c>
      <c r="C974" s="47" t="str">
        <f t="shared" si="30"/>
        <v>Ср</v>
      </c>
      <c r="I974" s="46"/>
      <c r="J974" s="39">
        <f t="shared" si="31"/>
        <v>46939</v>
      </c>
      <c r="K974" t="str">
        <f ca="1">IF(AND(B974&gt;='План недели'!$B$4,B974&lt;'План недели'!$D$4,D974&lt;&gt;"",G974&lt;&gt;"Отменён"),COUNTIFS($B$5:B974,"&gt;="&amp;'План недели'!$B$4,$B$5:B974,"&lt;"&amp;'План недели'!$D$4,$D$5:D974,"&lt;&gt;",$G$5:G974,"&lt;&gt;Отменён"),"")</f>
        <v/>
      </c>
    </row>
    <row r="975" spans="1:11">
      <c r="A975" t="str">
        <f>IF(B975="","","VIS_"&amp;(YEAR(B975)*10000+MONTH(B975)*100+DAY(B975))&amp;"_"&amp;IF(COUNTIF($B$5:B975,B975)&lt;10,"00"&amp;COUNTIF($B$5:B975,B975),IF(COUNTIF($B$5:B975,B975)&lt;100,"0"&amp;COUNTIF($B$5:B975,B975),COUNTIF($B$5:B975,B975))))</f>
        <v>VIS_20280706_001</v>
      </c>
      <c r="B975" s="40">
        <v>46940</v>
      </c>
      <c r="C975" s="47" t="str">
        <f t="shared" si="30"/>
        <v>Чт</v>
      </c>
      <c r="I975" s="46"/>
      <c r="J975" s="39">
        <f t="shared" si="31"/>
        <v>46939</v>
      </c>
      <c r="K975" t="str">
        <f ca="1">IF(AND(B975&gt;='План недели'!$B$4,B975&lt;'План недели'!$D$4,D975&lt;&gt;"",G975&lt;&gt;"Отменён"),COUNTIFS($B$5:B975,"&gt;="&amp;'План недели'!$B$4,$B$5:B975,"&lt;"&amp;'План недели'!$D$4,$D$5:D975,"&lt;&gt;",$G$5:G975,"&lt;&gt;Отменён"),"")</f>
        <v/>
      </c>
    </row>
    <row r="976" spans="1:11">
      <c r="A976" t="str">
        <f>IF(B976="","","VIS_"&amp;(YEAR(B976)*10000+MONTH(B976)*100+DAY(B976))&amp;"_"&amp;IF(COUNTIF($B$5:B976,B976)&lt;10,"00"&amp;COUNTIF($B$5:B976,B976),IF(COUNTIF($B$5:B976,B976)&lt;100,"0"&amp;COUNTIF($B$5:B976,B976),COUNTIF($B$5:B976,B976))))</f>
        <v>VIS_20280707_001</v>
      </c>
      <c r="B976" s="40">
        <v>46941</v>
      </c>
      <c r="C976" s="47" t="str">
        <f t="shared" si="30"/>
        <v>Пт</v>
      </c>
      <c r="I976" s="46"/>
      <c r="J976" s="39">
        <f t="shared" si="31"/>
        <v>46939</v>
      </c>
      <c r="K976" t="str">
        <f ca="1">IF(AND(B976&gt;='План недели'!$B$4,B976&lt;'План недели'!$D$4,D976&lt;&gt;"",G976&lt;&gt;"Отменён"),COUNTIFS($B$5:B976,"&gt;="&amp;'План недели'!$B$4,$B$5:B976,"&lt;"&amp;'План недели'!$D$4,$D$5:D976,"&lt;&gt;",$G$5:G976,"&lt;&gt;Отменён"),"")</f>
        <v/>
      </c>
    </row>
    <row r="977" spans="1:11">
      <c r="A977" t="str">
        <f>IF(B977="","","VIS_"&amp;(YEAR(B977)*10000+MONTH(B977)*100+DAY(B977))&amp;"_"&amp;IF(COUNTIF($B$5:B977,B977)&lt;10,"00"&amp;COUNTIF($B$5:B977,B977),IF(COUNTIF($B$5:B977,B977)&lt;100,"0"&amp;COUNTIF($B$5:B977,B977),COUNTIF($B$5:B977,B977))))</f>
        <v>VIS_20280708_001</v>
      </c>
      <c r="B977" s="42">
        <v>46942</v>
      </c>
      <c r="C977" s="49" t="str">
        <f t="shared" si="30"/>
        <v>Сб</v>
      </c>
      <c r="I977" s="46"/>
      <c r="J977" s="39">
        <f t="shared" si="31"/>
        <v>46939</v>
      </c>
      <c r="K977" t="str">
        <f ca="1">IF(AND(B977&gt;='План недели'!$B$4,B977&lt;'План недели'!$D$4,D977&lt;&gt;"",G977&lt;&gt;"Отменён"),COUNTIFS($B$5:B977,"&gt;="&amp;'План недели'!$B$4,$B$5:B977,"&lt;"&amp;'План недели'!$D$4,$D$5:D977,"&lt;&gt;",$G$5:G977,"&lt;&gt;Отменён"),"")</f>
        <v/>
      </c>
    </row>
    <row r="978" spans="1:11">
      <c r="A978" t="str">
        <f>IF(B978="","","VIS_"&amp;(YEAR(B978)*10000+MONTH(B978)*100+DAY(B978))&amp;"_"&amp;IF(COUNTIF($B$5:B978,B978)&lt;10,"00"&amp;COUNTIF($B$5:B978,B978),IF(COUNTIF($B$5:B978,B978)&lt;100,"0"&amp;COUNTIF($B$5:B978,B978),COUNTIF($B$5:B978,B978))))</f>
        <v>VIS_20280709_001</v>
      </c>
      <c r="B978" s="42">
        <v>46943</v>
      </c>
      <c r="C978" s="49" t="str">
        <f t="shared" si="30"/>
        <v>Вс</v>
      </c>
      <c r="I978" s="46"/>
      <c r="J978" s="39">
        <f t="shared" si="31"/>
        <v>46939</v>
      </c>
      <c r="K978" t="str">
        <f ca="1">IF(AND(B978&gt;='План недели'!$B$4,B978&lt;'План недели'!$D$4,D978&lt;&gt;"",G978&lt;&gt;"Отменён"),COUNTIFS($B$5:B978,"&gt;="&amp;'План недели'!$B$4,$B$5:B978,"&lt;"&amp;'План недели'!$D$4,$D$5:D978,"&lt;&gt;",$G$5:G978,"&lt;&gt;Отменён"),"")</f>
        <v/>
      </c>
    </row>
    <row r="979" spans="1:11">
      <c r="A979" t="str">
        <f>IF(B979="","","VIS_"&amp;(YEAR(B979)*10000+MONTH(B979)*100+DAY(B979))&amp;"_"&amp;IF(COUNTIF($B$5:B979,B979)&lt;10,"00"&amp;COUNTIF($B$5:B979,B979),IF(COUNTIF($B$5:B979,B979)&lt;100,"0"&amp;COUNTIF($B$5:B979,B979),COUNTIF($B$5:B979,B979))))</f>
        <v>VIS_20280710_001</v>
      </c>
      <c r="B979" s="40">
        <v>46944</v>
      </c>
      <c r="C979" s="47" t="str">
        <f t="shared" si="30"/>
        <v>Пн</v>
      </c>
      <c r="I979" s="46"/>
      <c r="J979" s="39">
        <f t="shared" si="31"/>
        <v>46939</v>
      </c>
      <c r="K979" t="str">
        <f ca="1">IF(AND(B979&gt;='План недели'!$B$4,B979&lt;'План недели'!$D$4,D979&lt;&gt;"",G979&lt;&gt;"Отменён"),COUNTIFS($B$5:B979,"&gt;="&amp;'План недели'!$B$4,$B$5:B979,"&lt;"&amp;'План недели'!$D$4,$D$5:D979,"&lt;&gt;",$G$5:G979,"&lt;&gt;Отменён"),"")</f>
        <v/>
      </c>
    </row>
    <row r="980" spans="1:11">
      <c r="A980" t="str">
        <f>IF(B980="","","VIS_"&amp;(YEAR(B980)*10000+MONTH(B980)*100+DAY(B980))&amp;"_"&amp;IF(COUNTIF($B$5:B980,B980)&lt;10,"00"&amp;COUNTIF($B$5:B980,B980),IF(COUNTIF($B$5:B980,B980)&lt;100,"0"&amp;COUNTIF($B$5:B980,B980),COUNTIF($B$5:B980,B980))))</f>
        <v>VIS_20280711_001</v>
      </c>
      <c r="B980" s="40">
        <v>46945</v>
      </c>
      <c r="C980" s="47" t="str">
        <f t="shared" si="30"/>
        <v>Вт</v>
      </c>
      <c r="I980" s="46"/>
      <c r="J980" s="39">
        <f t="shared" si="31"/>
        <v>46939</v>
      </c>
      <c r="K980" t="str">
        <f ca="1">IF(AND(B980&gt;='План недели'!$B$4,B980&lt;'План недели'!$D$4,D980&lt;&gt;"",G980&lt;&gt;"Отменён"),COUNTIFS($B$5:B980,"&gt;="&amp;'План недели'!$B$4,$B$5:B980,"&lt;"&amp;'План недели'!$D$4,$D$5:D980,"&lt;&gt;",$G$5:G980,"&lt;&gt;Отменён"),"")</f>
        <v/>
      </c>
    </row>
    <row r="981" spans="1:11">
      <c r="A981" t="str">
        <f>IF(B981="","","VIS_"&amp;(YEAR(B981)*10000+MONTH(B981)*100+DAY(B981))&amp;"_"&amp;IF(COUNTIF($B$5:B981,B981)&lt;10,"00"&amp;COUNTIF($B$5:B981,B981),IF(COUNTIF($B$5:B981,B981)&lt;100,"0"&amp;COUNTIF($B$5:B981,B981),COUNTIF($B$5:B981,B981))))</f>
        <v>VIS_20280712_001</v>
      </c>
      <c r="B981" s="40">
        <v>46946</v>
      </c>
      <c r="C981" s="47" t="str">
        <f t="shared" si="30"/>
        <v>Ср</v>
      </c>
      <c r="I981" s="46"/>
      <c r="J981" s="39">
        <f t="shared" si="31"/>
        <v>46946</v>
      </c>
      <c r="K981" t="str">
        <f ca="1">IF(AND(B981&gt;='План недели'!$B$4,B981&lt;'План недели'!$D$4,D981&lt;&gt;"",G981&lt;&gt;"Отменён"),COUNTIFS($B$5:B981,"&gt;="&amp;'План недели'!$B$4,$B$5:B981,"&lt;"&amp;'План недели'!$D$4,$D$5:D981,"&lt;&gt;",$G$5:G981,"&lt;&gt;Отменён"),"")</f>
        <v/>
      </c>
    </row>
    <row r="982" spans="1:11">
      <c r="A982" t="str">
        <f>IF(B982="","","VIS_"&amp;(YEAR(B982)*10000+MONTH(B982)*100+DAY(B982))&amp;"_"&amp;IF(COUNTIF($B$5:B982,B982)&lt;10,"00"&amp;COUNTIF($B$5:B982,B982),IF(COUNTIF($B$5:B982,B982)&lt;100,"0"&amp;COUNTIF($B$5:B982,B982),COUNTIF($B$5:B982,B982))))</f>
        <v>VIS_20280713_001</v>
      </c>
      <c r="B982" s="40">
        <v>46947</v>
      </c>
      <c r="C982" s="47" t="str">
        <f t="shared" si="30"/>
        <v>Чт</v>
      </c>
      <c r="I982" s="46"/>
      <c r="J982" s="39">
        <f t="shared" si="31"/>
        <v>46946</v>
      </c>
      <c r="K982" t="str">
        <f ca="1">IF(AND(B982&gt;='План недели'!$B$4,B982&lt;'План недели'!$D$4,D982&lt;&gt;"",G982&lt;&gt;"Отменён"),COUNTIFS($B$5:B982,"&gt;="&amp;'План недели'!$B$4,$B$5:B982,"&lt;"&amp;'План недели'!$D$4,$D$5:D982,"&lt;&gt;",$G$5:G982,"&lt;&gt;Отменён"),"")</f>
        <v/>
      </c>
    </row>
    <row r="983" spans="1:11">
      <c r="A983" t="str">
        <f>IF(B983="","","VIS_"&amp;(YEAR(B983)*10000+MONTH(B983)*100+DAY(B983))&amp;"_"&amp;IF(COUNTIF($B$5:B983,B983)&lt;10,"00"&amp;COUNTIF($B$5:B983,B983),IF(COUNTIF($B$5:B983,B983)&lt;100,"0"&amp;COUNTIF($B$5:B983,B983),COUNTIF($B$5:B983,B983))))</f>
        <v>VIS_20280714_001</v>
      </c>
      <c r="B983" s="40">
        <v>46948</v>
      </c>
      <c r="C983" s="47" t="str">
        <f t="shared" si="30"/>
        <v>Пт</v>
      </c>
      <c r="I983" s="46"/>
      <c r="J983" s="39">
        <f t="shared" si="31"/>
        <v>46946</v>
      </c>
      <c r="K983" t="str">
        <f ca="1">IF(AND(B983&gt;='План недели'!$B$4,B983&lt;'План недели'!$D$4,D983&lt;&gt;"",G983&lt;&gt;"Отменён"),COUNTIFS($B$5:B983,"&gt;="&amp;'План недели'!$B$4,$B$5:B983,"&lt;"&amp;'План недели'!$D$4,$D$5:D983,"&lt;&gt;",$G$5:G983,"&lt;&gt;Отменён"),"")</f>
        <v/>
      </c>
    </row>
    <row r="984" spans="1:11">
      <c r="A984" t="str">
        <f>IF(B984="","","VIS_"&amp;(YEAR(B984)*10000+MONTH(B984)*100+DAY(B984))&amp;"_"&amp;IF(COUNTIF($B$5:B984,B984)&lt;10,"00"&amp;COUNTIF($B$5:B984,B984),IF(COUNTIF($B$5:B984,B984)&lt;100,"0"&amp;COUNTIF($B$5:B984,B984),COUNTIF($B$5:B984,B984))))</f>
        <v>VIS_20280715_001</v>
      </c>
      <c r="B984" s="42">
        <v>46949</v>
      </c>
      <c r="C984" s="49" t="str">
        <f t="shared" si="30"/>
        <v>Сб</v>
      </c>
      <c r="I984" s="46"/>
      <c r="J984" s="39">
        <f t="shared" si="31"/>
        <v>46946</v>
      </c>
      <c r="K984" t="str">
        <f ca="1">IF(AND(B984&gt;='План недели'!$B$4,B984&lt;'План недели'!$D$4,D984&lt;&gt;"",G984&lt;&gt;"Отменён"),COUNTIFS($B$5:B984,"&gt;="&amp;'План недели'!$B$4,$B$5:B984,"&lt;"&amp;'План недели'!$D$4,$D$5:D984,"&lt;&gt;",$G$5:G984,"&lt;&gt;Отменён"),"")</f>
        <v/>
      </c>
    </row>
    <row r="985" spans="1:11">
      <c r="A985" t="str">
        <f>IF(B985="","","VIS_"&amp;(YEAR(B985)*10000+MONTH(B985)*100+DAY(B985))&amp;"_"&amp;IF(COUNTIF($B$5:B985,B985)&lt;10,"00"&amp;COUNTIF($B$5:B985,B985),IF(COUNTIF($B$5:B985,B985)&lt;100,"0"&amp;COUNTIF($B$5:B985,B985),COUNTIF($B$5:B985,B985))))</f>
        <v>VIS_20280716_001</v>
      </c>
      <c r="B985" s="42">
        <v>46950</v>
      </c>
      <c r="C985" s="49" t="str">
        <f t="shared" si="30"/>
        <v>Вс</v>
      </c>
      <c r="I985" s="46"/>
      <c r="J985" s="39">
        <f t="shared" si="31"/>
        <v>46946</v>
      </c>
      <c r="K985" t="str">
        <f ca="1">IF(AND(B985&gt;='План недели'!$B$4,B985&lt;'План недели'!$D$4,D985&lt;&gt;"",G985&lt;&gt;"Отменён"),COUNTIFS($B$5:B985,"&gt;="&amp;'План недели'!$B$4,$B$5:B985,"&lt;"&amp;'План недели'!$D$4,$D$5:D985,"&lt;&gt;",$G$5:G985,"&lt;&gt;Отменён"),"")</f>
        <v/>
      </c>
    </row>
    <row r="986" spans="1:11">
      <c r="A986" t="str">
        <f>IF(B986="","","VIS_"&amp;(YEAR(B986)*10000+MONTH(B986)*100+DAY(B986))&amp;"_"&amp;IF(COUNTIF($B$5:B986,B986)&lt;10,"00"&amp;COUNTIF($B$5:B986,B986),IF(COUNTIF($B$5:B986,B986)&lt;100,"0"&amp;COUNTIF($B$5:B986,B986),COUNTIF($B$5:B986,B986))))</f>
        <v>VIS_20280717_001</v>
      </c>
      <c r="B986" s="40">
        <v>46951</v>
      </c>
      <c r="C986" s="47" t="str">
        <f t="shared" si="30"/>
        <v>Пн</v>
      </c>
      <c r="I986" s="46"/>
      <c r="J986" s="39">
        <f t="shared" si="31"/>
        <v>46946</v>
      </c>
      <c r="K986" t="str">
        <f ca="1">IF(AND(B986&gt;='План недели'!$B$4,B986&lt;'План недели'!$D$4,D986&lt;&gt;"",G986&lt;&gt;"Отменён"),COUNTIFS($B$5:B986,"&gt;="&amp;'План недели'!$B$4,$B$5:B986,"&lt;"&amp;'План недели'!$D$4,$D$5:D986,"&lt;&gt;",$G$5:G986,"&lt;&gt;Отменён"),"")</f>
        <v/>
      </c>
    </row>
    <row r="987" spans="1:11">
      <c r="A987" t="str">
        <f>IF(B987="","","VIS_"&amp;(YEAR(B987)*10000+MONTH(B987)*100+DAY(B987))&amp;"_"&amp;IF(COUNTIF($B$5:B987,B987)&lt;10,"00"&amp;COUNTIF($B$5:B987,B987),IF(COUNTIF($B$5:B987,B987)&lt;100,"0"&amp;COUNTIF($B$5:B987,B987),COUNTIF($B$5:B987,B987))))</f>
        <v>VIS_20280718_001</v>
      </c>
      <c r="B987" s="40">
        <v>46952</v>
      </c>
      <c r="C987" s="47" t="str">
        <f t="shared" si="30"/>
        <v>Вт</v>
      </c>
      <c r="I987" s="46"/>
      <c r="J987" s="39">
        <f t="shared" si="31"/>
        <v>46946</v>
      </c>
      <c r="K987" t="str">
        <f ca="1">IF(AND(B987&gt;='План недели'!$B$4,B987&lt;'План недели'!$D$4,D987&lt;&gt;"",G987&lt;&gt;"Отменён"),COUNTIFS($B$5:B987,"&gt;="&amp;'План недели'!$B$4,$B$5:B987,"&lt;"&amp;'План недели'!$D$4,$D$5:D987,"&lt;&gt;",$G$5:G987,"&lt;&gt;Отменён"),"")</f>
        <v/>
      </c>
    </row>
    <row r="988" spans="1:11">
      <c r="A988" t="str">
        <f>IF(B988="","","VIS_"&amp;(YEAR(B988)*10000+MONTH(B988)*100+DAY(B988))&amp;"_"&amp;IF(COUNTIF($B$5:B988,B988)&lt;10,"00"&amp;COUNTIF($B$5:B988,B988),IF(COUNTIF($B$5:B988,B988)&lt;100,"0"&amp;COUNTIF($B$5:B988,B988),COUNTIF($B$5:B988,B988))))</f>
        <v>VIS_20280719_001</v>
      </c>
      <c r="B988" s="40">
        <v>46953</v>
      </c>
      <c r="C988" s="47" t="str">
        <f t="shared" si="30"/>
        <v>Ср</v>
      </c>
      <c r="I988" s="46"/>
      <c r="J988" s="39">
        <f t="shared" si="31"/>
        <v>46953</v>
      </c>
      <c r="K988" t="str">
        <f ca="1">IF(AND(B988&gt;='План недели'!$B$4,B988&lt;'План недели'!$D$4,D988&lt;&gt;"",G988&lt;&gt;"Отменён"),COUNTIFS($B$5:B988,"&gt;="&amp;'План недели'!$B$4,$B$5:B988,"&lt;"&amp;'План недели'!$D$4,$D$5:D988,"&lt;&gt;",$G$5:G988,"&lt;&gt;Отменён"),"")</f>
        <v/>
      </c>
    </row>
    <row r="989" spans="1:11">
      <c r="A989" t="str">
        <f>IF(B989="","","VIS_"&amp;(YEAR(B989)*10000+MONTH(B989)*100+DAY(B989))&amp;"_"&amp;IF(COUNTIF($B$5:B989,B989)&lt;10,"00"&amp;COUNTIF($B$5:B989,B989),IF(COUNTIF($B$5:B989,B989)&lt;100,"0"&amp;COUNTIF($B$5:B989,B989),COUNTIF($B$5:B989,B989))))</f>
        <v>VIS_20280720_001</v>
      </c>
      <c r="B989" s="40">
        <v>46954</v>
      </c>
      <c r="C989" s="47" t="str">
        <f t="shared" si="30"/>
        <v>Чт</v>
      </c>
      <c r="I989" s="46"/>
      <c r="J989" s="39">
        <f t="shared" si="31"/>
        <v>46953</v>
      </c>
      <c r="K989" t="str">
        <f ca="1">IF(AND(B989&gt;='План недели'!$B$4,B989&lt;'План недели'!$D$4,D989&lt;&gt;"",G989&lt;&gt;"Отменён"),COUNTIFS($B$5:B989,"&gt;="&amp;'План недели'!$B$4,$B$5:B989,"&lt;"&amp;'План недели'!$D$4,$D$5:D989,"&lt;&gt;",$G$5:G989,"&lt;&gt;Отменён"),"")</f>
        <v/>
      </c>
    </row>
    <row r="990" spans="1:11">
      <c r="A990" t="str">
        <f>IF(B990="","","VIS_"&amp;(YEAR(B990)*10000+MONTH(B990)*100+DAY(B990))&amp;"_"&amp;IF(COUNTIF($B$5:B990,B990)&lt;10,"00"&amp;COUNTIF($B$5:B990,B990),IF(COUNTIF($B$5:B990,B990)&lt;100,"0"&amp;COUNTIF($B$5:B990,B990),COUNTIF($B$5:B990,B990))))</f>
        <v>VIS_20280721_001</v>
      </c>
      <c r="B990" s="40">
        <v>46955</v>
      </c>
      <c r="C990" s="47" t="str">
        <f t="shared" si="30"/>
        <v>Пт</v>
      </c>
      <c r="I990" s="46"/>
      <c r="J990" s="39">
        <f t="shared" si="31"/>
        <v>46953</v>
      </c>
      <c r="K990" t="str">
        <f ca="1">IF(AND(B990&gt;='План недели'!$B$4,B990&lt;'План недели'!$D$4,D990&lt;&gt;"",G990&lt;&gt;"Отменён"),COUNTIFS($B$5:B990,"&gt;="&amp;'План недели'!$B$4,$B$5:B990,"&lt;"&amp;'План недели'!$D$4,$D$5:D990,"&lt;&gt;",$G$5:G990,"&lt;&gt;Отменён"),"")</f>
        <v/>
      </c>
    </row>
    <row r="991" spans="1:11">
      <c r="A991" t="str">
        <f>IF(B991="","","VIS_"&amp;(YEAR(B991)*10000+MONTH(B991)*100+DAY(B991))&amp;"_"&amp;IF(COUNTIF($B$5:B991,B991)&lt;10,"00"&amp;COUNTIF($B$5:B991,B991),IF(COUNTIF($B$5:B991,B991)&lt;100,"0"&amp;COUNTIF($B$5:B991,B991),COUNTIF($B$5:B991,B991))))</f>
        <v>VIS_20280722_001</v>
      </c>
      <c r="B991" s="42">
        <v>46956</v>
      </c>
      <c r="C991" s="49" t="str">
        <f t="shared" si="30"/>
        <v>Сб</v>
      </c>
      <c r="I991" s="46"/>
      <c r="J991" s="39">
        <f t="shared" si="31"/>
        <v>46953</v>
      </c>
      <c r="K991" t="str">
        <f ca="1">IF(AND(B991&gt;='План недели'!$B$4,B991&lt;'План недели'!$D$4,D991&lt;&gt;"",G991&lt;&gt;"Отменён"),COUNTIFS($B$5:B991,"&gt;="&amp;'План недели'!$B$4,$B$5:B991,"&lt;"&amp;'План недели'!$D$4,$D$5:D991,"&lt;&gt;",$G$5:G991,"&lt;&gt;Отменён"),"")</f>
        <v/>
      </c>
    </row>
    <row r="992" spans="1:11">
      <c r="A992" t="str">
        <f>IF(B992="","","VIS_"&amp;(YEAR(B992)*10000+MONTH(B992)*100+DAY(B992))&amp;"_"&amp;IF(COUNTIF($B$5:B992,B992)&lt;10,"00"&amp;COUNTIF($B$5:B992,B992),IF(COUNTIF($B$5:B992,B992)&lt;100,"0"&amp;COUNTIF($B$5:B992,B992),COUNTIF($B$5:B992,B992))))</f>
        <v>VIS_20280723_001</v>
      </c>
      <c r="B992" s="42">
        <v>46957</v>
      </c>
      <c r="C992" s="49" t="str">
        <f t="shared" si="30"/>
        <v>Вс</v>
      </c>
      <c r="I992" s="46"/>
      <c r="J992" s="39">
        <f t="shared" si="31"/>
        <v>46953</v>
      </c>
      <c r="K992" t="str">
        <f ca="1">IF(AND(B992&gt;='План недели'!$B$4,B992&lt;'План недели'!$D$4,D992&lt;&gt;"",G992&lt;&gt;"Отменён"),COUNTIFS($B$5:B992,"&gt;="&amp;'План недели'!$B$4,$B$5:B992,"&lt;"&amp;'План недели'!$D$4,$D$5:D992,"&lt;&gt;",$G$5:G992,"&lt;&gt;Отменён"),"")</f>
        <v/>
      </c>
    </row>
    <row r="993" spans="1:11">
      <c r="A993" t="str">
        <f>IF(B993="","","VIS_"&amp;(YEAR(B993)*10000+MONTH(B993)*100+DAY(B993))&amp;"_"&amp;IF(COUNTIF($B$5:B993,B993)&lt;10,"00"&amp;COUNTIF($B$5:B993,B993),IF(COUNTIF($B$5:B993,B993)&lt;100,"0"&amp;COUNTIF($B$5:B993,B993),COUNTIF($B$5:B993,B993))))</f>
        <v>VIS_20280724_001</v>
      </c>
      <c r="B993" s="40">
        <v>46958</v>
      </c>
      <c r="C993" s="47" t="str">
        <f t="shared" si="30"/>
        <v>Пн</v>
      </c>
      <c r="I993" s="46"/>
      <c r="J993" s="39">
        <f t="shared" si="31"/>
        <v>46953</v>
      </c>
      <c r="K993" t="str">
        <f ca="1">IF(AND(B993&gt;='План недели'!$B$4,B993&lt;'План недели'!$D$4,D993&lt;&gt;"",G993&lt;&gt;"Отменён"),COUNTIFS($B$5:B993,"&gt;="&amp;'План недели'!$B$4,$B$5:B993,"&lt;"&amp;'План недели'!$D$4,$D$5:D993,"&lt;&gt;",$G$5:G993,"&lt;&gt;Отменён"),"")</f>
        <v/>
      </c>
    </row>
    <row r="994" spans="1:11">
      <c r="A994" t="str">
        <f>IF(B994="","","VIS_"&amp;(YEAR(B994)*10000+MONTH(B994)*100+DAY(B994))&amp;"_"&amp;IF(COUNTIF($B$5:B994,B994)&lt;10,"00"&amp;COUNTIF($B$5:B994,B994),IF(COUNTIF($B$5:B994,B994)&lt;100,"0"&amp;COUNTIF($B$5:B994,B994),COUNTIF($B$5:B994,B994))))</f>
        <v>VIS_20280725_001</v>
      </c>
      <c r="B994" s="40">
        <v>46959</v>
      </c>
      <c r="C994" s="47" t="str">
        <f t="shared" si="30"/>
        <v>Вт</v>
      </c>
      <c r="I994" s="46"/>
      <c r="J994" s="39">
        <f t="shared" si="31"/>
        <v>46953</v>
      </c>
      <c r="K994" t="str">
        <f ca="1">IF(AND(B994&gt;='План недели'!$B$4,B994&lt;'План недели'!$D$4,D994&lt;&gt;"",G994&lt;&gt;"Отменён"),COUNTIFS($B$5:B994,"&gt;="&amp;'План недели'!$B$4,$B$5:B994,"&lt;"&amp;'План недели'!$D$4,$D$5:D994,"&lt;&gt;",$G$5:G994,"&lt;&gt;Отменён"),"")</f>
        <v/>
      </c>
    </row>
    <row r="995" spans="1:11">
      <c r="A995" t="str">
        <f>IF(B995="","","VIS_"&amp;(YEAR(B995)*10000+MONTH(B995)*100+DAY(B995))&amp;"_"&amp;IF(COUNTIF($B$5:B995,B995)&lt;10,"00"&amp;COUNTIF($B$5:B995,B995),IF(COUNTIF($B$5:B995,B995)&lt;100,"0"&amp;COUNTIF($B$5:B995,B995),COUNTIF($B$5:B995,B995))))</f>
        <v>VIS_20280726_001</v>
      </c>
      <c r="B995" s="40">
        <v>46960</v>
      </c>
      <c r="C995" s="47" t="str">
        <f t="shared" si="30"/>
        <v>Ср</v>
      </c>
      <c r="I995" s="46"/>
      <c r="J995" s="39">
        <f t="shared" si="31"/>
        <v>46960</v>
      </c>
      <c r="K995" t="str">
        <f ca="1">IF(AND(B995&gt;='План недели'!$B$4,B995&lt;'План недели'!$D$4,D995&lt;&gt;"",G995&lt;&gt;"Отменён"),COUNTIFS($B$5:B995,"&gt;="&amp;'План недели'!$B$4,$B$5:B995,"&lt;"&amp;'План недели'!$D$4,$D$5:D995,"&lt;&gt;",$G$5:G995,"&lt;&gt;Отменён"),"")</f>
        <v/>
      </c>
    </row>
    <row r="996" spans="1:11">
      <c r="A996" t="str">
        <f>IF(B996="","","VIS_"&amp;(YEAR(B996)*10000+MONTH(B996)*100+DAY(B996))&amp;"_"&amp;IF(COUNTIF($B$5:B996,B996)&lt;10,"00"&amp;COUNTIF($B$5:B996,B996),IF(COUNTIF($B$5:B996,B996)&lt;100,"0"&amp;COUNTIF($B$5:B996,B996),COUNTIF($B$5:B996,B996))))</f>
        <v>VIS_20280727_001</v>
      </c>
      <c r="B996" s="40">
        <v>46961</v>
      </c>
      <c r="C996" s="47" t="str">
        <f t="shared" si="30"/>
        <v>Чт</v>
      </c>
      <c r="I996" s="46"/>
      <c r="J996" s="39">
        <f t="shared" si="31"/>
        <v>46960</v>
      </c>
      <c r="K996" t="str">
        <f ca="1">IF(AND(B996&gt;='План недели'!$B$4,B996&lt;'План недели'!$D$4,D996&lt;&gt;"",G996&lt;&gt;"Отменён"),COUNTIFS($B$5:B996,"&gt;="&amp;'План недели'!$B$4,$B$5:B996,"&lt;"&amp;'План недели'!$D$4,$D$5:D996,"&lt;&gt;",$G$5:G996,"&lt;&gt;Отменён"),"")</f>
        <v/>
      </c>
    </row>
    <row r="997" spans="1:11">
      <c r="A997" t="str">
        <f>IF(B997="","","VIS_"&amp;(YEAR(B997)*10000+MONTH(B997)*100+DAY(B997))&amp;"_"&amp;IF(COUNTIF($B$5:B997,B997)&lt;10,"00"&amp;COUNTIF($B$5:B997,B997),IF(COUNTIF($B$5:B997,B997)&lt;100,"0"&amp;COUNTIF($B$5:B997,B997),COUNTIF($B$5:B997,B997))))</f>
        <v>VIS_20280728_001</v>
      </c>
      <c r="B997" s="40">
        <v>46962</v>
      </c>
      <c r="C997" s="47" t="str">
        <f t="shared" si="30"/>
        <v>Пт</v>
      </c>
      <c r="I997" s="46"/>
      <c r="J997" s="39">
        <f t="shared" si="31"/>
        <v>46960</v>
      </c>
      <c r="K997" t="str">
        <f ca="1">IF(AND(B997&gt;='План недели'!$B$4,B997&lt;'План недели'!$D$4,D997&lt;&gt;"",G997&lt;&gt;"Отменён"),COUNTIFS($B$5:B997,"&gt;="&amp;'План недели'!$B$4,$B$5:B997,"&lt;"&amp;'План недели'!$D$4,$D$5:D997,"&lt;&gt;",$G$5:G997,"&lt;&gt;Отменён"),"")</f>
        <v/>
      </c>
    </row>
    <row r="998" spans="1:11">
      <c r="A998" t="str">
        <f>IF(B998="","","VIS_"&amp;(YEAR(B998)*10000+MONTH(B998)*100+DAY(B998))&amp;"_"&amp;IF(COUNTIF($B$5:B998,B998)&lt;10,"00"&amp;COUNTIF($B$5:B998,B998),IF(COUNTIF($B$5:B998,B998)&lt;100,"0"&amp;COUNTIF($B$5:B998,B998),COUNTIF($B$5:B998,B998))))</f>
        <v>VIS_20280729_001</v>
      </c>
      <c r="B998" s="42">
        <v>46963</v>
      </c>
      <c r="C998" s="49" t="str">
        <f t="shared" si="30"/>
        <v>Сб</v>
      </c>
      <c r="I998" s="46"/>
      <c r="J998" s="39">
        <f t="shared" si="31"/>
        <v>46960</v>
      </c>
      <c r="K998" t="str">
        <f ca="1">IF(AND(B998&gt;='План недели'!$B$4,B998&lt;'План недели'!$D$4,D998&lt;&gt;"",G998&lt;&gt;"Отменён"),COUNTIFS($B$5:B998,"&gt;="&amp;'План недели'!$B$4,$B$5:B998,"&lt;"&amp;'План недели'!$D$4,$D$5:D998,"&lt;&gt;",$G$5:G998,"&lt;&gt;Отменён"),"")</f>
        <v/>
      </c>
    </row>
    <row r="999" spans="1:11">
      <c r="A999" t="str">
        <f>IF(B999="","","VIS_"&amp;(YEAR(B999)*10000+MONTH(B999)*100+DAY(B999))&amp;"_"&amp;IF(COUNTIF($B$5:B999,B999)&lt;10,"00"&amp;COUNTIF($B$5:B999,B999),IF(COUNTIF($B$5:B999,B999)&lt;100,"0"&amp;COUNTIF($B$5:B999,B999),COUNTIF($B$5:B999,B999))))</f>
        <v>VIS_20280730_001</v>
      </c>
      <c r="B999" s="42">
        <v>46964</v>
      </c>
      <c r="C999" s="49" t="str">
        <f t="shared" si="30"/>
        <v>Вс</v>
      </c>
      <c r="I999" s="46"/>
      <c r="J999" s="39">
        <f t="shared" si="31"/>
        <v>46960</v>
      </c>
      <c r="K999" t="str">
        <f ca="1">IF(AND(B999&gt;='План недели'!$B$4,B999&lt;'План недели'!$D$4,D999&lt;&gt;"",G999&lt;&gt;"Отменён"),COUNTIFS($B$5:B999,"&gt;="&amp;'План недели'!$B$4,$B$5:B999,"&lt;"&amp;'План недели'!$D$4,$D$5:D999,"&lt;&gt;",$G$5:G999,"&lt;&gt;Отменён"),"")</f>
        <v/>
      </c>
    </row>
    <row r="1000" spans="1:11">
      <c r="A1000" t="str">
        <f>IF(B1000="","","VIS_"&amp;(YEAR(B1000)*10000+MONTH(B1000)*100+DAY(B1000))&amp;"_"&amp;IF(COUNTIF($B$5:B1000,B1000)&lt;10,"00"&amp;COUNTIF($B$5:B1000,B1000),IF(COUNTIF($B$5:B1000,B1000)&lt;100,"0"&amp;COUNTIF($B$5:B1000,B1000),COUNTIF($B$5:B1000,B1000))))</f>
        <v>VIS_20280731_001</v>
      </c>
      <c r="B1000" s="40">
        <v>46965</v>
      </c>
      <c r="C1000" s="47" t="str">
        <f t="shared" si="30"/>
        <v>Пн</v>
      </c>
      <c r="I1000" s="46"/>
      <c r="J1000" s="39">
        <f t="shared" si="31"/>
        <v>46960</v>
      </c>
      <c r="K1000" t="str">
        <f ca="1">IF(AND(B1000&gt;='План недели'!$B$4,B1000&lt;'План недели'!$D$4,D1000&lt;&gt;"",G1000&lt;&gt;"Отменён"),COUNTIFS($B$5:B1000,"&gt;="&amp;'План недели'!$B$4,$B$5:B1000,"&lt;"&amp;'План недели'!$D$4,$D$5:D1000,"&lt;&gt;",$G$5:G1000,"&lt;&gt;Отменён"),"")</f>
        <v/>
      </c>
    </row>
    <row r="1001" spans="1:11">
      <c r="A1001" t="str">
        <f>IF(B1001="","","VIS_"&amp;(YEAR(B1001)*10000+MONTH(B1001)*100+DAY(B1001))&amp;"_"&amp;IF(COUNTIF($B$5:B1001,B1001)&lt;10,"00"&amp;COUNTIF($B$5:B1001,B1001),IF(COUNTIF($B$5:B1001,B1001)&lt;100,"0"&amp;COUNTIF($B$5:B1001,B1001),COUNTIF($B$5:B1001,B1001))))</f>
        <v>VIS_20280801_001</v>
      </c>
      <c r="B1001" s="40">
        <v>46966</v>
      </c>
      <c r="C1001" s="47" t="str">
        <f t="shared" si="30"/>
        <v>Вт</v>
      </c>
      <c r="I1001" s="46"/>
      <c r="J1001" s="39">
        <f t="shared" si="31"/>
        <v>46960</v>
      </c>
      <c r="K1001" t="str">
        <f ca="1">IF(AND(B1001&gt;='План недели'!$B$4,B1001&lt;'План недели'!$D$4,D1001&lt;&gt;"",G1001&lt;&gt;"Отменён"),COUNTIFS($B$5:B1001,"&gt;="&amp;'План недели'!$B$4,$B$5:B1001,"&lt;"&amp;'План недели'!$D$4,$D$5:D1001,"&lt;&gt;",$G$5:G1001,"&lt;&gt;Отменён"),"")</f>
        <v/>
      </c>
    </row>
    <row r="1002" spans="1:11">
      <c r="A1002" t="str">
        <f>IF(B1002="","","VIS_"&amp;(YEAR(B1002)*10000+MONTH(B1002)*100+DAY(B1002))&amp;"_"&amp;IF(COUNTIF($B$5:B1002,B1002)&lt;10,"00"&amp;COUNTIF($B$5:B1002,B1002),IF(COUNTIF($B$5:B1002,B1002)&lt;100,"0"&amp;COUNTIF($B$5:B1002,B1002),COUNTIF($B$5:B1002,B1002))))</f>
        <v>VIS_20280802_001</v>
      </c>
      <c r="B1002" s="40">
        <v>46967</v>
      </c>
      <c r="C1002" s="47" t="str">
        <f t="shared" si="30"/>
        <v>Ср</v>
      </c>
      <c r="I1002" s="46"/>
      <c r="J1002" s="39">
        <f t="shared" si="31"/>
        <v>46967</v>
      </c>
      <c r="K1002" t="str">
        <f ca="1">IF(AND(B1002&gt;='План недели'!$B$4,B1002&lt;'План недели'!$D$4,D1002&lt;&gt;"",G1002&lt;&gt;"Отменён"),COUNTIFS($B$5:B1002,"&gt;="&amp;'План недели'!$B$4,$B$5:B1002,"&lt;"&amp;'План недели'!$D$4,$D$5:D1002,"&lt;&gt;",$G$5:G1002,"&lt;&gt;Отменён"),"")</f>
        <v/>
      </c>
    </row>
    <row r="1003" spans="1:11">
      <c r="A1003" t="str">
        <f>IF(B1003="","","VIS_"&amp;(YEAR(B1003)*10000+MONTH(B1003)*100+DAY(B1003))&amp;"_"&amp;IF(COUNTIF($B$5:B1003,B1003)&lt;10,"00"&amp;COUNTIF($B$5:B1003,B1003),IF(COUNTIF($B$5:B1003,B1003)&lt;100,"0"&amp;COUNTIF($B$5:B1003,B1003),COUNTIF($B$5:B1003,B1003))))</f>
        <v>VIS_20280803_001</v>
      </c>
      <c r="B1003" s="40">
        <v>46968</v>
      </c>
      <c r="C1003" s="47" t="str">
        <f t="shared" si="30"/>
        <v>Чт</v>
      </c>
      <c r="I1003" s="46"/>
      <c r="J1003" s="39">
        <f t="shared" si="31"/>
        <v>46967</v>
      </c>
      <c r="K1003" t="str">
        <f ca="1">IF(AND(B1003&gt;='План недели'!$B$4,B1003&lt;'План недели'!$D$4,D1003&lt;&gt;"",G1003&lt;&gt;"Отменён"),COUNTIFS($B$5:B1003,"&gt;="&amp;'План недели'!$B$4,$B$5:B1003,"&lt;"&amp;'План недели'!$D$4,$D$5:D1003,"&lt;&gt;",$G$5:G1003,"&lt;&gt;Отменён"),"")</f>
        <v/>
      </c>
    </row>
    <row r="1004" spans="1:11">
      <c r="A1004" t="str">
        <f>IF(B1004="","","VIS_"&amp;(YEAR(B1004)*10000+MONTH(B1004)*100+DAY(B1004))&amp;"_"&amp;IF(COUNTIF($B$5:B1004,B1004)&lt;10,"00"&amp;COUNTIF($B$5:B1004,B1004),IF(COUNTIF($B$5:B1004,B1004)&lt;100,"0"&amp;COUNTIF($B$5:B1004,B1004),COUNTIF($B$5:B1004,B1004))))</f>
        <v>VIS_20280804_001</v>
      </c>
      <c r="B1004" s="40">
        <v>46969</v>
      </c>
      <c r="C1004" s="47" t="str">
        <f t="shared" si="30"/>
        <v>Пт</v>
      </c>
      <c r="I1004" s="46"/>
      <c r="J1004" s="39">
        <f t="shared" si="31"/>
        <v>46967</v>
      </c>
      <c r="K1004" t="str">
        <f ca="1">IF(AND(B1004&gt;='План недели'!$B$4,B1004&lt;'План недели'!$D$4,D1004&lt;&gt;"",G1004&lt;&gt;"Отменён"),COUNTIFS($B$5:B1004,"&gt;="&amp;'План недели'!$B$4,$B$5:B1004,"&lt;"&amp;'План недели'!$D$4,$D$5:D1004,"&lt;&gt;",$G$5:G1004,"&lt;&gt;Отменён"),"")</f>
        <v/>
      </c>
    </row>
    <row r="1005" spans="1:11">
      <c r="A1005" t="str">
        <f>IF(B1005="","","VIS_"&amp;(YEAR(B1005)*10000+MONTH(B1005)*100+DAY(B1005))&amp;"_"&amp;IF(COUNTIF($B$5:B1005,B1005)&lt;10,"00"&amp;COUNTIF($B$5:B1005,B1005),IF(COUNTIF($B$5:B1005,B1005)&lt;100,"0"&amp;COUNTIF($B$5:B1005,B1005),COUNTIF($B$5:B1005,B1005))))</f>
        <v>VIS_20280805_001</v>
      </c>
      <c r="B1005" s="42">
        <v>46970</v>
      </c>
      <c r="C1005" s="49" t="str">
        <f t="shared" si="30"/>
        <v>Сб</v>
      </c>
      <c r="I1005" s="46"/>
      <c r="J1005" s="39">
        <f t="shared" si="31"/>
        <v>46967</v>
      </c>
      <c r="K1005" t="str">
        <f ca="1">IF(AND(B1005&gt;='План недели'!$B$4,B1005&lt;'План недели'!$D$4,D1005&lt;&gt;"",G1005&lt;&gt;"Отменён"),COUNTIFS($B$5:B1005,"&gt;="&amp;'План недели'!$B$4,$B$5:B1005,"&lt;"&amp;'План недели'!$D$4,$D$5:D1005,"&lt;&gt;",$G$5:G1005,"&lt;&gt;Отменён"),"")</f>
        <v/>
      </c>
    </row>
    <row r="1006" spans="1:11">
      <c r="A1006" t="str">
        <f>IF(B1006="","","VIS_"&amp;(YEAR(B1006)*10000+MONTH(B1006)*100+DAY(B1006))&amp;"_"&amp;IF(COUNTIF($B$5:B1006,B1006)&lt;10,"00"&amp;COUNTIF($B$5:B1006,B1006),IF(COUNTIF($B$5:B1006,B1006)&lt;100,"0"&amp;COUNTIF($B$5:B1006,B1006),COUNTIF($B$5:B1006,B1006))))</f>
        <v>VIS_20280806_001</v>
      </c>
      <c r="B1006" s="42">
        <v>46971</v>
      </c>
      <c r="C1006" s="49" t="str">
        <f t="shared" si="30"/>
        <v>Вс</v>
      </c>
      <c r="I1006" s="46"/>
      <c r="J1006" s="39">
        <f t="shared" si="31"/>
        <v>46967</v>
      </c>
      <c r="K1006" t="str">
        <f ca="1">IF(AND(B1006&gt;='План недели'!$B$4,B1006&lt;'План недели'!$D$4,D1006&lt;&gt;"",G1006&lt;&gt;"Отменён"),COUNTIFS($B$5:B1006,"&gt;="&amp;'План недели'!$B$4,$B$5:B1006,"&lt;"&amp;'План недели'!$D$4,$D$5:D1006,"&lt;&gt;",$G$5:G1006,"&lt;&gt;Отменён"),"")</f>
        <v/>
      </c>
    </row>
    <row r="1007" spans="1:11">
      <c r="A1007" t="str">
        <f>IF(B1007="","","VIS_"&amp;(YEAR(B1007)*10000+MONTH(B1007)*100+DAY(B1007))&amp;"_"&amp;IF(COUNTIF($B$5:B1007,B1007)&lt;10,"00"&amp;COUNTIF($B$5:B1007,B1007),IF(COUNTIF($B$5:B1007,B1007)&lt;100,"0"&amp;COUNTIF($B$5:B1007,B1007),COUNTIF($B$5:B1007,B1007))))</f>
        <v>VIS_20280807_001</v>
      </c>
      <c r="B1007" s="40">
        <v>46972</v>
      </c>
      <c r="C1007" s="47" t="str">
        <f t="shared" si="30"/>
        <v>Пн</v>
      </c>
      <c r="I1007" s="46"/>
      <c r="J1007" s="39">
        <f t="shared" si="31"/>
        <v>46967</v>
      </c>
      <c r="K1007" t="str">
        <f ca="1">IF(AND(B1007&gt;='План недели'!$B$4,B1007&lt;'План недели'!$D$4,D1007&lt;&gt;"",G1007&lt;&gt;"Отменён"),COUNTIFS($B$5:B1007,"&gt;="&amp;'План недели'!$B$4,$B$5:B1007,"&lt;"&amp;'План недели'!$D$4,$D$5:D1007,"&lt;&gt;",$G$5:G1007,"&lt;&gt;Отменён"),"")</f>
        <v/>
      </c>
    </row>
    <row r="1008" spans="1:11">
      <c r="A1008" t="str">
        <f>IF(B1008="","","VIS_"&amp;(YEAR(B1008)*10000+MONTH(B1008)*100+DAY(B1008))&amp;"_"&amp;IF(COUNTIF($B$5:B1008,B1008)&lt;10,"00"&amp;COUNTIF($B$5:B1008,B1008),IF(COUNTIF($B$5:B1008,B1008)&lt;100,"0"&amp;COUNTIF($B$5:B1008,B1008),COUNTIF($B$5:B1008,B1008))))</f>
        <v>VIS_20280808_001</v>
      </c>
      <c r="B1008" s="40">
        <v>46973</v>
      </c>
      <c r="C1008" s="47" t="str">
        <f t="shared" si="30"/>
        <v>Вт</v>
      </c>
      <c r="I1008" s="46"/>
      <c r="J1008" s="39">
        <f t="shared" si="31"/>
        <v>46967</v>
      </c>
      <c r="K1008" t="str">
        <f ca="1">IF(AND(B1008&gt;='План недели'!$B$4,B1008&lt;'План недели'!$D$4,D1008&lt;&gt;"",G1008&lt;&gt;"Отменён"),COUNTIFS($B$5:B1008,"&gt;="&amp;'План недели'!$B$4,$B$5:B1008,"&lt;"&amp;'План недели'!$D$4,$D$5:D1008,"&lt;&gt;",$G$5:G1008,"&lt;&gt;Отменён"),"")</f>
        <v/>
      </c>
    </row>
    <row r="1009" spans="1:11">
      <c r="A1009" t="str">
        <f>IF(B1009="","","VIS_"&amp;(YEAR(B1009)*10000+MONTH(B1009)*100+DAY(B1009))&amp;"_"&amp;IF(COUNTIF($B$5:B1009,B1009)&lt;10,"00"&amp;COUNTIF($B$5:B1009,B1009),IF(COUNTIF($B$5:B1009,B1009)&lt;100,"0"&amp;COUNTIF($B$5:B1009,B1009),COUNTIF($B$5:B1009,B1009))))</f>
        <v>VIS_20280809_001</v>
      </c>
      <c r="B1009" s="40">
        <v>46974</v>
      </c>
      <c r="C1009" s="47" t="str">
        <f t="shared" si="30"/>
        <v>Ср</v>
      </c>
      <c r="I1009" s="46"/>
      <c r="J1009" s="39">
        <f t="shared" si="31"/>
        <v>46974</v>
      </c>
      <c r="K1009" t="str">
        <f ca="1">IF(AND(B1009&gt;='План недели'!$B$4,B1009&lt;'План недели'!$D$4,D1009&lt;&gt;"",G1009&lt;&gt;"Отменён"),COUNTIFS($B$5:B1009,"&gt;="&amp;'План недели'!$B$4,$B$5:B1009,"&lt;"&amp;'План недели'!$D$4,$D$5:D1009,"&lt;&gt;",$G$5:G1009,"&lt;&gt;Отменён"),"")</f>
        <v/>
      </c>
    </row>
    <row r="1010" spans="1:11">
      <c r="A1010" t="str">
        <f>IF(B1010="","","VIS_"&amp;(YEAR(B1010)*10000+MONTH(B1010)*100+DAY(B1010))&amp;"_"&amp;IF(COUNTIF($B$5:B1010,B1010)&lt;10,"00"&amp;COUNTIF($B$5:B1010,B1010),IF(COUNTIF($B$5:B1010,B1010)&lt;100,"0"&amp;COUNTIF($B$5:B1010,B1010),COUNTIF($B$5:B1010,B1010))))</f>
        <v>VIS_20280810_001</v>
      </c>
      <c r="B1010" s="40">
        <v>46975</v>
      </c>
      <c r="C1010" s="47" t="str">
        <f t="shared" si="30"/>
        <v>Чт</v>
      </c>
      <c r="I1010" s="46"/>
      <c r="J1010" s="39">
        <f t="shared" si="31"/>
        <v>46974</v>
      </c>
      <c r="K1010" t="str">
        <f ca="1">IF(AND(B1010&gt;='План недели'!$B$4,B1010&lt;'План недели'!$D$4,D1010&lt;&gt;"",G1010&lt;&gt;"Отменён"),COUNTIFS($B$5:B1010,"&gt;="&amp;'План недели'!$B$4,$B$5:B1010,"&lt;"&amp;'План недели'!$D$4,$D$5:D1010,"&lt;&gt;",$G$5:G1010,"&lt;&gt;Отменён"),"")</f>
        <v/>
      </c>
    </row>
    <row r="1011" spans="1:11">
      <c r="A1011" t="str">
        <f>IF(B1011="","","VIS_"&amp;(YEAR(B1011)*10000+MONTH(B1011)*100+DAY(B1011))&amp;"_"&amp;IF(COUNTIF($B$5:B1011,B1011)&lt;10,"00"&amp;COUNTIF($B$5:B1011,B1011),IF(COUNTIF($B$5:B1011,B1011)&lt;100,"0"&amp;COUNTIF($B$5:B1011,B1011),COUNTIF($B$5:B1011,B1011))))</f>
        <v>VIS_20280811_001</v>
      </c>
      <c r="B1011" s="40">
        <v>46976</v>
      </c>
      <c r="C1011" s="47" t="str">
        <f t="shared" si="30"/>
        <v>Пт</v>
      </c>
      <c r="I1011" s="46"/>
      <c r="J1011" s="39">
        <f t="shared" si="31"/>
        <v>46974</v>
      </c>
      <c r="K1011" t="str">
        <f ca="1">IF(AND(B1011&gt;='План недели'!$B$4,B1011&lt;'План недели'!$D$4,D1011&lt;&gt;"",G1011&lt;&gt;"Отменён"),COUNTIFS($B$5:B1011,"&gt;="&amp;'План недели'!$B$4,$B$5:B1011,"&lt;"&amp;'План недели'!$D$4,$D$5:D1011,"&lt;&gt;",$G$5:G1011,"&lt;&gt;Отменён"),"")</f>
        <v/>
      </c>
    </row>
    <row r="1012" spans="1:11">
      <c r="A1012" t="str">
        <f>IF(B1012="","","VIS_"&amp;(YEAR(B1012)*10000+MONTH(B1012)*100+DAY(B1012))&amp;"_"&amp;IF(COUNTIF($B$5:B1012,B1012)&lt;10,"00"&amp;COUNTIF($B$5:B1012,B1012),IF(COUNTIF($B$5:B1012,B1012)&lt;100,"0"&amp;COUNTIF($B$5:B1012,B1012),COUNTIF($B$5:B1012,B1012))))</f>
        <v>VIS_20280812_001</v>
      </c>
      <c r="B1012" s="42">
        <v>46977</v>
      </c>
      <c r="C1012" s="49" t="str">
        <f t="shared" si="30"/>
        <v>Сб</v>
      </c>
      <c r="I1012" s="46"/>
      <c r="J1012" s="39">
        <f t="shared" si="31"/>
        <v>46974</v>
      </c>
      <c r="K1012" t="str">
        <f ca="1">IF(AND(B1012&gt;='План недели'!$B$4,B1012&lt;'План недели'!$D$4,D1012&lt;&gt;"",G1012&lt;&gt;"Отменён"),COUNTIFS($B$5:B1012,"&gt;="&amp;'План недели'!$B$4,$B$5:B1012,"&lt;"&amp;'План недели'!$D$4,$D$5:D1012,"&lt;&gt;",$G$5:G1012,"&lt;&gt;Отменён"),"")</f>
        <v/>
      </c>
    </row>
    <row r="1013" spans="1:11">
      <c r="A1013" t="str">
        <f>IF(B1013="","","VIS_"&amp;(YEAR(B1013)*10000+MONTH(B1013)*100+DAY(B1013))&amp;"_"&amp;IF(COUNTIF($B$5:B1013,B1013)&lt;10,"00"&amp;COUNTIF($B$5:B1013,B1013),IF(COUNTIF($B$5:B1013,B1013)&lt;100,"0"&amp;COUNTIF($B$5:B1013,B1013),COUNTIF($B$5:B1013,B1013))))</f>
        <v>VIS_20280813_001</v>
      </c>
      <c r="B1013" s="42">
        <v>46978</v>
      </c>
      <c r="C1013" s="49" t="str">
        <f t="shared" si="30"/>
        <v>Вс</v>
      </c>
      <c r="I1013" s="46"/>
      <c r="J1013" s="39">
        <f t="shared" si="31"/>
        <v>46974</v>
      </c>
      <c r="K1013" t="str">
        <f ca="1">IF(AND(B1013&gt;='План недели'!$B$4,B1013&lt;'План недели'!$D$4,D1013&lt;&gt;"",G1013&lt;&gt;"Отменён"),COUNTIFS($B$5:B1013,"&gt;="&amp;'План недели'!$B$4,$B$5:B1013,"&lt;"&amp;'План недели'!$D$4,$D$5:D1013,"&lt;&gt;",$G$5:G1013,"&lt;&gt;Отменён"),"")</f>
        <v/>
      </c>
    </row>
    <row r="1014" spans="1:11">
      <c r="A1014" t="str">
        <f>IF(B1014="","","VIS_"&amp;(YEAR(B1014)*10000+MONTH(B1014)*100+DAY(B1014))&amp;"_"&amp;IF(COUNTIF($B$5:B1014,B1014)&lt;10,"00"&amp;COUNTIF($B$5:B1014,B1014),IF(COUNTIF($B$5:B1014,B1014)&lt;100,"0"&amp;COUNTIF($B$5:B1014,B1014),COUNTIF($B$5:B1014,B1014))))</f>
        <v>VIS_20280814_001</v>
      </c>
      <c r="B1014" s="40">
        <v>46979</v>
      </c>
      <c r="C1014" s="47" t="str">
        <f t="shared" si="30"/>
        <v>Пн</v>
      </c>
      <c r="I1014" s="46"/>
      <c r="J1014" s="39">
        <f t="shared" si="31"/>
        <v>46974</v>
      </c>
      <c r="K1014" t="str">
        <f ca="1">IF(AND(B1014&gt;='План недели'!$B$4,B1014&lt;'План недели'!$D$4,D1014&lt;&gt;"",G1014&lt;&gt;"Отменён"),COUNTIFS($B$5:B1014,"&gt;="&amp;'План недели'!$B$4,$B$5:B1014,"&lt;"&amp;'План недели'!$D$4,$D$5:D1014,"&lt;&gt;",$G$5:G1014,"&lt;&gt;Отменён"),"")</f>
        <v/>
      </c>
    </row>
    <row r="1015" spans="1:11">
      <c r="A1015" t="str">
        <f>IF(B1015="","","VIS_"&amp;(YEAR(B1015)*10000+MONTH(B1015)*100+DAY(B1015))&amp;"_"&amp;IF(COUNTIF($B$5:B1015,B1015)&lt;10,"00"&amp;COUNTIF($B$5:B1015,B1015),IF(COUNTIF($B$5:B1015,B1015)&lt;100,"0"&amp;COUNTIF($B$5:B1015,B1015),COUNTIF($B$5:B1015,B1015))))</f>
        <v>VIS_20280815_001</v>
      </c>
      <c r="B1015" s="40">
        <v>46980</v>
      </c>
      <c r="C1015" s="47" t="str">
        <f t="shared" si="30"/>
        <v>Вт</v>
      </c>
      <c r="I1015" s="46"/>
      <c r="J1015" s="39">
        <f t="shared" si="31"/>
        <v>46974</v>
      </c>
      <c r="K1015" t="str">
        <f ca="1">IF(AND(B1015&gt;='План недели'!$B$4,B1015&lt;'План недели'!$D$4,D1015&lt;&gt;"",G1015&lt;&gt;"Отменён"),COUNTIFS($B$5:B1015,"&gt;="&amp;'План недели'!$B$4,$B$5:B1015,"&lt;"&amp;'План недели'!$D$4,$D$5:D1015,"&lt;&gt;",$G$5:G1015,"&lt;&gt;Отменён"),"")</f>
        <v/>
      </c>
    </row>
    <row r="1016" spans="1:11">
      <c r="A1016" t="str">
        <f>IF(B1016="","","VIS_"&amp;(YEAR(B1016)*10000+MONTH(B1016)*100+DAY(B1016))&amp;"_"&amp;IF(COUNTIF($B$5:B1016,B1016)&lt;10,"00"&amp;COUNTIF($B$5:B1016,B1016),IF(COUNTIF($B$5:B1016,B1016)&lt;100,"0"&amp;COUNTIF($B$5:B1016,B1016),COUNTIF($B$5:B1016,B1016))))</f>
        <v>VIS_20280816_001</v>
      </c>
      <c r="B1016" s="40">
        <v>46981</v>
      </c>
      <c r="C1016" s="47" t="str">
        <f t="shared" si="30"/>
        <v>Ср</v>
      </c>
      <c r="I1016" s="46"/>
      <c r="J1016" s="39">
        <f t="shared" si="31"/>
        <v>46981</v>
      </c>
      <c r="K1016" t="str">
        <f ca="1">IF(AND(B1016&gt;='План недели'!$B$4,B1016&lt;'План недели'!$D$4,D1016&lt;&gt;"",G1016&lt;&gt;"Отменён"),COUNTIFS($B$5:B1016,"&gt;="&amp;'План недели'!$B$4,$B$5:B1016,"&lt;"&amp;'План недели'!$D$4,$D$5:D1016,"&lt;&gt;",$G$5:G1016,"&lt;&gt;Отменён"),"")</f>
        <v/>
      </c>
    </row>
    <row r="1017" spans="1:11">
      <c r="A1017" t="str">
        <f>IF(B1017="","","VIS_"&amp;(YEAR(B1017)*10000+MONTH(B1017)*100+DAY(B1017))&amp;"_"&amp;IF(COUNTIF($B$5:B1017,B1017)&lt;10,"00"&amp;COUNTIF($B$5:B1017,B1017),IF(COUNTIF($B$5:B1017,B1017)&lt;100,"0"&amp;COUNTIF($B$5:B1017,B1017),COUNTIF($B$5:B1017,B1017))))</f>
        <v>VIS_20280817_001</v>
      </c>
      <c r="B1017" s="40">
        <v>46982</v>
      </c>
      <c r="C1017" s="47" t="str">
        <f t="shared" si="30"/>
        <v>Чт</v>
      </c>
      <c r="I1017" s="46"/>
      <c r="J1017" s="39">
        <f t="shared" si="31"/>
        <v>46981</v>
      </c>
      <c r="K1017" t="str">
        <f ca="1">IF(AND(B1017&gt;='План недели'!$B$4,B1017&lt;'План недели'!$D$4,D1017&lt;&gt;"",G1017&lt;&gt;"Отменён"),COUNTIFS($B$5:B1017,"&gt;="&amp;'План недели'!$B$4,$B$5:B1017,"&lt;"&amp;'План недели'!$D$4,$D$5:D1017,"&lt;&gt;",$G$5:G1017,"&lt;&gt;Отменён"),"")</f>
        <v/>
      </c>
    </row>
    <row r="1018" spans="1:11">
      <c r="A1018" t="str">
        <f>IF(B1018="","","VIS_"&amp;(YEAR(B1018)*10000+MONTH(B1018)*100+DAY(B1018))&amp;"_"&amp;IF(COUNTIF($B$5:B1018,B1018)&lt;10,"00"&amp;COUNTIF($B$5:B1018,B1018),IF(COUNTIF($B$5:B1018,B1018)&lt;100,"0"&amp;COUNTIF($B$5:B1018,B1018),COUNTIF($B$5:B1018,B1018))))</f>
        <v>VIS_20280818_001</v>
      </c>
      <c r="B1018" s="40">
        <v>46983</v>
      </c>
      <c r="C1018" s="47" t="str">
        <f t="shared" si="30"/>
        <v>Пт</v>
      </c>
      <c r="I1018" s="46"/>
      <c r="J1018" s="39">
        <f t="shared" si="31"/>
        <v>46981</v>
      </c>
      <c r="K1018" t="str">
        <f ca="1">IF(AND(B1018&gt;='План недели'!$B$4,B1018&lt;'План недели'!$D$4,D1018&lt;&gt;"",G1018&lt;&gt;"Отменён"),COUNTIFS($B$5:B1018,"&gt;="&amp;'План недели'!$B$4,$B$5:B1018,"&lt;"&amp;'План недели'!$D$4,$D$5:D1018,"&lt;&gt;",$G$5:G1018,"&lt;&gt;Отменён"),"")</f>
        <v/>
      </c>
    </row>
    <row r="1019" spans="1:11">
      <c r="A1019" t="str">
        <f>IF(B1019="","","VIS_"&amp;(YEAR(B1019)*10000+MONTH(B1019)*100+DAY(B1019))&amp;"_"&amp;IF(COUNTIF($B$5:B1019,B1019)&lt;10,"00"&amp;COUNTIF($B$5:B1019,B1019),IF(COUNTIF($B$5:B1019,B1019)&lt;100,"0"&amp;COUNTIF($B$5:B1019,B1019),COUNTIF($B$5:B1019,B1019))))</f>
        <v>VIS_20280819_001</v>
      </c>
      <c r="B1019" s="42">
        <v>46984</v>
      </c>
      <c r="C1019" s="49" t="str">
        <f t="shared" si="30"/>
        <v>Сб</v>
      </c>
      <c r="I1019" s="46"/>
      <c r="J1019" s="39">
        <f t="shared" si="31"/>
        <v>46981</v>
      </c>
      <c r="K1019" t="str">
        <f ca="1">IF(AND(B1019&gt;='План недели'!$B$4,B1019&lt;'План недели'!$D$4,D1019&lt;&gt;"",G1019&lt;&gt;"Отменён"),COUNTIFS($B$5:B1019,"&gt;="&amp;'План недели'!$B$4,$B$5:B1019,"&lt;"&amp;'План недели'!$D$4,$D$5:D1019,"&lt;&gt;",$G$5:G1019,"&lt;&gt;Отменён"),"")</f>
        <v/>
      </c>
    </row>
    <row r="1020" spans="1:11">
      <c r="A1020" t="str">
        <f>IF(B1020="","","VIS_"&amp;(YEAR(B1020)*10000+MONTH(B1020)*100+DAY(B1020))&amp;"_"&amp;IF(COUNTIF($B$5:B1020,B1020)&lt;10,"00"&amp;COUNTIF($B$5:B1020,B1020),IF(COUNTIF($B$5:B1020,B1020)&lt;100,"0"&amp;COUNTIF($B$5:B1020,B1020),COUNTIF($B$5:B1020,B1020))))</f>
        <v>VIS_20280820_001</v>
      </c>
      <c r="B1020" s="42">
        <v>46985</v>
      </c>
      <c r="C1020" s="49" t="str">
        <f t="shared" si="30"/>
        <v>Вс</v>
      </c>
      <c r="I1020" s="46"/>
      <c r="J1020" s="39">
        <f t="shared" si="31"/>
        <v>46981</v>
      </c>
      <c r="K1020" t="str">
        <f ca="1">IF(AND(B1020&gt;='План недели'!$B$4,B1020&lt;'План недели'!$D$4,D1020&lt;&gt;"",G1020&lt;&gt;"Отменён"),COUNTIFS($B$5:B1020,"&gt;="&amp;'План недели'!$B$4,$B$5:B1020,"&lt;"&amp;'План недели'!$D$4,$D$5:D1020,"&lt;&gt;",$G$5:G1020,"&lt;&gt;Отменён"),"")</f>
        <v/>
      </c>
    </row>
    <row r="1021" spans="1:11">
      <c r="A1021" t="str">
        <f>IF(B1021="","","VIS_"&amp;(YEAR(B1021)*10000+MONTH(B1021)*100+DAY(B1021))&amp;"_"&amp;IF(COUNTIF($B$5:B1021,B1021)&lt;10,"00"&amp;COUNTIF($B$5:B1021,B1021),IF(COUNTIF($B$5:B1021,B1021)&lt;100,"0"&amp;COUNTIF($B$5:B1021,B1021),COUNTIF($B$5:B1021,B1021))))</f>
        <v>VIS_20280821_001</v>
      </c>
      <c r="B1021" s="40">
        <v>46986</v>
      </c>
      <c r="C1021" s="47" t="str">
        <f t="shared" si="30"/>
        <v>Пн</v>
      </c>
      <c r="I1021" s="46"/>
      <c r="J1021" s="39">
        <f t="shared" si="31"/>
        <v>46981</v>
      </c>
      <c r="K1021" t="str">
        <f ca="1">IF(AND(B1021&gt;='План недели'!$B$4,B1021&lt;'План недели'!$D$4,D1021&lt;&gt;"",G1021&lt;&gt;"Отменён"),COUNTIFS($B$5:B1021,"&gt;="&amp;'План недели'!$B$4,$B$5:B1021,"&lt;"&amp;'План недели'!$D$4,$D$5:D1021,"&lt;&gt;",$G$5:G1021,"&lt;&gt;Отменён"),"")</f>
        <v/>
      </c>
    </row>
    <row r="1022" spans="1:11">
      <c r="A1022" t="str">
        <f>IF(B1022="","","VIS_"&amp;(YEAR(B1022)*10000+MONTH(B1022)*100+DAY(B1022))&amp;"_"&amp;IF(COUNTIF($B$5:B1022,B1022)&lt;10,"00"&amp;COUNTIF($B$5:B1022,B1022),IF(COUNTIF($B$5:B1022,B1022)&lt;100,"0"&amp;COUNTIF($B$5:B1022,B1022),COUNTIF($B$5:B1022,B1022))))</f>
        <v>VIS_20280822_001</v>
      </c>
      <c r="B1022" s="40">
        <v>46987</v>
      </c>
      <c r="C1022" s="47" t="str">
        <f t="shared" si="30"/>
        <v>Вт</v>
      </c>
      <c r="I1022" s="46"/>
      <c r="J1022" s="39">
        <f t="shared" si="31"/>
        <v>46981</v>
      </c>
      <c r="K1022" t="str">
        <f ca="1">IF(AND(B1022&gt;='План недели'!$B$4,B1022&lt;'План недели'!$D$4,D1022&lt;&gt;"",G1022&lt;&gt;"Отменён"),COUNTIFS($B$5:B1022,"&gt;="&amp;'План недели'!$B$4,$B$5:B1022,"&lt;"&amp;'План недели'!$D$4,$D$5:D1022,"&lt;&gt;",$G$5:G1022,"&lt;&gt;Отменён"),"")</f>
        <v/>
      </c>
    </row>
    <row r="1023" spans="1:11">
      <c r="A1023" t="str">
        <f>IF(B1023="","","VIS_"&amp;(YEAR(B1023)*10000+MONTH(B1023)*100+DAY(B1023))&amp;"_"&amp;IF(COUNTIF($B$5:B1023,B1023)&lt;10,"00"&amp;COUNTIF($B$5:B1023,B1023),IF(COUNTIF($B$5:B1023,B1023)&lt;100,"0"&amp;COUNTIF($B$5:B1023,B1023),COUNTIF($B$5:B1023,B1023))))</f>
        <v>VIS_20280823_001</v>
      </c>
      <c r="B1023" s="40">
        <v>46988</v>
      </c>
      <c r="C1023" s="47" t="str">
        <f t="shared" si="30"/>
        <v>Ср</v>
      </c>
      <c r="I1023" s="46"/>
      <c r="J1023" s="39">
        <f t="shared" si="31"/>
        <v>46988</v>
      </c>
      <c r="K1023" t="str">
        <f ca="1">IF(AND(B1023&gt;='План недели'!$B$4,B1023&lt;'План недели'!$D$4,D1023&lt;&gt;"",G1023&lt;&gt;"Отменён"),COUNTIFS($B$5:B1023,"&gt;="&amp;'План недели'!$B$4,$B$5:B1023,"&lt;"&amp;'План недели'!$D$4,$D$5:D1023,"&lt;&gt;",$G$5:G1023,"&lt;&gt;Отменён"),"")</f>
        <v/>
      </c>
    </row>
    <row r="1024" spans="1:11">
      <c r="A1024" t="str">
        <f>IF(B1024="","","VIS_"&amp;(YEAR(B1024)*10000+MONTH(B1024)*100+DAY(B1024))&amp;"_"&amp;IF(COUNTIF($B$5:B1024,B1024)&lt;10,"00"&amp;COUNTIF($B$5:B1024,B1024),IF(COUNTIF($B$5:B1024,B1024)&lt;100,"0"&amp;COUNTIF($B$5:B1024,B1024),COUNTIF($B$5:B1024,B1024))))</f>
        <v>VIS_20280824_001</v>
      </c>
      <c r="B1024" s="40">
        <v>46989</v>
      </c>
      <c r="C1024" s="47" t="str">
        <f t="shared" si="30"/>
        <v>Чт</v>
      </c>
      <c r="I1024" s="46"/>
      <c r="J1024" s="39">
        <f t="shared" si="31"/>
        <v>46988</v>
      </c>
      <c r="K1024" t="str">
        <f ca="1">IF(AND(B1024&gt;='План недели'!$B$4,B1024&lt;'План недели'!$D$4,D1024&lt;&gt;"",G1024&lt;&gt;"Отменён"),COUNTIFS($B$5:B1024,"&gt;="&amp;'План недели'!$B$4,$B$5:B1024,"&lt;"&amp;'План недели'!$D$4,$D$5:D1024,"&lt;&gt;",$G$5:G1024,"&lt;&gt;Отменён"),"")</f>
        <v/>
      </c>
    </row>
    <row r="1025" spans="1:11">
      <c r="A1025" t="str">
        <f>IF(B1025="","","VIS_"&amp;(YEAR(B1025)*10000+MONTH(B1025)*100+DAY(B1025))&amp;"_"&amp;IF(COUNTIF($B$5:B1025,B1025)&lt;10,"00"&amp;COUNTIF($B$5:B1025,B1025),IF(COUNTIF($B$5:B1025,B1025)&lt;100,"0"&amp;COUNTIF($B$5:B1025,B1025),COUNTIF($B$5:B1025,B1025))))</f>
        <v>VIS_20280825_001</v>
      </c>
      <c r="B1025" s="40">
        <v>46990</v>
      </c>
      <c r="C1025" s="47" t="str">
        <f t="shared" si="30"/>
        <v>Пт</v>
      </c>
      <c r="I1025" s="46"/>
      <c r="J1025" s="39">
        <f t="shared" si="31"/>
        <v>46988</v>
      </c>
      <c r="K1025" t="str">
        <f ca="1">IF(AND(B1025&gt;='План недели'!$B$4,B1025&lt;'План недели'!$D$4,D1025&lt;&gt;"",G1025&lt;&gt;"Отменён"),COUNTIFS($B$5:B1025,"&gt;="&amp;'План недели'!$B$4,$B$5:B1025,"&lt;"&amp;'План недели'!$D$4,$D$5:D1025,"&lt;&gt;",$G$5:G1025,"&lt;&gt;Отменён"),"")</f>
        <v/>
      </c>
    </row>
    <row r="1026" spans="1:11">
      <c r="A1026" t="str">
        <f>IF(B1026="","","VIS_"&amp;(YEAR(B1026)*10000+MONTH(B1026)*100+DAY(B1026))&amp;"_"&amp;IF(COUNTIF($B$5:B1026,B1026)&lt;10,"00"&amp;COUNTIF($B$5:B1026,B1026),IF(COUNTIF($B$5:B1026,B1026)&lt;100,"0"&amp;COUNTIF($B$5:B1026,B1026),COUNTIF($B$5:B1026,B1026))))</f>
        <v>VIS_20280826_001</v>
      </c>
      <c r="B1026" s="42">
        <v>46991</v>
      </c>
      <c r="C1026" s="49" t="str">
        <f t="shared" si="30"/>
        <v>Сб</v>
      </c>
      <c r="I1026" s="46"/>
      <c r="J1026" s="39">
        <f t="shared" si="31"/>
        <v>46988</v>
      </c>
      <c r="K1026" t="str">
        <f ca="1">IF(AND(B1026&gt;='План недели'!$B$4,B1026&lt;'План недели'!$D$4,D1026&lt;&gt;"",G1026&lt;&gt;"Отменён"),COUNTIFS($B$5:B1026,"&gt;="&amp;'План недели'!$B$4,$B$5:B1026,"&lt;"&amp;'План недели'!$D$4,$D$5:D1026,"&lt;&gt;",$G$5:G1026,"&lt;&gt;Отменён"),"")</f>
        <v/>
      </c>
    </row>
    <row r="1027" spans="1:11">
      <c r="A1027" t="str">
        <f>IF(B1027="","","VIS_"&amp;(YEAR(B1027)*10000+MONTH(B1027)*100+DAY(B1027))&amp;"_"&amp;IF(COUNTIF($B$5:B1027,B1027)&lt;10,"00"&amp;COUNTIF($B$5:B1027,B1027),IF(COUNTIF($B$5:B1027,B1027)&lt;100,"0"&amp;COUNTIF($B$5:B1027,B1027),COUNTIF($B$5:B1027,B1027))))</f>
        <v>VIS_20280827_001</v>
      </c>
      <c r="B1027" s="42">
        <v>46992</v>
      </c>
      <c r="C1027" s="49" t="str">
        <f t="shared" si="30"/>
        <v>Вс</v>
      </c>
      <c r="I1027" s="46"/>
      <c r="J1027" s="39">
        <f t="shared" si="31"/>
        <v>46988</v>
      </c>
      <c r="K1027" t="str">
        <f ca="1">IF(AND(B1027&gt;='План недели'!$B$4,B1027&lt;'План недели'!$D$4,D1027&lt;&gt;"",G1027&lt;&gt;"Отменён"),COUNTIFS($B$5:B1027,"&gt;="&amp;'План недели'!$B$4,$B$5:B1027,"&lt;"&amp;'План недели'!$D$4,$D$5:D1027,"&lt;&gt;",$G$5:G1027,"&lt;&gt;Отменён"),"")</f>
        <v/>
      </c>
    </row>
    <row r="1028" spans="1:11">
      <c r="A1028" t="str">
        <f>IF(B1028="","","VIS_"&amp;(YEAR(B1028)*10000+MONTH(B1028)*100+DAY(B1028))&amp;"_"&amp;IF(COUNTIF($B$5:B1028,B1028)&lt;10,"00"&amp;COUNTIF($B$5:B1028,B1028),IF(COUNTIF($B$5:B1028,B1028)&lt;100,"0"&amp;COUNTIF($B$5:B1028,B1028),COUNTIF($B$5:B1028,B1028))))</f>
        <v>VIS_20280828_001</v>
      </c>
      <c r="B1028" s="40">
        <v>46993</v>
      </c>
      <c r="C1028" s="47" t="str">
        <f t="shared" si="30"/>
        <v>Пн</v>
      </c>
      <c r="I1028" s="46"/>
      <c r="J1028" s="39">
        <f t="shared" si="31"/>
        <v>46988</v>
      </c>
      <c r="K1028" t="str">
        <f ca="1">IF(AND(B1028&gt;='План недели'!$B$4,B1028&lt;'План недели'!$D$4,D1028&lt;&gt;"",G1028&lt;&gt;"Отменён"),COUNTIFS($B$5:B1028,"&gt;="&amp;'План недели'!$B$4,$B$5:B1028,"&lt;"&amp;'План недели'!$D$4,$D$5:D1028,"&lt;&gt;",$G$5:G1028,"&lt;&gt;Отменён"),"")</f>
        <v/>
      </c>
    </row>
    <row r="1029" spans="1:11">
      <c r="A1029" t="str">
        <f>IF(B1029="","","VIS_"&amp;(YEAR(B1029)*10000+MONTH(B1029)*100+DAY(B1029))&amp;"_"&amp;IF(COUNTIF($B$5:B1029,B1029)&lt;10,"00"&amp;COUNTIF($B$5:B1029,B1029),IF(COUNTIF($B$5:B1029,B1029)&lt;100,"0"&amp;COUNTIF($B$5:B1029,B1029),COUNTIF($B$5:B1029,B1029))))</f>
        <v>VIS_20280829_001</v>
      </c>
      <c r="B1029" s="40">
        <v>46994</v>
      </c>
      <c r="C1029" s="47" t="str">
        <f t="shared" ref="C1029:C1092" si="32">IF(B1029="","",CHOOSE(WEEKDAY(B1029,2),"Пн","Вт","Ср","Чт","Пт","Сб","Вс"))</f>
        <v>Вт</v>
      </c>
      <c r="I1029" s="46"/>
      <c r="J1029" s="39">
        <f t="shared" ref="J1029:J1092" si="33">IF(B1029="","",B1029-MOD(WEEKDAY(B1029,2)-3,7))</f>
        <v>46988</v>
      </c>
      <c r="K1029" t="str">
        <f ca="1">IF(AND(B1029&gt;='План недели'!$B$4,B1029&lt;'План недели'!$D$4,D1029&lt;&gt;"",G1029&lt;&gt;"Отменён"),COUNTIFS($B$5:B1029,"&gt;="&amp;'План недели'!$B$4,$B$5:B1029,"&lt;"&amp;'План недели'!$D$4,$D$5:D1029,"&lt;&gt;",$G$5:G1029,"&lt;&gt;Отменён"),"")</f>
        <v/>
      </c>
    </row>
    <row r="1030" spans="1:11">
      <c r="A1030" t="str">
        <f>IF(B1030="","","VIS_"&amp;(YEAR(B1030)*10000+MONTH(B1030)*100+DAY(B1030))&amp;"_"&amp;IF(COUNTIF($B$5:B1030,B1030)&lt;10,"00"&amp;COUNTIF($B$5:B1030,B1030),IF(COUNTIF($B$5:B1030,B1030)&lt;100,"0"&amp;COUNTIF($B$5:B1030,B1030),COUNTIF($B$5:B1030,B1030))))</f>
        <v>VIS_20280830_001</v>
      </c>
      <c r="B1030" s="40">
        <v>46995</v>
      </c>
      <c r="C1030" s="47" t="str">
        <f t="shared" si="32"/>
        <v>Ср</v>
      </c>
      <c r="I1030" s="46"/>
      <c r="J1030" s="39">
        <f t="shared" si="33"/>
        <v>46995</v>
      </c>
      <c r="K1030" t="str">
        <f ca="1">IF(AND(B1030&gt;='План недели'!$B$4,B1030&lt;'План недели'!$D$4,D1030&lt;&gt;"",G1030&lt;&gt;"Отменён"),COUNTIFS($B$5:B1030,"&gt;="&amp;'План недели'!$B$4,$B$5:B1030,"&lt;"&amp;'План недели'!$D$4,$D$5:D1030,"&lt;&gt;",$G$5:G1030,"&lt;&gt;Отменён"),"")</f>
        <v/>
      </c>
    </row>
    <row r="1031" spans="1:11">
      <c r="A1031" t="str">
        <f>IF(B1031="","","VIS_"&amp;(YEAR(B1031)*10000+MONTH(B1031)*100+DAY(B1031))&amp;"_"&amp;IF(COUNTIF($B$5:B1031,B1031)&lt;10,"00"&amp;COUNTIF($B$5:B1031,B1031),IF(COUNTIF($B$5:B1031,B1031)&lt;100,"0"&amp;COUNTIF($B$5:B1031,B1031),COUNTIF($B$5:B1031,B1031))))</f>
        <v>VIS_20280831_001</v>
      </c>
      <c r="B1031" s="40">
        <v>46996</v>
      </c>
      <c r="C1031" s="47" t="str">
        <f t="shared" si="32"/>
        <v>Чт</v>
      </c>
      <c r="I1031" s="46"/>
      <c r="J1031" s="39">
        <f t="shared" si="33"/>
        <v>46995</v>
      </c>
      <c r="K1031" t="str">
        <f ca="1">IF(AND(B1031&gt;='План недели'!$B$4,B1031&lt;'План недели'!$D$4,D1031&lt;&gt;"",G1031&lt;&gt;"Отменён"),COUNTIFS($B$5:B1031,"&gt;="&amp;'План недели'!$B$4,$B$5:B1031,"&lt;"&amp;'План недели'!$D$4,$D$5:D1031,"&lt;&gt;",$G$5:G1031,"&lt;&gt;Отменён"),"")</f>
        <v/>
      </c>
    </row>
    <row r="1032" spans="1:11">
      <c r="A1032" t="str">
        <f>IF(B1032="","","VIS_"&amp;(YEAR(B1032)*10000+MONTH(B1032)*100+DAY(B1032))&amp;"_"&amp;IF(COUNTIF($B$5:B1032,B1032)&lt;10,"00"&amp;COUNTIF($B$5:B1032,B1032),IF(COUNTIF($B$5:B1032,B1032)&lt;100,"0"&amp;COUNTIF($B$5:B1032,B1032),COUNTIF($B$5:B1032,B1032))))</f>
        <v>VIS_20280901_001</v>
      </c>
      <c r="B1032" s="40">
        <v>46997</v>
      </c>
      <c r="C1032" s="47" t="str">
        <f t="shared" si="32"/>
        <v>Пт</v>
      </c>
      <c r="I1032" s="46"/>
      <c r="J1032" s="39">
        <f t="shared" si="33"/>
        <v>46995</v>
      </c>
      <c r="K1032" t="str">
        <f ca="1">IF(AND(B1032&gt;='План недели'!$B$4,B1032&lt;'План недели'!$D$4,D1032&lt;&gt;"",G1032&lt;&gt;"Отменён"),COUNTIFS($B$5:B1032,"&gt;="&amp;'План недели'!$B$4,$B$5:B1032,"&lt;"&amp;'План недели'!$D$4,$D$5:D1032,"&lt;&gt;",$G$5:G1032,"&lt;&gt;Отменён"),"")</f>
        <v/>
      </c>
    </row>
    <row r="1033" spans="1:11">
      <c r="A1033" t="str">
        <f>IF(B1033="","","VIS_"&amp;(YEAR(B1033)*10000+MONTH(B1033)*100+DAY(B1033))&amp;"_"&amp;IF(COUNTIF($B$5:B1033,B1033)&lt;10,"00"&amp;COUNTIF($B$5:B1033,B1033),IF(COUNTIF($B$5:B1033,B1033)&lt;100,"0"&amp;COUNTIF($B$5:B1033,B1033),COUNTIF($B$5:B1033,B1033))))</f>
        <v>VIS_20280902_001</v>
      </c>
      <c r="B1033" s="42">
        <v>46998</v>
      </c>
      <c r="C1033" s="49" t="str">
        <f t="shared" si="32"/>
        <v>Сб</v>
      </c>
      <c r="I1033" s="46"/>
      <c r="J1033" s="39">
        <f t="shared" si="33"/>
        <v>46995</v>
      </c>
      <c r="K1033" t="str">
        <f ca="1">IF(AND(B1033&gt;='План недели'!$B$4,B1033&lt;'План недели'!$D$4,D1033&lt;&gt;"",G1033&lt;&gt;"Отменён"),COUNTIFS($B$5:B1033,"&gt;="&amp;'План недели'!$B$4,$B$5:B1033,"&lt;"&amp;'План недели'!$D$4,$D$5:D1033,"&lt;&gt;",$G$5:G1033,"&lt;&gt;Отменён"),"")</f>
        <v/>
      </c>
    </row>
    <row r="1034" spans="1:11">
      <c r="A1034" t="str">
        <f>IF(B1034="","","VIS_"&amp;(YEAR(B1034)*10000+MONTH(B1034)*100+DAY(B1034))&amp;"_"&amp;IF(COUNTIF($B$5:B1034,B1034)&lt;10,"00"&amp;COUNTIF($B$5:B1034,B1034),IF(COUNTIF($B$5:B1034,B1034)&lt;100,"0"&amp;COUNTIF($B$5:B1034,B1034),COUNTIF($B$5:B1034,B1034))))</f>
        <v>VIS_20280903_001</v>
      </c>
      <c r="B1034" s="42">
        <v>46999</v>
      </c>
      <c r="C1034" s="49" t="str">
        <f t="shared" si="32"/>
        <v>Вс</v>
      </c>
      <c r="I1034" s="46"/>
      <c r="J1034" s="39">
        <f t="shared" si="33"/>
        <v>46995</v>
      </c>
      <c r="K1034" t="str">
        <f ca="1">IF(AND(B1034&gt;='План недели'!$B$4,B1034&lt;'План недели'!$D$4,D1034&lt;&gt;"",G1034&lt;&gt;"Отменён"),COUNTIFS($B$5:B1034,"&gt;="&amp;'План недели'!$B$4,$B$5:B1034,"&lt;"&amp;'План недели'!$D$4,$D$5:D1034,"&lt;&gt;",$G$5:G1034,"&lt;&gt;Отменён"),"")</f>
        <v/>
      </c>
    </row>
    <row r="1035" spans="1:11">
      <c r="A1035" t="str">
        <f>IF(B1035="","","VIS_"&amp;(YEAR(B1035)*10000+MONTH(B1035)*100+DAY(B1035))&amp;"_"&amp;IF(COUNTIF($B$5:B1035,B1035)&lt;10,"00"&amp;COUNTIF($B$5:B1035,B1035),IF(COUNTIF($B$5:B1035,B1035)&lt;100,"0"&amp;COUNTIF($B$5:B1035,B1035),COUNTIF($B$5:B1035,B1035))))</f>
        <v>VIS_20280904_001</v>
      </c>
      <c r="B1035" s="40">
        <v>47000</v>
      </c>
      <c r="C1035" s="47" t="str">
        <f t="shared" si="32"/>
        <v>Пн</v>
      </c>
      <c r="I1035" s="46"/>
      <c r="J1035" s="39">
        <f t="shared" si="33"/>
        <v>46995</v>
      </c>
      <c r="K1035" t="str">
        <f ca="1">IF(AND(B1035&gt;='План недели'!$B$4,B1035&lt;'План недели'!$D$4,D1035&lt;&gt;"",G1035&lt;&gt;"Отменён"),COUNTIFS($B$5:B1035,"&gt;="&amp;'План недели'!$B$4,$B$5:B1035,"&lt;"&amp;'План недели'!$D$4,$D$5:D1035,"&lt;&gt;",$G$5:G1035,"&lt;&gt;Отменён"),"")</f>
        <v/>
      </c>
    </row>
    <row r="1036" spans="1:11">
      <c r="A1036" t="str">
        <f>IF(B1036="","","VIS_"&amp;(YEAR(B1036)*10000+MONTH(B1036)*100+DAY(B1036))&amp;"_"&amp;IF(COUNTIF($B$5:B1036,B1036)&lt;10,"00"&amp;COUNTIF($B$5:B1036,B1036),IF(COUNTIF($B$5:B1036,B1036)&lt;100,"0"&amp;COUNTIF($B$5:B1036,B1036),COUNTIF($B$5:B1036,B1036))))</f>
        <v>VIS_20280905_001</v>
      </c>
      <c r="B1036" s="40">
        <v>47001</v>
      </c>
      <c r="C1036" s="47" t="str">
        <f t="shared" si="32"/>
        <v>Вт</v>
      </c>
      <c r="I1036" s="46"/>
      <c r="J1036" s="39">
        <f t="shared" si="33"/>
        <v>46995</v>
      </c>
      <c r="K1036" t="str">
        <f ca="1">IF(AND(B1036&gt;='План недели'!$B$4,B1036&lt;'План недели'!$D$4,D1036&lt;&gt;"",G1036&lt;&gt;"Отменён"),COUNTIFS($B$5:B1036,"&gt;="&amp;'План недели'!$B$4,$B$5:B1036,"&lt;"&amp;'План недели'!$D$4,$D$5:D1036,"&lt;&gt;",$G$5:G1036,"&lt;&gt;Отменён"),"")</f>
        <v/>
      </c>
    </row>
    <row r="1037" spans="1:11">
      <c r="A1037" t="str">
        <f>IF(B1037="","","VIS_"&amp;(YEAR(B1037)*10000+MONTH(B1037)*100+DAY(B1037))&amp;"_"&amp;IF(COUNTIF($B$5:B1037,B1037)&lt;10,"00"&amp;COUNTIF($B$5:B1037,B1037),IF(COUNTIF($B$5:B1037,B1037)&lt;100,"0"&amp;COUNTIF($B$5:B1037,B1037),COUNTIF($B$5:B1037,B1037))))</f>
        <v>VIS_20280906_001</v>
      </c>
      <c r="B1037" s="40">
        <v>47002</v>
      </c>
      <c r="C1037" s="47" t="str">
        <f t="shared" si="32"/>
        <v>Ср</v>
      </c>
      <c r="I1037" s="46"/>
      <c r="J1037" s="39">
        <f t="shared" si="33"/>
        <v>47002</v>
      </c>
      <c r="K1037" t="str">
        <f ca="1">IF(AND(B1037&gt;='План недели'!$B$4,B1037&lt;'План недели'!$D$4,D1037&lt;&gt;"",G1037&lt;&gt;"Отменён"),COUNTIFS($B$5:B1037,"&gt;="&amp;'План недели'!$B$4,$B$5:B1037,"&lt;"&amp;'План недели'!$D$4,$D$5:D1037,"&lt;&gt;",$G$5:G1037,"&lt;&gt;Отменён"),"")</f>
        <v/>
      </c>
    </row>
    <row r="1038" spans="1:11">
      <c r="A1038" t="str">
        <f>IF(B1038="","","VIS_"&amp;(YEAR(B1038)*10000+MONTH(B1038)*100+DAY(B1038))&amp;"_"&amp;IF(COUNTIF($B$5:B1038,B1038)&lt;10,"00"&amp;COUNTIF($B$5:B1038,B1038),IF(COUNTIF($B$5:B1038,B1038)&lt;100,"0"&amp;COUNTIF($B$5:B1038,B1038),COUNTIF($B$5:B1038,B1038))))</f>
        <v>VIS_20280907_001</v>
      </c>
      <c r="B1038" s="40">
        <v>47003</v>
      </c>
      <c r="C1038" s="47" t="str">
        <f t="shared" si="32"/>
        <v>Чт</v>
      </c>
      <c r="I1038" s="46"/>
      <c r="J1038" s="39">
        <f t="shared" si="33"/>
        <v>47002</v>
      </c>
      <c r="K1038" t="str">
        <f ca="1">IF(AND(B1038&gt;='План недели'!$B$4,B1038&lt;'План недели'!$D$4,D1038&lt;&gt;"",G1038&lt;&gt;"Отменён"),COUNTIFS($B$5:B1038,"&gt;="&amp;'План недели'!$B$4,$B$5:B1038,"&lt;"&amp;'План недели'!$D$4,$D$5:D1038,"&lt;&gt;",$G$5:G1038,"&lt;&gt;Отменён"),"")</f>
        <v/>
      </c>
    </row>
    <row r="1039" spans="1:11">
      <c r="A1039" t="str">
        <f>IF(B1039="","","VIS_"&amp;(YEAR(B1039)*10000+MONTH(B1039)*100+DAY(B1039))&amp;"_"&amp;IF(COUNTIF($B$5:B1039,B1039)&lt;10,"00"&amp;COUNTIF($B$5:B1039,B1039),IF(COUNTIF($B$5:B1039,B1039)&lt;100,"0"&amp;COUNTIF($B$5:B1039,B1039),COUNTIF($B$5:B1039,B1039))))</f>
        <v>VIS_20280908_001</v>
      </c>
      <c r="B1039" s="40">
        <v>47004</v>
      </c>
      <c r="C1039" s="47" t="str">
        <f t="shared" si="32"/>
        <v>Пт</v>
      </c>
      <c r="I1039" s="46"/>
      <c r="J1039" s="39">
        <f t="shared" si="33"/>
        <v>47002</v>
      </c>
      <c r="K1039" t="str">
        <f ca="1">IF(AND(B1039&gt;='План недели'!$B$4,B1039&lt;'План недели'!$D$4,D1039&lt;&gt;"",G1039&lt;&gt;"Отменён"),COUNTIFS($B$5:B1039,"&gt;="&amp;'План недели'!$B$4,$B$5:B1039,"&lt;"&amp;'План недели'!$D$4,$D$5:D1039,"&lt;&gt;",$G$5:G1039,"&lt;&gt;Отменён"),"")</f>
        <v/>
      </c>
    </row>
    <row r="1040" spans="1:11">
      <c r="A1040" t="str">
        <f>IF(B1040="","","VIS_"&amp;(YEAR(B1040)*10000+MONTH(B1040)*100+DAY(B1040))&amp;"_"&amp;IF(COUNTIF($B$5:B1040,B1040)&lt;10,"00"&amp;COUNTIF($B$5:B1040,B1040),IF(COUNTIF($B$5:B1040,B1040)&lt;100,"0"&amp;COUNTIF($B$5:B1040,B1040),COUNTIF($B$5:B1040,B1040))))</f>
        <v>VIS_20280909_001</v>
      </c>
      <c r="B1040" s="42">
        <v>47005</v>
      </c>
      <c r="C1040" s="49" t="str">
        <f t="shared" si="32"/>
        <v>Сб</v>
      </c>
      <c r="I1040" s="46"/>
      <c r="J1040" s="39">
        <f t="shared" si="33"/>
        <v>47002</v>
      </c>
      <c r="K1040" t="str">
        <f ca="1">IF(AND(B1040&gt;='План недели'!$B$4,B1040&lt;'План недели'!$D$4,D1040&lt;&gt;"",G1040&lt;&gt;"Отменён"),COUNTIFS($B$5:B1040,"&gt;="&amp;'План недели'!$B$4,$B$5:B1040,"&lt;"&amp;'План недели'!$D$4,$D$5:D1040,"&lt;&gt;",$G$5:G1040,"&lt;&gt;Отменён"),"")</f>
        <v/>
      </c>
    </row>
    <row r="1041" spans="1:11">
      <c r="A1041" t="str">
        <f>IF(B1041="","","VIS_"&amp;(YEAR(B1041)*10000+MONTH(B1041)*100+DAY(B1041))&amp;"_"&amp;IF(COUNTIF($B$5:B1041,B1041)&lt;10,"00"&amp;COUNTIF($B$5:B1041,B1041),IF(COUNTIF($B$5:B1041,B1041)&lt;100,"0"&amp;COUNTIF($B$5:B1041,B1041),COUNTIF($B$5:B1041,B1041))))</f>
        <v>VIS_20280910_001</v>
      </c>
      <c r="B1041" s="42">
        <v>47006</v>
      </c>
      <c r="C1041" s="49" t="str">
        <f t="shared" si="32"/>
        <v>Вс</v>
      </c>
      <c r="I1041" s="46"/>
      <c r="J1041" s="39">
        <f t="shared" si="33"/>
        <v>47002</v>
      </c>
      <c r="K1041" t="str">
        <f ca="1">IF(AND(B1041&gt;='План недели'!$B$4,B1041&lt;'План недели'!$D$4,D1041&lt;&gt;"",G1041&lt;&gt;"Отменён"),COUNTIFS($B$5:B1041,"&gt;="&amp;'План недели'!$B$4,$B$5:B1041,"&lt;"&amp;'План недели'!$D$4,$D$5:D1041,"&lt;&gt;",$G$5:G1041,"&lt;&gt;Отменён"),"")</f>
        <v/>
      </c>
    </row>
    <row r="1042" spans="1:11">
      <c r="A1042" t="str">
        <f>IF(B1042="","","VIS_"&amp;(YEAR(B1042)*10000+MONTH(B1042)*100+DAY(B1042))&amp;"_"&amp;IF(COUNTIF($B$5:B1042,B1042)&lt;10,"00"&amp;COUNTIF($B$5:B1042,B1042),IF(COUNTIF($B$5:B1042,B1042)&lt;100,"0"&amp;COUNTIF($B$5:B1042,B1042),COUNTIF($B$5:B1042,B1042))))</f>
        <v>VIS_20280911_001</v>
      </c>
      <c r="B1042" s="40">
        <v>47007</v>
      </c>
      <c r="C1042" s="47" t="str">
        <f t="shared" si="32"/>
        <v>Пн</v>
      </c>
      <c r="I1042" s="46"/>
      <c r="J1042" s="39">
        <f t="shared" si="33"/>
        <v>47002</v>
      </c>
      <c r="K1042" t="str">
        <f ca="1">IF(AND(B1042&gt;='План недели'!$B$4,B1042&lt;'План недели'!$D$4,D1042&lt;&gt;"",G1042&lt;&gt;"Отменён"),COUNTIFS($B$5:B1042,"&gt;="&amp;'План недели'!$B$4,$B$5:B1042,"&lt;"&amp;'План недели'!$D$4,$D$5:D1042,"&lt;&gt;",$G$5:G1042,"&lt;&gt;Отменён"),"")</f>
        <v/>
      </c>
    </row>
    <row r="1043" spans="1:11">
      <c r="A1043" t="str">
        <f>IF(B1043="","","VIS_"&amp;(YEAR(B1043)*10000+MONTH(B1043)*100+DAY(B1043))&amp;"_"&amp;IF(COUNTIF($B$5:B1043,B1043)&lt;10,"00"&amp;COUNTIF($B$5:B1043,B1043),IF(COUNTIF($B$5:B1043,B1043)&lt;100,"0"&amp;COUNTIF($B$5:B1043,B1043),COUNTIF($B$5:B1043,B1043))))</f>
        <v>VIS_20280912_001</v>
      </c>
      <c r="B1043" s="40">
        <v>47008</v>
      </c>
      <c r="C1043" s="47" t="str">
        <f t="shared" si="32"/>
        <v>Вт</v>
      </c>
      <c r="I1043" s="46"/>
      <c r="J1043" s="39">
        <f t="shared" si="33"/>
        <v>47002</v>
      </c>
      <c r="K1043" t="str">
        <f ca="1">IF(AND(B1043&gt;='План недели'!$B$4,B1043&lt;'План недели'!$D$4,D1043&lt;&gt;"",G1043&lt;&gt;"Отменён"),COUNTIFS($B$5:B1043,"&gt;="&amp;'План недели'!$B$4,$B$5:B1043,"&lt;"&amp;'План недели'!$D$4,$D$5:D1043,"&lt;&gt;",$G$5:G1043,"&lt;&gt;Отменён"),"")</f>
        <v/>
      </c>
    </row>
    <row r="1044" spans="1:11">
      <c r="A1044" t="str">
        <f>IF(B1044="","","VIS_"&amp;(YEAR(B1044)*10000+MONTH(B1044)*100+DAY(B1044))&amp;"_"&amp;IF(COUNTIF($B$5:B1044,B1044)&lt;10,"00"&amp;COUNTIF($B$5:B1044,B1044),IF(COUNTIF($B$5:B1044,B1044)&lt;100,"0"&amp;COUNTIF($B$5:B1044,B1044),COUNTIF($B$5:B1044,B1044))))</f>
        <v>VIS_20280913_001</v>
      </c>
      <c r="B1044" s="40">
        <v>47009</v>
      </c>
      <c r="C1044" s="47" t="str">
        <f t="shared" si="32"/>
        <v>Ср</v>
      </c>
      <c r="I1044" s="46"/>
      <c r="J1044" s="39">
        <f t="shared" si="33"/>
        <v>47009</v>
      </c>
      <c r="K1044" t="str">
        <f ca="1">IF(AND(B1044&gt;='План недели'!$B$4,B1044&lt;'План недели'!$D$4,D1044&lt;&gt;"",G1044&lt;&gt;"Отменён"),COUNTIFS($B$5:B1044,"&gt;="&amp;'План недели'!$B$4,$B$5:B1044,"&lt;"&amp;'План недели'!$D$4,$D$5:D1044,"&lt;&gt;",$G$5:G1044,"&lt;&gt;Отменён"),"")</f>
        <v/>
      </c>
    </row>
    <row r="1045" spans="1:11">
      <c r="A1045" t="str">
        <f>IF(B1045="","","VIS_"&amp;(YEAR(B1045)*10000+MONTH(B1045)*100+DAY(B1045))&amp;"_"&amp;IF(COUNTIF($B$5:B1045,B1045)&lt;10,"00"&amp;COUNTIF($B$5:B1045,B1045),IF(COUNTIF($B$5:B1045,B1045)&lt;100,"0"&amp;COUNTIF($B$5:B1045,B1045),COUNTIF($B$5:B1045,B1045))))</f>
        <v>VIS_20280914_001</v>
      </c>
      <c r="B1045" s="40">
        <v>47010</v>
      </c>
      <c r="C1045" s="47" t="str">
        <f t="shared" si="32"/>
        <v>Чт</v>
      </c>
      <c r="I1045" s="46"/>
      <c r="J1045" s="39">
        <f t="shared" si="33"/>
        <v>47009</v>
      </c>
      <c r="K1045" t="str">
        <f ca="1">IF(AND(B1045&gt;='План недели'!$B$4,B1045&lt;'План недели'!$D$4,D1045&lt;&gt;"",G1045&lt;&gt;"Отменён"),COUNTIFS($B$5:B1045,"&gt;="&amp;'План недели'!$B$4,$B$5:B1045,"&lt;"&amp;'План недели'!$D$4,$D$5:D1045,"&lt;&gt;",$G$5:G1045,"&lt;&gt;Отменён"),"")</f>
        <v/>
      </c>
    </row>
    <row r="1046" spans="1:11">
      <c r="A1046" t="str">
        <f>IF(B1046="","","VIS_"&amp;(YEAR(B1046)*10000+MONTH(B1046)*100+DAY(B1046))&amp;"_"&amp;IF(COUNTIF($B$5:B1046,B1046)&lt;10,"00"&amp;COUNTIF($B$5:B1046,B1046),IF(COUNTIF($B$5:B1046,B1046)&lt;100,"0"&amp;COUNTIF($B$5:B1046,B1046),COUNTIF($B$5:B1046,B1046))))</f>
        <v>VIS_20280915_001</v>
      </c>
      <c r="B1046" s="40">
        <v>47011</v>
      </c>
      <c r="C1046" s="47" t="str">
        <f t="shared" si="32"/>
        <v>Пт</v>
      </c>
      <c r="I1046" s="46"/>
      <c r="J1046" s="39">
        <f t="shared" si="33"/>
        <v>47009</v>
      </c>
      <c r="K1046" t="str">
        <f ca="1">IF(AND(B1046&gt;='План недели'!$B$4,B1046&lt;'План недели'!$D$4,D1046&lt;&gt;"",G1046&lt;&gt;"Отменён"),COUNTIFS($B$5:B1046,"&gt;="&amp;'План недели'!$B$4,$B$5:B1046,"&lt;"&amp;'План недели'!$D$4,$D$5:D1046,"&lt;&gt;",$G$5:G1046,"&lt;&gt;Отменён"),"")</f>
        <v/>
      </c>
    </row>
    <row r="1047" spans="1:11">
      <c r="A1047" t="str">
        <f>IF(B1047="","","VIS_"&amp;(YEAR(B1047)*10000+MONTH(B1047)*100+DAY(B1047))&amp;"_"&amp;IF(COUNTIF($B$5:B1047,B1047)&lt;10,"00"&amp;COUNTIF($B$5:B1047,B1047),IF(COUNTIF($B$5:B1047,B1047)&lt;100,"0"&amp;COUNTIF($B$5:B1047,B1047),COUNTIF($B$5:B1047,B1047))))</f>
        <v>VIS_20280916_001</v>
      </c>
      <c r="B1047" s="42">
        <v>47012</v>
      </c>
      <c r="C1047" s="49" t="str">
        <f t="shared" si="32"/>
        <v>Сб</v>
      </c>
      <c r="I1047" s="46"/>
      <c r="J1047" s="39">
        <f t="shared" si="33"/>
        <v>47009</v>
      </c>
      <c r="K1047" t="str">
        <f ca="1">IF(AND(B1047&gt;='План недели'!$B$4,B1047&lt;'План недели'!$D$4,D1047&lt;&gt;"",G1047&lt;&gt;"Отменён"),COUNTIFS($B$5:B1047,"&gt;="&amp;'План недели'!$B$4,$B$5:B1047,"&lt;"&amp;'План недели'!$D$4,$D$5:D1047,"&lt;&gt;",$G$5:G1047,"&lt;&gt;Отменён"),"")</f>
        <v/>
      </c>
    </row>
    <row r="1048" spans="1:11">
      <c r="A1048" t="str">
        <f>IF(B1048="","","VIS_"&amp;(YEAR(B1048)*10000+MONTH(B1048)*100+DAY(B1048))&amp;"_"&amp;IF(COUNTIF($B$5:B1048,B1048)&lt;10,"00"&amp;COUNTIF($B$5:B1048,B1048),IF(COUNTIF($B$5:B1048,B1048)&lt;100,"0"&amp;COUNTIF($B$5:B1048,B1048),COUNTIF($B$5:B1048,B1048))))</f>
        <v>VIS_20280917_001</v>
      </c>
      <c r="B1048" s="42">
        <v>47013</v>
      </c>
      <c r="C1048" s="49" t="str">
        <f t="shared" si="32"/>
        <v>Вс</v>
      </c>
      <c r="I1048" s="46"/>
      <c r="J1048" s="39">
        <f t="shared" si="33"/>
        <v>47009</v>
      </c>
      <c r="K1048" t="str">
        <f ca="1">IF(AND(B1048&gt;='План недели'!$B$4,B1048&lt;'План недели'!$D$4,D1048&lt;&gt;"",G1048&lt;&gt;"Отменён"),COUNTIFS($B$5:B1048,"&gt;="&amp;'План недели'!$B$4,$B$5:B1048,"&lt;"&amp;'План недели'!$D$4,$D$5:D1048,"&lt;&gt;",$G$5:G1048,"&lt;&gt;Отменён"),"")</f>
        <v/>
      </c>
    </row>
    <row r="1049" spans="1:11">
      <c r="A1049" t="str">
        <f>IF(B1049="","","VIS_"&amp;(YEAR(B1049)*10000+MONTH(B1049)*100+DAY(B1049))&amp;"_"&amp;IF(COUNTIF($B$5:B1049,B1049)&lt;10,"00"&amp;COUNTIF($B$5:B1049,B1049),IF(COUNTIF($B$5:B1049,B1049)&lt;100,"0"&amp;COUNTIF($B$5:B1049,B1049),COUNTIF($B$5:B1049,B1049))))</f>
        <v>VIS_20280918_001</v>
      </c>
      <c r="B1049" s="40">
        <v>47014</v>
      </c>
      <c r="C1049" s="47" t="str">
        <f t="shared" si="32"/>
        <v>Пн</v>
      </c>
      <c r="I1049" s="46"/>
      <c r="J1049" s="39">
        <f t="shared" si="33"/>
        <v>47009</v>
      </c>
      <c r="K1049" t="str">
        <f ca="1">IF(AND(B1049&gt;='План недели'!$B$4,B1049&lt;'План недели'!$D$4,D1049&lt;&gt;"",G1049&lt;&gt;"Отменён"),COUNTIFS($B$5:B1049,"&gt;="&amp;'План недели'!$B$4,$B$5:B1049,"&lt;"&amp;'План недели'!$D$4,$D$5:D1049,"&lt;&gt;",$G$5:G1049,"&lt;&gt;Отменён"),"")</f>
        <v/>
      </c>
    </row>
    <row r="1050" spans="1:11">
      <c r="A1050" t="str">
        <f>IF(B1050="","","VIS_"&amp;(YEAR(B1050)*10000+MONTH(B1050)*100+DAY(B1050))&amp;"_"&amp;IF(COUNTIF($B$5:B1050,B1050)&lt;10,"00"&amp;COUNTIF($B$5:B1050,B1050),IF(COUNTIF($B$5:B1050,B1050)&lt;100,"0"&amp;COUNTIF($B$5:B1050,B1050),COUNTIF($B$5:B1050,B1050))))</f>
        <v>VIS_20280919_001</v>
      </c>
      <c r="B1050" s="40">
        <v>47015</v>
      </c>
      <c r="C1050" s="47" t="str">
        <f t="shared" si="32"/>
        <v>Вт</v>
      </c>
      <c r="I1050" s="46"/>
      <c r="J1050" s="39">
        <f t="shared" si="33"/>
        <v>47009</v>
      </c>
      <c r="K1050" t="str">
        <f ca="1">IF(AND(B1050&gt;='План недели'!$B$4,B1050&lt;'План недели'!$D$4,D1050&lt;&gt;"",G1050&lt;&gt;"Отменён"),COUNTIFS($B$5:B1050,"&gt;="&amp;'План недели'!$B$4,$B$5:B1050,"&lt;"&amp;'План недели'!$D$4,$D$5:D1050,"&lt;&gt;",$G$5:G1050,"&lt;&gt;Отменён"),"")</f>
        <v/>
      </c>
    </row>
    <row r="1051" spans="1:11">
      <c r="A1051" t="str">
        <f>IF(B1051="","","VIS_"&amp;(YEAR(B1051)*10000+MONTH(B1051)*100+DAY(B1051))&amp;"_"&amp;IF(COUNTIF($B$5:B1051,B1051)&lt;10,"00"&amp;COUNTIF($B$5:B1051,B1051),IF(COUNTIF($B$5:B1051,B1051)&lt;100,"0"&amp;COUNTIF($B$5:B1051,B1051),COUNTIF($B$5:B1051,B1051))))</f>
        <v>VIS_20280920_001</v>
      </c>
      <c r="B1051" s="40">
        <v>47016</v>
      </c>
      <c r="C1051" s="47" t="str">
        <f t="shared" si="32"/>
        <v>Ср</v>
      </c>
      <c r="I1051" s="46"/>
      <c r="J1051" s="39">
        <f t="shared" si="33"/>
        <v>47016</v>
      </c>
      <c r="K1051" t="str">
        <f ca="1">IF(AND(B1051&gt;='План недели'!$B$4,B1051&lt;'План недели'!$D$4,D1051&lt;&gt;"",G1051&lt;&gt;"Отменён"),COUNTIFS($B$5:B1051,"&gt;="&amp;'План недели'!$B$4,$B$5:B1051,"&lt;"&amp;'План недели'!$D$4,$D$5:D1051,"&lt;&gt;",$G$5:G1051,"&lt;&gt;Отменён"),"")</f>
        <v/>
      </c>
    </row>
    <row r="1052" spans="1:11">
      <c r="A1052" t="str">
        <f>IF(B1052="","","VIS_"&amp;(YEAR(B1052)*10000+MONTH(B1052)*100+DAY(B1052))&amp;"_"&amp;IF(COUNTIF($B$5:B1052,B1052)&lt;10,"00"&amp;COUNTIF($B$5:B1052,B1052),IF(COUNTIF($B$5:B1052,B1052)&lt;100,"0"&amp;COUNTIF($B$5:B1052,B1052),COUNTIF($B$5:B1052,B1052))))</f>
        <v>VIS_20280921_001</v>
      </c>
      <c r="B1052" s="40">
        <v>47017</v>
      </c>
      <c r="C1052" s="47" t="str">
        <f t="shared" si="32"/>
        <v>Чт</v>
      </c>
      <c r="I1052" s="46"/>
      <c r="J1052" s="39">
        <f t="shared" si="33"/>
        <v>47016</v>
      </c>
      <c r="K1052" t="str">
        <f ca="1">IF(AND(B1052&gt;='План недели'!$B$4,B1052&lt;'План недели'!$D$4,D1052&lt;&gt;"",G1052&lt;&gt;"Отменён"),COUNTIFS($B$5:B1052,"&gt;="&amp;'План недели'!$B$4,$B$5:B1052,"&lt;"&amp;'План недели'!$D$4,$D$5:D1052,"&lt;&gt;",$G$5:G1052,"&lt;&gt;Отменён"),"")</f>
        <v/>
      </c>
    </row>
    <row r="1053" spans="1:11">
      <c r="A1053" t="str">
        <f>IF(B1053="","","VIS_"&amp;(YEAR(B1053)*10000+MONTH(B1053)*100+DAY(B1053))&amp;"_"&amp;IF(COUNTIF($B$5:B1053,B1053)&lt;10,"00"&amp;COUNTIF($B$5:B1053,B1053),IF(COUNTIF($B$5:B1053,B1053)&lt;100,"0"&amp;COUNTIF($B$5:B1053,B1053),COUNTIF($B$5:B1053,B1053))))</f>
        <v>VIS_20280922_001</v>
      </c>
      <c r="B1053" s="40">
        <v>47018</v>
      </c>
      <c r="C1053" s="47" t="str">
        <f t="shared" si="32"/>
        <v>Пт</v>
      </c>
      <c r="I1053" s="46"/>
      <c r="J1053" s="39">
        <f t="shared" si="33"/>
        <v>47016</v>
      </c>
      <c r="K1053" t="str">
        <f ca="1">IF(AND(B1053&gt;='План недели'!$B$4,B1053&lt;'План недели'!$D$4,D1053&lt;&gt;"",G1053&lt;&gt;"Отменён"),COUNTIFS($B$5:B1053,"&gt;="&amp;'План недели'!$B$4,$B$5:B1053,"&lt;"&amp;'План недели'!$D$4,$D$5:D1053,"&lt;&gt;",$G$5:G1053,"&lt;&gt;Отменён"),"")</f>
        <v/>
      </c>
    </row>
    <row r="1054" spans="1:11">
      <c r="A1054" t="str">
        <f>IF(B1054="","","VIS_"&amp;(YEAR(B1054)*10000+MONTH(B1054)*100+DAY(B1054))&amp;"_"&amp;IF(COUNTIF($B$5:B1054,B1054)&lt;10,"00"&amp;COUNTIF($B$5:B1054,B1054),IF(COUNTIF($B$5:B1054,B1054)&lt;100,"0"&amp;COUNTIF($B$5:B1054,B1054),COUNTIF($B$5:B1054,B1054))))</f>
        <v>VIS_20280923_001</v>
      </c>
      <c r="B1054" s="42">
        <v>47019</v>
      </c>
      <c r="C1054" s="49" t="str">
        <f t="shared" si="32"/>
        <v>Сб</v>
      </c>
      <c r="I1054" s="46"/>
      <c r="J1054" s="39">
        <f t="shared" si="33"/>
        <v>47016</v>
      </c>
      <c r="K1054" t="str">
        <f ca="1">IF(AND(B1054&gt;='План недели'!$B$4,B1054&lt;'План недели'!$D$4,D1054&lt;&gt;"",G1054&lt;&gt;"Отменён"),COUNTIFS($B$5:B1054,"&gt;="&amp;'План недели'!$B$4,$B$5:B1054,"&lt;"&amp;'План недели'!$D$4,$D$5:D1054,"&lt;&gt;",$G$5:G1054,"&lt;&gt;Отменён"),"")</f>
        <v/>
      </c>
    </row>
    <row r="1055" spans="1:11">
      <c r="A1055" t="str">
        <f>IF(B1055="","","VIS_"&amp;(YEAR(B1055)*10000+MONTH(B1055)*100+DAY(B1055))&amp;"_"&amp;IF(COUNTIF($B$5:B1055,B1055)&lt;10,"00"&amp;COUNTIF($B$5:B1055,B1055),IF(COUNTIF($B$5:B1055,B1055)&lt;100,"0"&amp;COUNTIF($B$5:B1055,B1055),COUNTIF($B$5:B1055,B1055))))</f>
        <v>VIS_20280924_001</v>
      </c>
      <c r="B1055" s="42">
        <v>47020</v>
      </c>
      <c r="C1055" s="49" t="str">
        <f t="shared" si="32"/>
        <v>Вс</v>
      </c>
      <c r="I1055" s="46"/>
      <c r="J1055" s="39">
        <f t="shared" si="33"/>
        <v>47016</v>
      </c>
      <c r="K1055" t="str">
        <f ca="1">IF(AND(B1055&gt;='План недели'!$B$4,B1055&lt;'План недели'!$D$4,D1055&lt;&gt;"",G1055&lt;&gt;"Отменён"),COUNTIFS($B$5:B1055,"&gt;="&amp;'План недели'!$B$4,$B$5:B1055,"&lt;"&amp;'План недели'!$D$4,$D$5:D1055,"&lt;&gt;",$G$5:G1055,"&lt;&gt;Отменён"),"")</f>
        <v/>
      </c>
    </row>
    <row r="1056" spans="1:11">
      <c r="A1056" t="str">
        <f>IF(B1056="","","VIS_"&amp;(YEAR(B1056)*10000+MONTH(B1056)*100+DAY(B1056))&amp;"_"&amp;IF(COUNTIF($B$5:B1056,B1056)&lt;10,"00"&amp;COUNTIF($B$5:B1056,B1056),IF(COUNTIF($B$5:B1056,B1056)&lt;100,"0"&amp;COUNTIF($B$5:B1056,B1056),COUNTIF($B$5:B1056,B1056))))</f>
        <v>VIS_20280925_001</v>
      </c>
      <c r="B1056" s="40">
        <v>47021</v>
      </c>
      <c r="C1056" s="47" t="str">
        <f t="shared" si="32"/>
        <v>Пн</v>
      </c>
      <c r="I1056" s="46"/>
      <c r="J1056" s="39">
        <f t="shared" si="33"/>
        <v>47016</v>
      </c>
      <c r="K1056" t="str">
        <f ca="1">IF(AND(B1056&gt;='План недели'!$B$4,B1056&lt;'План недели'!$D$4,D1056&lt;&gt;"",G1056&lt;&gt;"Отменён"),COUNTIFS($B$5:B1056,"&gt;="&amp;'План недели'!$B$4,$B$5:B1056,"&lt;"&amp;'План недели'!$D$4,$D$5:D1056,"&lt;&gt;",$G$5:G1056,"&lt;&gt;Отменён"),"")</f>
        <v/>
      </c>
    </row>
    <row r="1057" spans="1:11">
      <c r="A1057" t="str">
        <f>IF(B1057="","","VIS_"&amp;(YEAR(B1057)*10000+MONTH(B1057)*100+DAY(B1057))&amp;"_"&amp;IF(COUNTIF($B$5:B1057,B1057)&lt;10,"00"&amp;COUNTIF($B$5:B1057,B1057),IF(COUNTIF($B$5:B1057,B1057)&lt;100,"0"&amp;COUNTIF($B$5:B1057,B1057),COUNTIF($B$5:B1057,B1057))))</f>
        <v>VIS_20280926_001</v>
      </c>
      <c r="B1057" s="40">
        <v>47022</v>
      </c>
      <c r="C1057" s="47" t="str">
        <f t="shared" si="32"/>
        <v>Вт</v>
      </c>
      <c r="I1057" s="46"/>
      <c r="J1057" s="39">
        <f t="shared" si="33"/>
        <v>47016</v>
      </c>
      <c r="K1057" t="str">
        <f ca="1">IF(AND(B1057&gt;='План недели'!$B$4,B1057&lt;'План недели'!$D$4,D1057&lt;&gt;"",G1057&lt;&gt;"Отменён"),COUNTIFS($B$5:B1057,"&gt;="&amp;'План недели'!$B$4,$B$5:B1057,"&lt;"&amp;'План недели'!$D$4,$D$5:D1057,"&lt;&gt;",$G$5:G1057,"&lt;&gt;Отменён"),"")</f>
        <v/>
      </c>
    </row>
    <row r="1058" spans="1:11">
      <c r="A1058" t="str">
        <f>IF(B1058="","","VIS_"&amp;(YEAR(B1058)*10000+MONTH(B1058)*100+DAY(B1058))&amp;"_"&amp;IF(COUNTIF($B$5:B1058,B1058)&lt;10,"00"&amp;COUNTIF($B$5:B1058,B1058),IF(COUNTIF($B$5:B1058,B1058)&lt;100,"0"&amp;COUNTIF($B$5:B1058,B1058),COUNTIF($B$5:B1058,B1058))))</f>
        <v>VIS_20280927_001</v>
      </c>
      <c r="B1058" s="40">
        <v>47023</v>
      </c>
      <c r="C1058" s="47" t="str">
        <f t="shared" si="32"/>
        <v>Ср</v>
      </c>
      <c r="I1058" s="46"/>
      <c r="J1058" s="39">
        <f t="shared" si="33"/>
        <v>47023</v>
      </c>
      <c r="K1058" t="str">
        <f ca="1">IF(AND(B1058&gt;='План недели'!$B$4,B1058&lt;'План недели'!$D$4,D1058&lt;&gt;"",G1058&lt;&gt;"Отменён"),COUNTIFS($B$5:B1058,"&gt;="&amp;'План недели'!$B$4,$B$5:B1058,"&lt;"&amp;'План недели'!$D$4,$D$5:D1058,"&lt;&gt;",$G$5:G1058,"&lt;&gt;Отменён"),"")</f>
        <v/>
      </c>
    </row>
    <row r="1059" spans="1:11">
      <c r="A1059" t="str">
        <f>IF(B1059="","","VIS_"&amp;(YEAR(B1059)*10000+MONTH(B1059)*100+DAY(B1059))&amp;"_"&amp;IF(COUNTIF($B$5:B1059,B1059)&lt;10,"00"&amp;COUNTIF($B$5:B1059,B1059),IF(COUNTIF($B$5:B1059,B1059)&lt;100,"0"&amp;COUNTIF($B$5:B1059,B1059),COUNTIF($B$5:B1059,B1059))))</f>
        <v>VIS_20280928_001</v>
      </c>
      <c r="B1059" s="40">
        <v>47024</v>
      </c>
      <c r="C1059" s="47" t="str">
        <f t="shared" si="32"/>
        <v>Чт</v>
      </c>
      <c r="I1059" s="46"/>
      <c r="J1059" s="39">
        <f t="shared" si="33"/>
        <v>47023</v>
      </c>
      <c r="K1059" t="str">
        <f ca="1">IF(AND(B1059&gt;='План недели'!$B$4,B1059&lt;'План недели'!$D$4,D1059&lt;&gt;"",G1059&lt;&gt;"Отменён"),COUNTIFS($B$5:B1059,"&gt;="&amp;'План недели'!$B$4,$B$5:B1059,"&lt;"&amp;'План недели'!$D$4,$D$5:D1059,"&lt;&gt;",$G$5:G1059,"&lt;&gt;Отменён"),"")</f>
        <v/>
      </c>
    </row>
    <row r="1060" spans="1:11">
      <c r="A1060" t="str">
        <f>IF(B1060="","","VIS_"&amp;(YEAR(B1060)*10000+MONTH(B1060)*100+DAY(B1060))&amp;"_"&amp;IF(COUNTIF($B$5:B1060,B1060)&lt;10,"00"&amp;COUNTIF($B$5:B1060,B1060),IF(COUNTIF($B$5:B1060,B1060)&lt;100,"0"&amp;COUNTIF($B$5:B1060,B1060),COUNTIF($B$5:B1060,B1060))))</f>
        <v>VIS_20280929_001</v>
      </c>
      <c r="B1060" s="40">
        <v>47025</v>
      </c>
      <c r="C1060" s="47" t="str">
        <f t="shared" si="32"/>
        <v>Пт</v>
      </c>
      <c r="I1060" s="46"/>
      <c r="J1060" s="39">
        <f t="shared" si="33"/>
        <v>47023</v>
      </c>
      <c r="K1060" t="str">
        <f ca="1">IF(AND(B1060&gt;='План недели'!$B$4,B1060&lt;'План недели'!$D$4,D1060&lt;&gt;"",G1060&lt;&gt;"Отменён"),COUNTIFS($B$5:B1060,"&gt;="&amp;'План недели'!$B$4,$B$5:B1060,"&lt;"&amp;'План недели'!$D$4,$D$5:D1060,"&lt;&gt;",$G$5:G1060,"&lt;&gt;Отменён"),"")</f>
        <v/>
      </c>
    </row>
    <row r="1061" spans="1:11">
      <c r="A1061" t="str">
        <f>IF(B1061="","","VIS_"&amp;(YEAR(B1061)*10000+MONTH(B1061)*100+DAY(B1061))&amp;"_"&amp;IF(COUNTIF($B$5:B1061,B1061)&lt;10,"00"&amp;COUNTIF($B$5:B1061,B1061),IF(COUNTIF($B$5:B1061,B1061)&lt;100,"0"&amp;COUNTIF($B$5:B1061,B1061),COUNTIF($B$5:B1061,B1061))))</f>
        <v>VIS_20280930_001</v>
      </c>
      <c r="B1061" s="42">
        <v>47026</v>
      </c>
      <c r="C1061" s="49" t="str">
        <f t="shared" si="32"/>
        <v>Сб</v>
      </c>
      <c r="I1061" s="46"/>
      <c r="J1061" s="39">
        <f t="shared" si="33"/>
        <v>47023</v>
      </c>
      <c r="K1061" t="str">
        <f ca="1">IF(AND(B1061&gt;='План недели'!$B$4,B1061&lt;'План недели'!$D$4,D1061&lt;&gt;"",G1061&lt;&gt;"Отменён"),COUNTIFS($B$5:B1061,"&gt;="&amp;'План недели'!$B$4,$B$5:B1061,"&lt;"&amp;'План недели'!$D$4,$D$5:D1061,"&lt;&gt;",$G$5:G1061,"&lt;&gt;Отменён"),"")</f>
        <v/>
      </c>
    </row>
    <row r="1062" spans="1:11">
      <c r="A1062" t="str">
        <f>IF(B1062="","","VIS_"&amp;(YEAR(B1062)*10000+MONTH(B1062)*100+DAY(B1062))&amp;"_"&amp;IF(COUNTIF($B$5:B1062,B1062)&lt;10,"00"&amp;COUNTIF($B$5:B1062,B1062),IF(COUNTIF($B$5:B1062,B1062)&lt;100,"0"&amp;COUNTIF($B$5:B1062,B1062),COUNTIF($B$5:B1062,B1062))))</f>
        <v>VIS_20281001_001</v>
      </c>
      <c r="B1062" s="42">
        <v>47027</v>
      </c>
      <c r="C1062" s="49" t="str">
        <f t="shared" si="32"/>
        <v>Вс</v>
      </c>
      <c r="I1062" s="46"/>
      <c r="J1062" s="39">
        <f t="shared" si="33"/>
        <v>47023</v>
      </c>
      <c r="K1062" t="str">
        <f ca="1">IF(AND(B1062&gt;='План недели'!$B$4,B1062&lt;'План недели'!$D$4,D1062&lt;&gt;"",G1062&lt;&gt;"Отменён"),COUNTIFS($B$5:B1062,"&gt;="&amp;'План недели'!$B$4,$B$5:B1062,"&lt;"&amp;'План недели'!$D$4,$D$5:D1062,"&lt;&gt;",$G$5:G1062,"&lt;&gt;Отменён"),"")</f>
        <v/>
      </c>
    </row>
    <row r="1063" spans="1:11">
      <c r="A1063" t="str">
        <f>IF(B1063="","","VIS_"&amp;(YEAR(B1063)*10000+MONTH(B1063)*100+DAY(B1063))&amp;"_"&amp;IF(COUNTIF($B$5:B1063,B1063)&lt;10,"00"&amp;COUNTIF($B$5:B1063,B1063),IF(COUNTIF($B$5:B1063,B1063)&lt;100,"0"&amp;COUNTIF($B$5:B1063,B1063),COUNTIF($B$5:B1063,B1063))))</f>
        <v>VIS_20281002_001</v>
      </c>
      <c r="B1063" s="40">
        <v>47028</v>
      </c>
      <c r="C1063" s="47" t="str">
        <f t="shared" si="32"/>
        <v>Пн</v>
      </c>
      <c r="I1063" s="46"/>
      <c r="J1063" s="39">
        <f t="shared" si="33"/>
        <v>47023</v>
      </c>
      <c r="K1063" t="str">
        <f ca="1">IF(AND(B1063&gt;='План недели'!$B$4,B1063&lt;'План недели'!$D$4,D1063&lt;&gt;"",G1063&lt;&gt;"Отменён"),COUNTIFS($B$5:B1063,"&gt;="&amp;'План недели'!$B$4,$B$5:B1063,"&lt;"&amp;'План недели'!$D$4,$D$5:D1063,"&lt;&gt;",$G$5:G1063,"&lt;&gt;Отменён"),"")</f>
        <v/>
      </c>
    </row>
    <row r="1064" spans="1:11">
      <c r="A1064" t="str">
        <f>IF(B1064="","","VIS_"&amp;(YEAR(B1064)*10000+MONTH(B1064)*100+DAY(B1064))&amp;"_"&amp;IF(COUNTIF($B$5:B1064,B1064)&lt;10,"00"&amp;COUNTIF($B$5:B1064,B1064),IF(COUNTIF($B$5:B1064,B1064)&lt;100,"0"&amp;COUNTIF($B$5:B1064,B1064),COUNTIF($B$5:B1064,B1064))))</f>
        <v>VIS_20281003_001</v>
      </c>
      <c r="B1064" s="40">
        <v>47029</v>
      </c>
      <c r="C1064" s="47" t="str">
        <f t="shared" si="32"/>
        <v>Вт</v>
      </c>
      <c r="I1064" s="46"/>
      <c r="J1064" s="39">
        <f t="shared" si="33"/>
        <v>47023</v>
      </c>
      <c r="K1064" t="str">
        <f ca="1">IF(AND(B1064&gt;='План недели'!$B$4,B1064&lt;'План недели'!$D$4,D1064&lt;&gt;"",G1064&lt;&gt;"Отменён"),COUNTIFS($B$5:B1064,"&gt;="&amp;'План недели'!$B$4,$B$5:B1064,"&lt;"&amp;'План недели'!$D$4,$D$5:D1064,"&lt;&gt;",$G$5:G1064,"&lt;&gt;Отменён"),"")</f>
        <v/>
      </c>
    </row>
    <row r="1065" spans="1:11">
      <c r="A1065" t="str">
        <f>IF(B1065="","","VIS_"&amp;(YEAR(B1065)*10000+MONTH(B1065)*100+DAY(B1065))&amp;"_"&amp;IF(COUNTIF($B$5:B1065,B1065)&lt;10,"00"&amp;COUNTIF($B$5:B1065,B1065),IF(COUNTIF($B$5:B1065,B1065)&lt;100,"0"&amp;COUNTIF($B$5:B1065,B1065),COUNTIF($B$5:B1065,B1065))))</f>
        <v>VIS_20281004_001</v>
      </c>
      <c r="B1065" s="40">
        <v>47030</v>
      </c>
      <c r="C1065" s="47" t="str">
        <f t="shared" si="32"/>
        <v>Ср</v>
      </c>
      <c r="I1065" s="46"/>
      <c r="J1065" s="39">
        <f t="shared" si="33"/>
        <v>47030</v>
      </c>
      <c r="K1065" t="str">
        <f ca="1">IF(AND(B1065&gt;='План недели'!$B$4,B1065&lt;'План недели'!$D$4,D1065&lt;&gt;"",G1065&lt;&gt;"Отменён"),COUNTIFS($B$5:B1065,"&gt;="&amp;'План недели'!$B$4,$B$5:B1065,"&lt;"&amp;'План недели'!$D$4,$D$5:D1065,"&lt;&gt;",$G$5:G1065,"&lt;&gt;Отменён"),"")</f>
        <v/>
      </c>
    </row>
    <row r="1066" spans="1:11">
      <c r="A1066" t="str">
        <f>IF(B1066="","","VIS_"&amp;(YEAR(B1066)*10000+MONTH(B1066)*100+DAY(B1066))&amp;"_"&amp;IF(COUNTIF($B$5:B1066,B1066)&lt;10,"00"&amp;COUNTIF($B$5:B1066,B1066),IF(COUNTIF($B$5:B1066,B1066)&lt;100,"0"&amp;COUNTIF($B$5:B1066,B1066),COUNTIF($B$5:B1066,B1066))))</f>
        <v>VIS_20281005_001</v>
      </c>
      <c r="B1066" s="40">
        <v>47031</v>
      </c>
      <c r="C1066" s="47" t="str">
        <f t="shared" si="32"/>
        <v>Чт</v>
      </c>
      <c r="I1066" s="46"/>
      <c r="J1066" s="39">
        <f t="shared" si="33"/>
        <v>47030</v>
      </c>
      <c r="K1066" t="str">
        <f ca="1">IF(AND(B1066&gt;='План недели'!$B$4,B1066&lt;'План недели'!$D$4,D1066&lt;&gt;"",G1066&lt;&gt;"Отменён"),COUNTIFS($B$5:B1066,"&gt;="&amp;'План недели'!$B$4,$B$5:B1066,"&lt;"&amp;'План недели'!$D$4,$D$5:D1066,"&lt;&gt;",$G$5:G1066,"&lt;&gt;Отменён"),"")</f>
        <v/>
      </c>
    </row>
    <row r="1067" spans="1:11">
      <c r="A1067" t="str">
        <f>IF(B1067="","","VIS_"&amp;(YEAR(B1067)*10000+MONTH(B1067)*100+DAY(B1067))&amp;"_"&amp;IF(COUNTIF($B$5:B1067,B1067)&lt;10,"00"&amp;COUNTIF($B$5:B1067,B1067),IF(COUNTIF($B$5:B1067,B1067)&lt;100,"0"&amp;COUNTIF($B$5:B1067,B1067),COUNTIF($B$5:B1067,B1067))))</f>
        <v>VIS_20281006_001</v>
      </c>
      <c r="B1067" s="40">
        <v>47032</v>
      </c>
      <c r="C1067" s="47" t="str">
        <f t="shared" si="32"/>
        <v>Пт</v>
      </c>
      <c r="I1067" s="46"/>
      <c r="J1067" s="39">
        <f t="shared" si="33"/>
        <v>47030</v>
      </c>
      <c r="K1067" t="str">
        <f ca="1">IF(AND(B1067&gt;='План недели'!$B$4,B1067&lt;'План недели'!$D$4,D1067&lt;&gt;"",G1067&lt;&gt;"Отменён"),COUNTIFS($B$5:B1067,"&gt;="&amp;'План недели'!$B$4,$B$5:B1067,"&lt;"&amp;'План недели'!$D$4,$D$5:D1067,"&lt;&gt;",$G$5:G1067,"&lt;&gt;Отменён"),"")</f>
        <v/>
      </c>
    </row>
    <row r="1068" spans="1:11">
      <c r="A1068" t="str">
        <f>IF(B1068="","","VIS_"&amp;(YEAR(B1068)*10000+MONTH(B1068)*100+DAY(B1068))&amp;"_"&amp;IF(COUNTIF($B$5:B1068,B1068)&lt;10,"00"&amp;COUNTIF($B$5:B1068,B1068),IF(COUNTIF($B$5:B1068,B1068)&lt;100,"0"&amp;COUNTIF($B$5:B1068,B1068),COUNTIF($B$5:B1068,B1068))))</f>
        <v>VIS_20281007_001</v>
      </c>
      <c r="B1068" s="42">
        <v>47033</v>
      </c>
      <c r="C1068" s="49" t="str">
        <f t="shared" si="32"/>
        <v>Сб</v>
      </c>
      <c r="I1068" s="46"/>
      <c r="J1068" s="39">
        <f t="shared" si="33"/>
        <v>47030</v>
      </c>
      <c r="K1068" t="str">
        <f ca="1">IF(AND(B1068&gt;='План недели'!$B$4,B1068&lt;'План недели'!$D$4,D1068&lt;&gt;"",G1068&lt;&gt;"Отменён"),COUNTIFS($B$5:B1068,"&gt;="&amp;'План недели'!$B$4,$B$5:B1068,"&lt;"&amp;'План недели'!$D$4,$D$5:D1068,"&lt;&gt;",$G$5:G1068,"&lt;&gt;Отменён"),"")</f>
        <v/>
      </c>
    </row>
    <row r="1069" spans="1:11">
      <c r="A1069" t="str">
        <f>IF(B1069="","","VIS_"&amp;(YEAR(B1069)*10000+MONTH(B1069)*100+DAY(B1069))&amp;"_"&amp;IF(COUNTIF($B$5:B1069,B1069)&lt;10,"00"&amp;COUNTIF($B$5:B1069,B1069),IF(COUNTIF($B$5:B1069,B1069)&lt;100,"0"&amp;COUNTIF($B$5:B1069,B1069),COUNTIF($B$5:B1069,B1069))))</f>
        <v>VIS_20281008_001</v>
      </c>
      <c r="B1069" s="42">
        <v>47034</v>
      </c>
      <c r="C1069" s="49" t="str">
        <f t="shared" si="32"/>
        <v>Вс</v>
      </c>
      <c r="I1069" s="46"/>
      <c r="J1069" s="39">
        <f t="shared" si="33"/>
        <v>47030</v>
      </c>
      <c r="K1069" t="str">
        <f ca="1">IF(AND(B1069&gt;='План недели'!$B$4,B1069&lt;'План недели'!$D$4,D1069&lt;&gt;"",G1069&lt;&gt;"Отменён"),COUNTIFS($B$5:B1069,"&gt;="&amp;'План недели'!$B$4,$B$5:B1069,"&lt;"&amp;'План недели'!$D$4,$D$5:D1069,"&lt;&gt;",$G$5:G1069,"&lt;&gt;Отменён"),"")</f>
        <v/>
      </c>
    </row>
    <row r="1070" spans="1:11">
      <c r="A1070" t="str">
        <f>IF(B1070="","","VIS_"&amp;(YEAR(B1070)*10000+MONTH(B1070)*100+DAY(B1070))&amp;"_"&amp;IF(COUNTIF($B$5:B1070,B1070)&lt;10,"00"&amp;COUNTIF($B$5:B1070,B1070),IF(COUNTIF($B$5:B1070,B1070)&lt;100,"0"&amp;COUNTIF($B$5:B1070,B1070),COUNTIF($B$5:B1070,B1070))))</f>
        <v>VIS_20281009_001</v>
      </c>
      <c r="B1070" s="40">
        <v>47035</v>
      </c>
      <c r="C1070" s="47" t="str">
        <f t="shared" si="32"/>
        <v>Пн</v>
      </c>
      <c r="I1070" s="46"/>
      <c r="J1070" s="39">
        <f t="shared" si="33"/>
        <v>47030</v>
      </c>
      <c r="K1070" t="str">
        <f ca="1">IF(AND(B1070&gt;='План недели'!$B$4,B1070&lt;'План недели'!$D$4,D1070&lt;&gt;"",G1070&lt;&gt;"Отменён"),COUNTIFS($B$5:B1070,"&gt;="&amp;'План недели'!$B$4,$B$5:B1070,"&lt;"&amp;'План недели'!$D$4,$D$5:D1070,"&lt;&gt;",$G$5:G1070,"&lt;&gt;Отменён"),"")</f>
        <v/>
      </c>
    </row>
    <row r="1071" spans="1:11">
      <c r="A1071" t="str">
        <f>IF(B1071="","","VIS_"&amp;(YEAR(B1071)*10000+MONTH(B1071)*100+DAY(B1071))&amp;"_"&amp;IF(COUNTIF($B$5:B1071,B1071)&lt;10,"00"&amp;COUNTIF($B$5:B1071,B1071),IF(COUNTIF($B$5:B1071,B1071)&lt;100,"0"&amp;COUNTIF($B$5:B1071,B1071),COUNTIF($B$5:B1071,B1071))))</f>
        <v>VIS_20281010_001</v>
      </c>
      <c r="B1071" s="40">
        <v>47036</v>
      </c>
      <c r="C1071" s="47" t="str">
        <f t="shared" si="32"/>
        <v>Вт</v>
      </c>
      <c r="I1071" s="46"/>
      <c r="J1071" s="39">
        <f t="shared" si="33"/>
        <v>47030</v>
      </c>
      <c r="K1071" t="str">
        <f ca="1">IF(AND(B1071&gt;='План недели'!$B$4,B1071&lt;'План недели'!$D$4,D1071&lt;&gt;"",G1071&lt;&gt;"Отменён"),COUNTIFS($B$5:B1071,"&gt;="&amp;'План недели'!$B$4,$B$5:B1071,"&lt;"&amp;'План недели'!$D$4,$D$5:D1071,"&lt;&gt;",$G$5:G1071,"&lt;&gt;Отменён"),"")</f>
        <v/>
      </c>
    </row>
    <row r="1072" spans="1:11">
      <c r="A1072" t="str">
        <f>IF(B1072="","","VIS_"&amp;(YEAR(B1072)*10000+MONTH(B1072)*100+DAY(B1072))&amp;"_"&amp;IF(COUNTIF($B$5:B1072,B1072)&lt;10,"00"&amp;COUNTIF($B$5:B1072,B1072),IF(COUNTIF($B$5:B1072,B1072)&lt;100,"0"&amp;COUNTIF($B$5:B1072,B1072),COUNTIF($B$5:B1072,B1072))))</f>
        <v>VIS_20281011_001</v>
      </c>
      <c r="B1072" s="40">
        <v>47037</v>
      </c>
      <c r="C1072" s="47" t="str">
        <f t="shared" si="32"/>
        <v>Ср</v>
      </c>
      <c r="I1072" s="46"/>
      <c r="J1072" s="39">
        <f t="shared" si="33"/>
        <v>47037</v>
      </c>
      <c r="K1072" t="str">
        <f ca="1">IF(AND(B1072&gt;='План недели'!$B$4,B1072&lt;'План недели'!$D$4,D1072&lt;&gt;"",G1072&lt;&gt;"Отменён"),COUNTIFS($B$5:B1072,"&gt;="&amp;'План недели'!$B$4,$B$5:B1072,"&lt;"&amp;'План недели'!$D$4,$D$5:D1072,"&lt;&gt;",$G$5:G1072,"&lt;&gt;Отменён"),"")</f>
        <v/>
      </c>
    </row>
    <row r="1073" spans="1:11">
      <c r="A1073" t="str">
        <f>IF(B1073="","","VIS_"&amp;(YEAR(B1073)*10000+MONTH(B1073)*100+DAY(B1073))&amp;"_"&amp;IF(COUNTIF($B$5:B1073,B1073)&lt;10,"00"&amp;COUNTIF($B$5:B1073,B1073),IF(COUNTIF($B$5:B1073,B1073)&lt;100,"0"&amp;COUNTIF($B$5:B1073,B1073),COUNTIF($B$5:B1073,B1073))))</f>
        <v>VIS_20281012_001</v>
      </c>
      <c r="B1073" s="40">
        <v>47038</v>
      </c>
      <c r="C1073" s="47" t="str">
        <f t="shared" si="32"/>
        <v>Чт</v>
      </c>
      <c r="I1073" s="46"/>
      <c r="J1073" s="39">
        <f t="shared" si="33"/>
        <v>47037</v>
      </c>
      <c r="K1073" t="str">
        <f ca="1">IF(AND(B1073&gt;='План недели'!$B$4,B1073&lt;'План недели'!$D$4,D1073&lt;&gt;"",G1073&lt;&gt;"Отменён"),COUNTIFS($B$5:B1073,"&gt;="&amp;'План недели'!$B$4,$B$5:B1073,"&lt;"&amp;'План недели'!$D$4,$D$5:D1073,"&lt;&gt;",$G$5:G1073,"&lt;&gt;Отменён"),"")</f>
        <v/>
      </c>
    </row>
    <row r="1074" spans="1:11">
      <c r="A1074" t="str">
        <f>IF(B1074="","","VIS_"&amp;(YEAR(B1074)*10000+MONTH(B1074)*100+DAY(B1074))&amp;"_"&amp;IF(COUNTIF($B$5:B1074,B1074)&lt;10,"00"&amp;COUNTIF($B$5:B1074,B1074),IF(COUNTIF($B$5:B1074,B1074)&lt;100,"0"&amp;COUNTIF($B$5:B1074,B1074),COUNTIF($B$5:B1074,B1074))))</f>
        <v>VIS_20281013_001</v>
      </c>
      <c r="B1074" s="40">
        <v>47039</v>
      </c>
      <c r="C1074" s="47" t="str">
        <f t="shared" si="32"/>
        <v>Пт</v>
      </c>
      <c r="I1074" s="46"/>
      <c r="J1074" s="39">
        <f t="shared" si="33"/>
        <v>47037</v>
      </c>
      <c r="K1074" t="str">
        <f ca="1">IF(AND(B1074&gt;='План недели'!$B$4,B1074&lt;'План недели'!$D$4,D1074&lt;&gt;"",G1074&lt;&gt;"Отменён"),COUNTIFS($B$5:B1074,"&gt;="&amp;'План недели'!$B$4,$B$5:B1074,"&lt;"&amp;'План недели'!$D$4,$D$5:D1074,"&lt;&gt;",$G$5:G1074,"&lt;&gt;Отменён"),"")</f>
        <v/>
      </c>
    </row>
    <row r="1075" spans="1:11">
      <c r="A1075" t="str">
        <f>IF(B1075="","","VIS_"&amp;(YEAR(B1075)*10000+MONTH(B1075)*100+DAY(B1075))&amp;"_"&amp;IF(COUNTIF($B$5:B1075,B1075)&lt;10,"00"&amp;COUNTIF($B$5:B1075,B1075),IF(COUNTIF($B$5:B1075,B1075)&lt;100,"0"&amp;COUNTIF($B$5:B1075,B1075),COUNTIF($B$5:B1075,B1075))))</f>
        <v>VIS_20281014_001</v>
      </c>
      <c r="B1075" s="42">
        <v>47040</v>
      </c>
      <c r="C1075" s="49" t="str">
        <f t="shared" si="32"/>
        <v>Сб</v>
      </c>
      <c r="I1075" s="46"/>
      <c r="J1075" s="39">
        <f t="shared" si="33"/>
        <v>47037</v>
      </c>
      <c r="K1075" t="str">
        <f ca="1">IF(AND(B1075&gt;='План недели'!$B$4,B1075&lt;'План недели'!$D$4,D1075&lt;&gt;"",G1075&lt;&gt;"Отменён"),COUNTIFS($B$5:B1075,"&gt;="&amp;'План недели'!$B$4,$B$5:B1075,"&lt;"&amp;'План недели'!$D$4,$D$5:D1075,"&lt;&gt;",$G$5:G1075,"&lt;&gt;Отменён"),"")</f>
        <v/>
      </c>
    </row>
    <row r="1076" spans="1:11">
      <c r="A1076" t="str">
        <f>IF(B1076="","","VIS_"&amp;(YEAR(B1076)*10000+MONTH(B1076)*100+DAY(B1076))&amp;"_"&amp;IF(COUNTIF($B$5:B1076,B1076)&lt;10,"00"&amp;COUNTIF($B$5:B1076,B1076),IF(COUNTIF($B$5:B1076,B1076)&lt;100,"0"&amp;COUNTIF($B$5:B1076,B1076),COUNTIF($B$5:B1076,B1076))))</f>
        <v>VIS_20281015_001</v>
      </c>
      <c r="B1076" s="42">
        <v>47041</v>
      </c>
      <c r="C1076" s="49" t="str">
        <f t="shared" si="32"/>
        <v>Вс</v>
      </c>
      <c r="I1076" s="46"/>
      <c r="J1076" s="39">
        <f t="shared" si="33"/>
        <v>47037</v>
      </c>
      <c r="K1076" t="str">
        <f ca="1">IF(AND(B1076&gt;='План недели'!$B$4,B1076&lt;'План недели'!$D$4,D1076&lt;&gt;"",G1076&lt;&gt;"Отменён"),COUNTIFS($B$5:B1076,"&gt;="&amp;'План недели'!$B$4,$B$5:B1076,"&lt;"&amp;'План недели'!$D$4,$D$5:D1076,"&lt;&gt;",$G$5:G1076,"&lt;&gt;Отменён"),"")</f>
        <v/>
      </c>
    </row>
    <row r="1077" spans="1:11">
      <c r="A1077" t="str">
        <f>IF(B1077="","","VIS_"&amp;(YEAR(B1077)*10000+MONTH(B1077)*100+DAY(B1077))&amp;"_"&amp;IF(COUNTIF($B$5:B1077,B1077)&lt;10,"00"&amp;COUNTIF($B$5:B1077,B1077),IF(COUNTIF($B$5:B1077,B1077)&lt;100,"0"&amp;COUNTIF($B$5:B1077,B1077),COUNTIF($B$5:B1077,B1077))))</f>
        <v>VIS_20281016_001</v>
      </c>
      <c r="B1077" s="40">
        <v>47042</v>
      </c>
      <c r="C1077" s="47" t="str">
        <f t="shared" si="32"/>
        <v>Пн</v>
      </c>
      <c r="I1077" s="46"/>
      <c r="J1077" s="39">
        <f t="shared" si="33"/>
        <v>47037</v>
      </c>
      <c r="K1077" t="str">
        <f ca="1">IF(AND(B1077&gt;='План недели'!$B$4,B1077&lt;'План недели'!$D$4,D1077&lt;&gt;"",G1077&lt;&gt;"Отменён"),COUNTIFS($B$5:B1077,"&gt;="&amp;'План недели'!$B$4,$B$5:B1077,"&lt;"&amp;'План недели'!$D$4,$D$5:D1077,"&lt;&gt;",$G$5:G1077,"&lt;&gt;Отменён"),"")</f>
        <v/>
      </c>
    </row>
    <row r="1078" spans="1:11">
      <c r="A1078" t="str">
        <f>IF(B1078="","","VIS_"&amp;(YEAR(B1078)*10000+MONTH(B1078)*100+DAY(B1078))&amp;"_"&amp;IF(COUNTIF($B$5:B1078,B1078)&lt;10,"00"&amp;COUNTIF($B$5:B1078,B1078),IF(COUNTIF($B$5:B1078,B1078)&lt;100,"0"&amp;COUNTIF($B$5:B1078,B1078),COUNTIF($B$5:B1078,B1078))))</f>
        <v>VIS_20281017_001</v>
      </c>
      <c r="B1078" s="40">
        <v>47043</v>
      </c>
      <c r="C1078" s="47" t="str">
        <f t="shared" si="32"/>
        <v>Вт</v>
      </c>
      <c r="I1078" s="46"/>
      <c r="J1078" s="39">
        <f t="shared" si="33"/>
        <v>47037</v>
      </c>
      <c r="K1078" t="str">
        <f ca="1">IF(AND(B1078&gt;='План недели'!$B$4,B1078&lt;'План недели'!$D$4,D1078&lt;&gt;"",G1078&lt;&gt;"Отменён"),COUNTIFS($B$5:B1078,"&gt;="&amp;'План недели'!$B$4,$B$5:B1078,"&lt;"&amp;'План недели'!$D$4,$D$5:D1078,"&lt;&gt;",$G$5:G1078,"&lt;&gt;Отменён"),"")</f>
        <v/>
      </c>
    </row>
    <row r="1079" spans="1:11">
      <c r="A1079" t="str">
        <f>IF(B1079="","","VIS_"&amp;(YEAR(B1079)*10000+MONTH(B1079)*100+DAY(B1079))&amp;"_"&amp;IF(COUNTIF($B$5:B1079,B1079)&lt;10,"00"&amp;COUNTIF($B$5:B1079,B1079),IF(COUNTIF($B$5:B1079,B1079)&lt;100,"0"&amp;COUNTIF($B$5:B1079,B1079),COUNTIF($B$5:B1079,B1079))))</f>
        <v>VIS_20281018_001</v>
      </c>
      <c r="B1079" s="40">
        <v>47044</v>
      </c>
      <c r="C1079" s="47" t="str">
        <f t="shared" si="32"/>
        <v>Ср</v>
      </c>
      <c r="I1079" s="46"/>
      <c r="J1079" s="39">
        <f t="shared" si="33"/>
        <v>47044</v>
      </c>
      <c r="K1079" t="str">
        <f ca="1">IF(AND(B1079&gt;='План недели'!$B$4,B1079&lt;'План недели'!$D$4,D1079&lt;&gt;"",G1079&lt;&gt;"Отменён"),COUNTIFS($B$5:B1079,"&gt;="&amp;'План недели'!$B$4,$B$5:B1079,"&lt;"&amp;'План недели'!$D$4,$D$5:D1079,"&lt;&gt;",$G$5:G1079,"&lt;&gt;Отменён"),"")</f>
        <v/>
      </c>
    </row>
    <row r="1080" spans="1:11">
      <c r="A1080" t="str">
        <f>IF(B1080="","","VIS_"&amp;(YEAR(B1080)*10000+MONTH(B1080)*100+DAY(B1080))&amp;"_"&amp;IF(COUNTIF($B$5:B1080,B1080)&lt;10,"00"&amp;COUNTIF($B$5:B1080,B1080),IF(COUNTIF($B$5:B1080,B1080)&lt;100,"0"&amp;COUNTIF($B$5:B1080,B1080),COUNTIF($B$5:B1080,B1080))))</f>
        <v>VIS_20281019_001</v>
      </c>
      <c r="B1080" s="40">
        <v>47045</v>
      </c>
      <c r="C1080" s="47" t="str">
        <f t="shared" si="32"/>
        <v>Чт</v>
      </c>
      <c r="I1080" s="46"/>
      <c r="J1080" s="39">
        <f t="shared" si="33"/>
        <v>47044</v>
      </c>
      <c r="K1080" t="str">
        <f ca="1">IF(AND(B1080&gt;='План недели'!$B$4,B1080&lt;'План недели'!$D$4,D1080&lt;&gt;"",G1080&lt;&gt;"Отменён"),COUNTIFS($B$5:B1080,"&gt;="&amp;'План недели'!$B$4,$B$5:B1080,"&lt;"&amp;'План недели'!$D$4,$D$5:D1080,"&lt;&gt;",$G$5:G1080,"&lt;&gt;Отменён"),"")</f>
        <v/>
      </c>
    </row>
    <row r="1081" spans="1:11">
      <c r="A1081" t="str">
        <f>IF(B1081="","","VIS_"&amp;(YEAR(B1081)*10000+MONTH(B1081)*100+DAY(B1081))&amp;"_"&amp;IF(COUNTIF($B$5:B1081,B1081)&lt;10,"00"&amp;COUNTIF($B$5:B1081,B1081),IF(COUNTIF($B$5:B1081,B1081)&lt;100,"0"&amp;COUNTIF($B$5:B1081,B1081),COUNTIF($B$5:B1081,B1081))))</f>
        <v>VIS_20281020_001</v>
      </c>
      <c r="B1081" s="40">
        <v>47046</v>
      </c>
      <c r="C1081" s="47" t="str">
        <f t="shared" si="32"/>
        <v>Пт</v>
      </c>
      <c r="I1081" s="46"/>
      <c r="J1081" s="39">
        <f t="shared" si="33"/>
        <v>47044</v>
      </c>
      <c r="K1081" t="str">
        <f ca="1">IF(AND(B1081&gt;='План недели'!$B$4,B1081&lt;'План недели'!$D$4,D1081&lt;&gt;"",G1081&lt;&gt;"Отменён"),COUNTIFS($B$5:B1081,"&gt;="&amp;'План недели'!$B$4,$B$5:B1081,"&lt;"&amp;'План недели'!$D$4,$D$5:D1081,"&lt;&gt;",$G$5:G1081,"&lt;&gt;Отменён"),"")</f>
        <v/>
      </c>
    </row>
    <row r="1082" spans="1:11">
      <c r="A1082" t="str">
        <f>IF(B1082="","","VIS_"&amp;(YEAR(B1082)*10000+MONTH(B1082)*100+DAY(B1082))&amp;"_"&amp;IF(COUNTIF($B$5:B1082,B1082)&lt;10,"00"&amp;COUNTIF($B$5:B1082,B1082),IF(COUNTIF($B$5:B1082,B1082)&lt;100,"0"&amp;COUNTIF($B$5:B1082,B1082),COUNTIF($B$5:B1082,B1082))))</f>
        <v>VIS_20281021_001</v>
      </c>
      <c r="B1082" s="42">
        <v>47047</v>
      </c>
      <c r="C1082" s="49" t="str">
        <f t="shared" si="32"/>
        <v>Сб</v>
      </c>
      <c r="I1082" s="46"/>
      <c r="J1082" s="39">
        <f t="shared" si="33"/>
        <v>47044</v>
      </c>
      <c r="K1082" t="str">
        <f ca="1">IF(AND(B1082&gt;='План недели'!$B$4,B1082&lt;'План недели'!$D$4,D1082&lt;&gt;"",G1082&lt;&gt;"Отменён"),COUNTIFS($B$5:B1082,"&gt;="&amp;'План недели'!$B$4,$B$5:B1082,"&lt;"&amp;'План недели'!$D$4,$D$5:D1082,"&lt;&gt;",$G$5:G1082,"&lt;&gt;Отменён"),"")</f>
        <v/>
      </c>
    </row>
    <row r="1083" spans="1:11">
      <c r="A1083" t="str">
        <f>IF(B1083="","","VIS_"&amp;(YEAR(B1083)*10000+MONTH(B1083)*100+DAY(B1083))&amp;"_"&amp;IF(COUNTIF($B$5:B1083,B1083)&lt;10,"00"&amp;COUNTIF($B$5:B1083,B1083),IF(COUNTIF($B$5:B1083,B1083)&lt;100,"0"&amp;COUNTIF($B$5:B1083,B1083),COUNTIF($B$5:B1083,B1083))))</f>
        <v>VIS_20281022_001</v>
      </c>
      <c r="B1083" s="42">
        <v>47048</v>
      </c>
      <c r="C1083" s="49" t="str">
        <f t="shared" si="32"/>
        <v>Вс</v>
      </c>
      <c r="I1083" s="46"/>
      <c r="J1083" s="39">
        <f t="shared" si="33"/>
        <v>47044</v>
      </c>
      <c r="K1083" t="str">
        <f ca="1">IF(AND(B1083&gt;='План недели'!$B$4,B1083&lt;'План недели'!$D$4,D1083&lt;&gt;"",G1083&lt;&gt;"Отменён"),COUNTIFS($B$5:B1083,"&gt;="&amp;'План недели'!$B$4,$B$5:B1083,"&lt;"&amp;'План недели'!$D$4,$D$5:D1083,"&lt;&gt;",$G$5:G1083,"&lt;&gt;Отменён"),"")</f>
        <v/>
      </c>
    </row>
    <row r="1084" spans="1:11">
      <c r="A1084" t="str">
        <f>IF(B1084="","","VIS_"&amp;(YEAR(B1084)*10000+MONTH(B1084)*100+DAY(B1084))&amp;"_"&amp;IF(COUNTIF($B$5:B1084,B1084)&lt;10,"00"&amp;COUNTIF($B$5:B1084,B1084),IF(COUNTIF($B$5:B1084,B1084)&lt;100,"0"&amp;COUNTIF($B$5:B1084,B1084),COUNTIF($B$5:B1084,B1084))))</f>
        <v>VIS_20281023_001</v>
      </c>
      <c r="B1084" s="40">
        <v>47049</v>
      </c>
      <c r="C1084" s="47" t="str">
        <f t="shared" si="32"/>
        <v>Пн</v>
      </c>
      <c r="I1084" s="46"/>
      <c r="J1084" s="39">
        <f t="shared" si="33"/>
        <v>47044</v>
      </c>
      <c r="K1084" t="str">
        <f ca="1">IF(AND(B1084&gt;='План недели'!$B$4,B1084&lt;'План недели'!$D$4,D1084&lt;&gt;"",G1084&lt;&gt;"Отменён"),COUNTIFS($B$5:B1084,"&gt;="&amp;'План недели'!$B$4,$B$5:B1084,"&lt;"&amp;'План недели'!$D$4,$D$5:D1084,"&lt;&gt;",$G$5:G1084,"&lt;&gt;Отменён"),"")</f>
        <v/>
      </c>
    </row>
    <row r="1085" spans="1:11">
      <c r="A1085" t="str">
        <f>IF(B1085="","","VIS_"&amp;(YEAR(B1085)*10000+MONTH(B1085)*100+DAY(B1085))&amp;"_"&amp;IF(COUNTIF($B$5:B1085,B1085)&lt;10,"00"&amp;COUNTIF($B$5:B1085,B1085),IF(COUNTIF($B$5:B1085,B1085)&lt;100,"0"&amp;COUNTIF($B$5:B1085,B1085),COUNTIF($B$5:B1085,B1085))))</f>
        <v>VIS_20281024_001</v>
      </c>
      <c r="B1085" s="40">
        <v>47050</v>
      </c>
      <c r="C1085" s="47" t="str">
        <f t="shared" si="32"/>
        <v>Вт</v>
      </c>
      <c r="I1085" s="46"/>
      <c r="J1085" s="39">
        <f t="shared" si="33"/>
        <v>47044</v>
      </c>
      <c r="K1085" t="str">
        <f ca="1">IF(AND(B1085&gt;='План недели'!$B$4,B1085&lt;'План недели'!$D$4,D1085&lt;&gt;"",G1085&lt;&gt;"Отменён"),COUNTIFS($B$5:B1085,"&gt;="&amp;'План недели'!$B$4,$B$5:B1085,"&lt;"&amp;'План недели'!$D$4,$D$5:D1085,"&lt;&gt;",$G$5:G1085,"&lt;&gt;Отменён"),"")</f>
        <v/>
      </c>
    </row>
    <row r="1086" spans="1:11">
      <c r="A1086" t="str">
        <f>IF(B1086="","","VIS_"&amp;(YEAR(B1086)*10000+MONTH(B1086)*100+DAY(B1086))&amp;"_"&amp;IF(COUNTIF($B$5:B1086,B1086)&lt;10,"00"&amp;COUNTIF($B$5:B1086,B1086),IF(COUNTIF($B$5:B1086,B1086)&lt;100,"0"&amp;COUNTIF($B$5:B1086,B1086),COUNTIF($B$5:B1086,B1086))))</f>
        <v>VIS_20281025_001</v>
      </c>
      <c r="B1086" s="40">
        <v>47051</v>
      </c>
      <c r="C1086" s="47" t="str">
        <f t="shared" si="32"/>
        <v>Ср</v>
      </c>
      <c r="I1086" s="46"/>
      <c r="J1086" s="39">
        <f t="shared" si="33"/>
        <v>47051</v>
      </c>
      <c r="K1086" t="str">
        <f ca="1">IF(AND(B1086&gt;='План недели'!$B$4,B1086&lt;'План недели'!$D$4,D1086&lt;&gt;"",G1086&lt;&gt;"Отменён"),COUNTIFS($B$5:B1086,"&gt;="&amp;'План недели'!$B$4,$B$5:B1086,"&lt;"&amp;'План недели'!$D$4,$D$5:D1086,"&lt;&gt;",$G$5:G1086,"&lt;&gt;Отменён"),"")</f>
        <v/>
      </c>
    </row>
    <row r="1087" spans="1:11">
      <c r="A1087" t="str">
        <f>IF(B1087="","","VIS_"&amp;(YEAR(B1087)*10000+MONTH(B1087)*100+DAY(B1087))&amp;"_"&amp;IF(COUNTIF($B$5:B1087,B1087)&lt;10,"00"&amp;COUNTIF($B$5:B1087,B1087),IF(COUNTIF($B$5:B1087,B1087)&lt;100,"0"&amp;COUNTIF($B$5:B1087,B1087),COUNTIF($B$5:B1087,B1087))))</f>
        <v>VIS_20281026_001</v>
      </c>
      <c r="B1087" s="40">
        <v>47052</v>
      </c>
      <c r="C1087" s="47" t="str">
        <f t="shared" si="32"/>
        <v>Чт</v>
      </c>
      <c r="I1087" s="46"/>
      <c r="J1087" s="39">
        <f t="shared" si="33"/>
        <v>47051</v>
      </c>
      <c r="K1087" t="str">
        <f ca="1">IF(AND(B1087&gt;='План недели'!$B$4,B1087&lt;'План недели'!$D$4,D1087&lt;&gt;"",G1087&lt;&gt;"Отменён"),COUNTIFS($B$5:B1087,"&gt;="&amp;'План недели'!$B$4,$B$5:B1087,"&lt;"&amp;'План недели'!$D$4,$D$5:D1087,"&lt;&gt;",$G$5:G1087,"&lt;&gt;Отменён"),"")</f>
        <v/>
      </c>
    </row>
    <row r="1088" spans="1:11">
      <c r="A1088" t="str">
        <f>IF(B1088="","","VIS_"&amp;(YEAR(B1088)*10000+MONTH(B1088)*100+DAY(B1088))&amp;"_"&amp;IF(COUNTIF($B$5:B1088,B1088)&lt;10,"00"&amp;COUNTIF($B$5:B1088,B1088),IF(COUNTIF($B$5:B1088,B1088)&lt;100,"0"&amp;COUNTIF($B$5:B1088,B1088),COUNTIF($B$5:B1088,B1088))))</f>
        <v>VIS_20281027_001</v>
      </c>
      <c r="B1088" s="40">
        <v>47053</v>
      </c>
      <c r="C1088" s="47" t="str">
        <f t="shared" si="32"/>
        <v>Пт</v>
      </c>
      <c r="I1088" s="46"/>
      <c r="J1088" s="39">
        <f t="shared" si="33"/>
        <v>47051</v>
      </c>
      <c r="K1088" t="str">
        <f ca="1">IF(AND(B1088&gt;='План недели'!$B$4,B1088&lt;'План недели'!$D$4,D1088&lt;&gt;"",G1088&lt;&gt;"Отменён"),COUNTIFS($B$5:B1088,"&gt;="&amp;'План недели'!$B$4,$B$5:B1088,"&lt;"&amp;'План недели'!$D$4,$D$5:D1088,"&lt;&gt;",$G$5:G1088,"&lt;&gt;Отменён"),"")</f>
        <v/>
      </c>
    </row>
    <row r="1089" spans="1:11">
      <c r="A1089" t="str">
        <f>IF(B1089="","","VIS_"&amp;(YEAR(B1089)*10000+MONTH(B1089)*100+DAY(B1089))&amp;"_"&amp;IF(COUNTIF($B$5:B1089,B1089)&lt;10,"00"&amp;COUNTIF($B$5:B1089,B1089),IF(COUNTIF($B$5:B1089,B1089)&lt;100,"0"&amp;COUNTIF($B$5:B1089,B1089),COUNTIF($B$5:B1089,B1089))))</f>
        <v>VIS_20281028_001</v>
      </c>
      <c r="B1089" s="42">
        <v>47054</v>
      </c>
      <c r="C1089" s="49" t="str">
        <f t="shared" si="32"/>
        <v>Сб</v>
      </c>
      <c r="I1089" s="46"/>
      <c r="J1089" s="39">
        <f t="shared" si="33"/>
        <v>47051</v>
      </c>
      <c r="K1089" t="str">
        <f ca="1">IF(AND(B1089&gt;='План недели'!$B$4,B1089&lt;'План недели'!$D$4,D1089&lt;&gt;"",G1089&lt;&gt;"Отменён"),COUNTIFS($B$5:B1089,"&gt;="&amp;'План недели'!$B$4,$B$5:B1089,"&lt;"&amp;'План недели'!$D$4,$D$5:D1089,"&lt;&gt;",$G$5:G1089,"&lt;&gt;Отменён"),"")</f>
        <v/>
      </c>
    </row>
    <row r="1090" spans="1:11">
      <c r="A1090" t="str">
        <f>IF(B1090="","","VIS_"&amp;(YEAR(B1090)*10000+MONTH(B1090)*100+DAY(B1090))&amp;"_"&amp;IF(COUNTIF($B$5:B1090,B1090)&lt;10,"00"&amp;COUNTIF($B$5:B1090,B1090),IF(COUNTIF($B$5:B1090,B1090)&lt;100,"0"&amp;COUNTIF($B$5:B1090,B1090),COUNTIF($B$5:B1090,B1090))))</f>
        <v>VIS_20281029_001</v>
      </c>
      <c r="B1090" s="42">
        <v>47055</v>
      </c>
      <c r="C1090" s="49" t="str">
        <f t="shared" si="32"/>
        <v>Вс</v>
      </c>
      <c r="I1090" s="46"/>
      <c r="J1090" s="39">
        <f t="shared" si="33"/>
        <v>47051</v>
      </c>
      <c r="K1090" t="str">
        <f ca="1">IF(AND(B1090&gt;='План недели'!$B$4,B1090&lt;'План недели'!$D$4,D1090&lt;&gt;"",G1090&lt;&gt;"Отменён"),COUNTIFS($B$5:B1090,"&gt;="&amp;'План недели'!$B$4,$B$5:B1090,"&lt;"&amp;'План недели'!$D$4,$D$5:D1090,"&lt;&gt;",$G$5:G1090,"&lt;&gt;Отменён"),"")</f>
        <v/>
      </c>
    </row>
    <row r="1091" spans="1:11">
      <c r="A1091" t="str">
        <f>IF(B1091="","","VIS_"&amp;(YEAR(B1091)*10000+MONTH(B1091)*100+DAY(B1091))&amp;"_"&amp;IF(COUNTIF($B$5:B1091,B1091)&lt;10,"00"&amp;COUNTIF($B$5:B1091,B1091),IF(COUNTIF($B$5:B1091,B1091)&lt;100,"0"&amp;COUNTIF($B$5:B1091,B1091),COUNTIF($B$5:B1091,B1091))))</f>
        <v>VIS_20281030_001</v>
      </c>
      <c r="B1091" s="40">
        <v>47056</v>
      </c>
      <c r="C1091" s="47" t="str">
        <f t="shared" si="32"/>
        <v>Пн</v>
      </c>
      <c r="I1091" s="46"/>
      <c r="J1091" s="39">
        <f t="shared" si="33"/>
        <v>47051</v>
      </c>
      <c r="K1091" t="str">
        <f ca="1">IF(AND(B1091&gt;='План недели'!$B$4,B1091&lt;'План недели'!$D$4,D1091&lt;&gt;"",G1091&lt;&gt;"Отменён"),COUNTIFS($B$5:B1091,"&gt;="&amp;'План недели'!$B$4,$B$5:B1091,"&lt;"&amp;'План недели'!$D$4,$D$5:D1091,"&lt;&gt;",$G$5:G1091,"&lt;&gt;Отменён"),"")</f>
        <v/>
      </c>
    </row>
    <row r="1092" spans="1:11">
      <c r="A1092" t="str">
        <f>IF(B1092="","","VIS_"&amp;(YEAR(B1092)*10000+MONTH(B1092)*100+DAY(B1092))&amp;"_"&amp;IF(COUNTIF($B$5:B1092,B1092)&lt;10,"00"&amp;COUNTIF($B$5:B1092,B1092),IF(COUNTIF($B$5:B1092,B1092)&lt;100,"0"&amp;COUNTIF($B$5:B1092,B1092),COUNTIF($B$5:B1092,B1092))))</f>
        <v>VIS_20281031_001</v>
      </c>
      <c r="B1092" s="40">
        <v>47057</v>
      </c>
      <c r="C1092" s="47" t="str">
        <f t="shared" si="32"/>
        <v>Вт</v>
      </c>
      <c r="I1092" s="46"/>
      <c r="J1092" s="39">
        <f t="shared" si="33"/>
        <v>47051</v>
      </c>
      <c r="K1092" t="str">
        <f ca="1">IF(AND(B1092&gt;='План недели'!$B$4,B1092&lt;'План недели'!$D$4,D1092&lt;&gt;"",G1092&lt;&gt;"Отменён"),COUNTIFS($B$5:B1092,"&gt;="&amp;'План недели'!$B$4,$B$5:B1092,"&lt;"&amp;'План недели'!$D$4,$D$5:D1092,"&lt;&gt;",$G$5:G1092,"&lt;&gt;Отменён"),"")</f>
        <v/>
      </c>
    </row>
    <row r="1093" spans="1:11">
      <c r="A1093" t="str">
        <f>IF(B1093="","","VIS_"&amp;(YEAR(B1093)*10000+MONTH(B1093)*100+DAY(B1093))&amp;"_"&amp;IF(COUNTIF($B$5:B1093,B1093)&lt;10,"00"&amp;COUNTIF($B$5:B1093,B1093),IF(COUNTIF($B$5:B1093,B1093)&lt;100,"0"&amp;COUNTIF($B$5:B1093,B1093),COUNTIF($B$5:B1093,B1093))))</f>
        <v>VIS_20281101_001</v>
      </c>
      <c r="B1093" s="40">
        <v>47058</v>
      </c>
      <c r="C1093" s="47" t="str">
        <f t="shared" ref="C1093:C1156" si="34">IF(B1093="","",CHOOSE(WEEKDAY(B1093,2),"Пн","Вт","Ср","Чт","Пт","Сб","Вс"))</f>
        <v>Ср</v>
      </c>
      <c r="I1093" s="46"/>
      <c r="J1093" s="39">
        <f t="shared" ref="J1093:J1156" si="35">IF(B1093="","",B1093-MOD(WEEKDAY(B1093,2)-3,7))</f>
        <v>47058</v>
      </c>
      <c r="K1093" t="str">
        <f ca="1">IF(AND(B1093&gt;='План недели'!$B$4,B1093&lt;'План недели'!$D$4,D1093&lt;&gt;"",G1093&lt;&gt;"Отменён"),COUNTIFS($B$5:B1093,"&gt;="&amp;'План недели'!$B$4,$B$5:B1093,"&lt;"&amp;'План недели'!$D$4,$D$5:D1093,"&lt;&gt;",$G$5:G1093,"&lt;&gt;Отменён"),"")</f>
        <v/>
      </c>
    </row>
    <row r="1094" spans="1:11">
      <c r="A1094" t="str">
        <f>IF(B1094="","","VIS_"&amp;(YEAR(B1094)*10000+MONTH(B1094)*100+DAY(B1094))&amp;"_"&amp;IF(COUNTIF($B$5:B1094,B1094)&lt;10,"00"&amp;COUNTIF($B$5:B1094,B1094),IF(COUNTIF($B$5:B1094,B1094)&lt;100,"0"&amp;COUNTIF($B$5:B1094,B1094),COUNTIF($B$5:B1094,B1094))))</f>
        <v>VIS_20281102_001</v>
      </c>
      <c r="B1094" s="40">
        <v>47059</v>
      </c>
      <c r="C1094" s="47" t="str">
        <f t="shared" si="34"/>
        <v>Чт</v>
      </c>
      <c r="I1094" s="46"/>
      <c r="J1094" s="39">
        <f t="shared" si="35"/>
        <v>47058</v>
      </c>
      <c r="K1094" t="str">
        <f ca="1">IF(AND(B1094&gt;='План недели'!$B$4,B1094&lt;'План недели'!$D$4,D1094&lt;&gt;"",G1094&lt;&gt;"Отменён"),COUNTIFS($B$5:B1094,"&gt;="&amp;'План недели'!$B$4,$B$5:B1094,"&lt;"&amp;'План недели'!$D$4,$D$5:D1094,"&lt;&gt;",$G$5:G1094,"&lt;&gt;Отменён"),"")</f>
        <v/>
      </c>
    </row>
    <row r="1095" spans="1:11">
      <c r="A1095" t="str">
        <f>IF(B1095="","","VIS_"&amp;(YEAR(B1095)*10000+MONTH(B1095)*100+DAY(B1095))&amp;"_"&amp;IF(COUNTIF($B$5:B1095,B1095)&lt;10,"00"&amp;COUNTIF($B$5:B1095,B1095),IF(COUNTIF($B$5:B1095,B1095)&lt;100,"0"&amp;COUNTIF($B$5:B1095,B1095),COUNTIF($B$5:B1095,B1095))))</f>
        <v>VIS_20281103_001</v>
      </c>
      <c r="B1095" s="40">
        <v>47060</v>
      </c>
      <c r="C1095" s="47" t="str">
        <f t="shared" si="34"/>
        <v>Пт</v>
      </c>
      <c r="I1095" s="46"/>
      <c r="J1095" s="39">
        <f t="shared" si="35"/>
        <v>47058</v>
      </c>
      <c r="K1095" t="str">
        <f ca="1">IF(AND(B1095&gt;='План недели'!$B$4,B1095&lt;'План недели'!$D$4,D1095&lt;&gt;"",G1095&lt;&gt;"Отменён"),COUNTIFS($B$5:B1095,"&gt;="&amp;'План недели'!$B$4,$B$5:B1095,"&lt;"&amp;'План недели'!$D$4,$D$5:D1095,"&lt;&gt;",$G$5:G1095,"&lt;&gt;Отменён"),"")</f>
        <v/>
      </c>
    </row>
    <row r="1096" spans="1:11">
      <c r="A1096" t="str">
        <f>IF(B1096="","","VIS_"&amp;(YEAR(B1096)*10000+MONTH(B1096)*100+DAY(B1096))&amp;"_"&amp;IF(COUNTIF($B$5:B1096,B1096)&lt;10,"00"&amp;COUNTIF($B$5:B1096,B1096),IF(COUNTIF($B$5:B1096,B1096)&lt;100,"0"&amp;COUNTIF($B$5:B1096,B1096),COUNTIF($B$5:B1096,B1096))))</f>
        <v>VIS_20281104_001</v>
      </c>
      <c r="B1096" s="42">
        <v>47061</v>
      </c>
      <c r="C1096" s="49" t="str">
        <f t="shared" si="34"/>
        <v>Сб</v>
      </c>
      <c r="I1096" s="46"/>
      <c r="J1096" s="39">
        <f t="shared" si="35"/>
        <v>47058</v>
      </c>
      <c r="K1096" t="str">
        <f ca="1">IF(AND(B1096&gt;='План недели'!$B$4,B1096&lt;'План недели'!$D$4,D1096&lt;&gt;"",G1096&lt;&gt;"Отменён"),COUNTIFS($B$5:B1096,"&gt;="&amp;'План недели'!$B$4,$B$5:B1096,"&lt;"&amp;'План недели'!$D$4,$D$5:D1096,"&lt;&gt;",$G$5:G1096,"&lt;&gt;Отменён"),"")</f>
        <v/>
      </c>
    </row>
    <row r="1097" spans="1:11">
      <c r="A1097" t="str">
        <f>IF(B1097="","","VIS_"&amp;(YEAR(B1097)*10000+MONTH(B1097)*100+DAY(B1097))&amp;"_"&amp;IF(COUNTIF($B$5:B1097,B1097)&lt;10,"00"&amp;COUNTIF($B$5:B1097,B1097),IF(COUNTIF($B$5:B1097,B1097)&lt;100,"0"&amp;COUNTIF($B$5:B1097,B1097),COUNTIF($B$5:B1097,B1097))))</f>
        <v>VIS_20281105_001</v>
      </c>
      <c r="B1097" s="42">
        <v>47062</v>
      </c>
      <c r="C1097" s="49" t="str">
        <f t="shared" si="34"/>
        <v>Вс</v>
      </c>
      <c r="I1097" s="46"/>
      <c r="J1097" s="39">
        <f t="shared" si="35"/>
        <v>47058</v>
      </c>
      <c r="K1097" t="str">
        <f ca="1">IF(AND(B1097&gt;='План недели'!$B$4,B1097&lt;'План недели'!$D$4,D1097&lt;&gt;"",G1097&lt;&gt;"Отменён"),COUNTIFS($B$5:B1097,"&gt;="&amp;'План недели'!$B$4,$B$5:B1097,"&lt;"&amp;'План недели'!$D$4,$D$5:D1097,"&lt;&gt;",$G$5:G1097,"&lt;&gt;Отменён"),"")</f>
        <v/>
      </c>
    </row>
    <row r="1098" spans="1:11">
      <c r="A1098" t="str">
        <f>IF(B1098="","","VIS_"&amp;(YEAR(B1098)*10000+MONTH(B1098)*100+DAY(B1098))&amp;"_"&amp;IF(COUNTIF($B$5:B1098,B1098)&lt;10,"00"&amp;COUNTIF($B$5:B1098,B1098),IF(COUNTIF($B$5:B1098,B1098)&lt;100,"0"&amp;COUNTIF($B$5:B1098,B1098),COUNTIF($B$5:B1098,B1098))))</f>
        <v>VIS_20281106_001</v>
      </c>
      <c r="B1098" s="40">
        <v>47063</v>
      </c>
      <c r="C1098" s="47" t="str">
        <f t="shared" si="34"/>
        <v>Пн</v>
      </c>
      <c r="I1098" s="46"/>
      <c r="J1098" s="39">
        <f t="shared" si="35"/>
        <v>47058</v>
      </c>
      <c r="K1098" t="str">
        <f ca="1">IF(AND(B1098&gt;='План недели'!$B$4,B1098&lt;'План недели'!$D$4,D1098&lt;&gt;"",G1098&lt;&gt;"Отменён"),COUNTIFS($B$5:B1098,"&gt;="&amp;'План недели'!$B$4,$B$5:B1098,"&lt;"&amp;'План недели'!$D$4,$D$5:D1098,"&lt;&gt;",$G$5:G1098,"&lt;&gt;Отменён"),"")</f>
        <v/>
      </c>
    </row>
    <row r="1099" spans="1:11">
      <c r="A1099" t="str">
        <f>IF(B1099="","","VIS_"&amp;(YEAR(B1099)*10000+MONTH(B1099)*100+DAY(B1099))&amp;"_"&amp;IF(COUNTIF($B$5:B1099,B1099)&lt;10,"00"&amp;COUNTIF($B$5:B1099,B1099),IF(COUNTIF($B$5:B1099,B1099)&lt;100,"0"&amp;COUNTIF($B$5:B1099,B1099),COUNTIF($B$5:B1099,B1099))))</f>
        <v>VIS_20281107_001</v>
      </c>
      <c r="B1099" s="40">
        <v>47064</v>
      </c>
      <c r="C1099" s="47" t="str">
        <f t="shared" si="34"/>
        <v>Вт</v>
      </c>
      <c r="I1099" s="46"/>
      <c r="J1099" s="39">
        <f t="shared" si="35"/>
        <v>47058</v>
      </c>
      <c r="K1099" t="str">
        <f ca="1">IF(AND(B1099&gt;='План недели'!$B$4,B1099&lt;'План недели'!$D$4,D1099&lt;&gt;"",G1099&lt;&gt;"Отменён"),COUNTIFS($B$5:B1099,"&gt;="&amp;'План недели'!$B$4,$B$5:B1099,"&lt;"&amp;'План недели'!$D$4,$D$5:D1099,"&lt;&gt;",$G$5:G1099,"&lt;&gt;Отменён"),"")</f>
        <v/>
      </c>
    </row>
    <row r="1100" spans="1:11">
      <c r="A1100" t="str">
        <f>IF(B1100="","","VIS_"&amp;(YEAR(B1100)*10000+MONTH(B1100)*100+DAY(B1100))&amp;"_"&amp;IF(COUNTIF($B$5:B1100,B1100)&lt;10,"00"&amp;COUNTIF($B$5:B1100,B1100),IF(COUNTIF($B$5:B1100,B1100)&lt;100,"0"&amp;COUNTIF($B$5:B1100,B1100),COUNTIF($B$5:B1100,B1100))))</f>
        <v>VIS_20281108_001</v>
      </c>
      <c r="B1100" s="40">
        <v>47065</v>
      </c>
      <c r="C1100" s="47" t="str">
        <f t="shared" si="34"/>
        <v>Ср</v>
      </c>
      <c r="I1100" s="46"/>
      <c r="J1100" s="39">
        <f t="shared" si="35"/>
        <v>47065</v>
      </c>
      <c r="K1100" t="str">
        <f ca="1">IF(AND(B1100&gt;='План недели'!$B$4,B1100&lt;'План недели'!$D$4,D1100&lt;&gt;"",G1100&lt;&gt;"Отменён"),COUNTIFS($B$5:B1100,"&gt;="&amp;'План недели'!$B$4,$B$5:B1100,"&lt;"&amp;'План недели'!$D$4,$D$5:D1100,"&lt;&gt;",$G$5:G1100,"&lt;&gt;Отменён"),"")</f>
        <v/>
      </c>
    </row>
    <row r="1101" spans="1:11">
      <c r="A1101" t="str">
        <f>IF(B1101="","","VIS_"&amp;(YEAR(B1101)*10000+MONTH(B1101)*100+DAY(B1101))&amp;"_"&amp;IF(COUNTIF($B$5:B1101,B1101)&lt;10,"00"&amp;COUNTIF($B$5:B1101,B1101),IF(COUNTIF($B$5:B1101,B1101)&lt;100,"0"&amp;COUNTIF($B$5:B1101,B1101),COUNTIF($B$5:B1101,B1101))))</f>
        <v>VIS_20281109_001</v>
      </c>
      <c r="B1101" s="40">
        <v>47066</v>
      </c>
      <c r="C1101" s="47" t="str">
        <f t="shared" si="34"/>
        <v>Чт</v>
      </c>
      <c r="I1101" s="46"/>
      <c r="J1101" s="39">
        <f t="shared" si="35"/>
        <v>47065</v>
      </c>
      <c r="K1101" t="str">
        <f ca="1">IF(AND(B1101&gt;='План недели'!$B$4,B1101&lt;'План недели'!$D$4,D1101&lt;&gt;"",G1101&lt;&gt;"Отменён"),COUNTIFS($B$5:B1101,"&gt;="&amp;'План недели'!$B$4,$B$5:B1101,"&lt;"&amp;'План недели'!$D$4,$D$5:D1101,"&lt;&gt;",$G$5:G1101,"&lt;&gt;Отменён"),"")</f>
        <v/>
      </c>
    </row>
    <row r="1102" spans="1:11">
      <c r="A1102" t="str">
        <f>IF(B1102="","","VIS_"&amp;(YEAR(B1102)*10000+MONTH(B1102)*100+DAY(B1102))&amp;"_"&amp;IF(COUNTIF($B$5:B1102,B1102)&lt;10,"00"&amp;COUNTIF($B$5:B1102,B1102),IF(COUNTIF($B$5:B1102,B1102)&lt;100,"0"&amp;COUNTIF($B$5:B1102,B1102),COUNTIF($B$5:B1102,B1102))))</f>
        <v>VIS_20281110_001</v>
      </c>
      <c r="B1102" s="40">
        <v>47067</v>
      </c>
      <c r="C1102" s="47" t="str">
        <f t="shared" si="34"/>
        <v>Пт</v>
      </c>
      <c r="I1102" s="46"/>
      <c r="J1102" s="39">
        <f t="shared" si="35"/>
        <v>47065</v>
      </c>
      <c r="K1102" t="str">
        <f ca="1">IF(AND(B1102&gt;='План недели'!$B$4,B1102&lt;'План недели'!$D$4,D1102&lt;&gt;"",G1102&lt;&gt;"Отменён"),COUNTIFS($B$5:B1102,"&gt;="&amp;'План недели'!$B$4,$B$5:B1102,"&lt;"&amp;'План недели'!$D$4,$D$5:D1102,"&lt;&gt;",$G$5:G1102,"&lt;&gt;Отменён"),"")</f>
        <v/>
      </c>
    </row>
    <row r="1103" spans="1:11">
      <c r="A1103" t="str">
        <f>IF(B1103="","","VIS_"&amp;(YEAR(B1103)*10000+MONTH(B1103)*100+DAY(B1103))&amp;"_"&amp;IF(COUNTIF($B$5:B1103,B1103)&lt;10,"00"&amp;COUNTIF($B$5:B1103,B1103),IF(COUNTIF($B$5:B1103,B1103)&lt;100,"0"&amp;COUNTIF($B$5:B1103,B1103),COUNTIF($B$5:B1103,B1103))))</f>
        <v>VIS_20281111_001</v>
      </c>
      <c r="B1103" s="42">
        <v>47068</v>
      </c>
      <c r="C1103" s="49" t="str">
        <f t="shared" si="34"/>
        <v>Сб</v>
      </c>
      <c r="I1103" s="46"/>
      <c r="J1103" s="39">
        <f t="shared" si="35"/>
        <v>47065</v>
      </c>
      <c r="K1103" t="str">
        <f ca="1">IF(AND(B1103&gt;='План недели'!$B$4,B1103&lt;'План недели'!$D$4,D1103&lt;&gt;"",G1103&lt;&gt;"Отменён"),COUNTIFS($B$5:B1103,"&gt;="&amp;'План недели'!$B$4,$B$5:B1103,"&lt;"&amp;'План недели'!$D$4,$D$5:D1103,"&lt;&gt;",$G$5:G1103,"&lt;&gt;Отменён"),"")</f>
        <v/>
      </c>
    </row>
    <row r="1104" spans="1:11">
      <c r="A1104" t="str">
        <f>IF(B1104="","","VIS_"&amp;(YEAR(B1104)*10000+MONTH(B1104)*100+DAY(B1104))&amp;"_"&amp;IF(COUNTIF($B$5:B1104,B1104)&lt;10,"00"&amp;COUNTIF($B$5:B1104,B1104),IF(COUNTIF($B$5:B1104,B1104)&lt;100,"0"&amp;COUNTIF($B$5:B1104,B1104),COUNTIF($B$5:B1104,B1104))))</f>
        <v>VIS_20281112_001</v>
      </c>
      <c r="B1104" s="42">
        <v>47069</v>
      </c>
      <c r="C1104" s="49" t="str">
        <f t="shared" si="34"/>
        <v>Вс</v>
      </c>
      <c r="I1104" s="46"/>
      <c r="J1104" s="39">
        <f t="shared" si="35"/>
        <v>47065</v>
      </c>
      <c r="K1104" t="str">
        <f ca="1">IF(AND(B1104&gt;='План недели'!$B$4,B1104&lt;'План недели'!$D$4,D1104&lt;&gt;"",G1104&lt;&gt;"Отменён"),COUNTIFS($B$5:B1104,"&gt;="&amp;'План недели'!$B$4,$B$5:B1104,"&lt;"&amp;'План недели'!$D$4,$D$5:D1104,"&lt;&gt;",$G$5:G1104,"&lt;&gt;Отменён"),"")</f>
        <v/>
      </c>
    </row>
    <row r="1105" spans="1:11">
      <c r="A1105" t="str">
        <f>IF(B1105="","","VIS_"&amp;(YEAR(B1105)*10000+MONTH(B1105)*100+DAY(B1105))&amp;"_"&amp;IF(COUNTIF($B$5:B1105,B1105)&lt;10,"00"&amp;COUNTIF($B$5:B1105,B1105),IF(COUNTIF($B$5:B1105,B1105)&lt;100,"0"&amp;COUNTIF($B$5:B1105,B1105),COUNTIF($B$5:B1105,B1105))))</f>
        <v>VIS_20281113_001</v>
      </c>
      <c r="B1105" s="40">
        <v>47070</v>
      </c>
      <c r="C1105" s="47" t="str">
        <f t="shared" si="34"/>
        <v>Пн</v>
      </c>
      <c r="I1105" s="46"/>
      <c r="J1105" s="39">
        <f t="shared" si="35"/>
        <v>47065</v>
      </c>
      <c r="K1105" t="str">
        <f ca="1">IF(AND(B1105&gt;='План недели'!$B$4,B1105&lt;'План недели'!$D$4,D1105&lt;&gt;"",G1105&lt;&gt;"Отменён"),COUNTIFS($B$5:B1105,"&gt;="&amp;'План недели'!$B$4,$B$5:B1105,"&lt;"&amp;'План недели'!$D$4,$D$5:D1105,"&lt;&gt;",$G$5:G1105,"&lt;&gt;Отменён"),"")</f>
        <v/>
      </c>
    </row>
    <row r="1106" spans="1:11">
      <c r="A1106" t="str">
        <f>IF(B1106="","","VIS_"&amp;(YEAR(B1106)*10000+MONTH(B1106)*100+DAY(B1106))&amp;"_"&amp;IF(COUNTIF($B$5:B1106,B1106)&lt;10,"00"&amp;COUNTIF($B$5:B1106,B1106),IF(COUNTIF($B$5:B1106,B1106)&lt;100,"0"&amp;COUNTIF($B$5:B1106,B1106),COUNTIF($B$5:B1106,B1106))))</f>
        <v>VIS_20281114_001</v>
      </c>
      <c r="B1106" s="40">
        <v>47071</v>
      </c>
      <c r="C1106" s="47" t="str">
        <f t="shared" si="34"/>
        <v>Вт</v>
      </c>
      <c r="I1106" s="46"/>
      <c r="J1106" s="39">
        <f t="shared" si="35"/>
        <v>47065</v>
      </c>
      <c r="K1106" t="str">
        <f ca="1">IF(AND(B1106&gt;='План недели'!$B$4,B1106&lt;'План недели'!$D$4,D1106&lt;&gt;"",G1106&lt;&gt;"Отменён"),COUNTIFS($B$5:B1106,"&gt;="&amp;'План недели'!$B$4,$B$5:B1106,"&lt;"&amp;'План недели'!$D$4,$D$5:D1106,"&lt;&gt;",$G$5:G1106,"&lt;&gt;Отменён"),"")</f>
        <v/>
      </c>
    </row>
    <row r="1107" spans="1:11">
      <c r="A1107" t="str">
        <f>IF(B1107="","","VIS_"&amp;(YEAR(B1107)*10000+MONTH(B1107)*100+DAY(B1107))&amp;"_"&amp;IF(COUNTIF($B$5:B1107,B1107)&lt;10,"00"&amp;COUNTIF($B$5:B1107,B1107),IF(COUNTIF($B$5:B1107,B1107)&lt;100,"0"&amp;COUNTIF($B$5:B1107,B1107),COUNTIF($B$5:B1107,B1107))))</f>
        <v>VIS_20281115_001</v>
      </c>
      <c r="B1107" s="40">
        <v>47072</v>
      </c>
      <c r="C1107" s="47" t="str">
        <f t="shared" si="34"/>
        <v>Ср</v>
      </c>
      <c r="I1107" s="46"/>
      <c r="J1107" s="39">
        <f t="shared" si="35"/>
        <v>47072</v>
      </c>
      <c r="K1107" t="str">
        <f ca="1">IF(AND(B1107&gt;='План недели'!$B$4,B1107&lt;'План недели'!$D$4,D1107&lt;&gt;"",G1107&lt;&gt;"Отменён"),COUNTIFS($B$5:B1107,"&gt;="&amp;'План недели'!$B$4,$B$5:B1107,"&lt;"&amp;'План недели'!$D$4,$D$5:D1107,"&lt;&gt;",$G$5:G1107,"&lt;&gt;Отменён"),"")</f>
        <v/>
      </c>
    </row>
    <row r="1108" spans="1:11">
      <c r="A1108" t="str">
        <f>IF(B1108="","","VIS_"&amp;(YEAR(B1108)*10000+MONTH(B1108)*100+DAY(B1108))&amp;"_"&amp;IF(COUNTIF($B$5:B1108,B1108)&lt;10,"00"&amp;COUNTIF($B$5:B1108,B1108),IF(COUNTIF($B$5:B1108,B1108)&lt;100,"0"&amp;COUNTIF($B$5:B1108,B1108),COUNTIF($B$5:B1108,B1108))))</f>
        <v>VIS_20281116_001</v>
      </c>
      <c r="B1108" s="40">
        <v>47073</v>
      </c>
      <c r="C1108" s="47" t="str">
        <f t="shared" si="34"/>
        <v>Чт</v>
      </c>
      <c r="I1108" s="46"/>
      <c r="J1108" s="39">
        <f t="shared" si="35"/>
        <v>47072</v>
      </c>
      <c r="K1108" t="str">
        <f ca="1">IF(AND(B1108&gt;='План недели'!$B$4,B1108&lt;'План недели'!$D$4,D1108&lt;&gt;"",G1108&lt;&gt;"Отменён"),COUNTIFS($B$5:B1108,"&gt;="&amp;'План недели'!$B$4,$B$5:B1108,"&lt;"&amp;'План недели'!$D$4,$D$5:D1108,"&lt;&gt;",$G$5:G1108,"&lt;&gt;Отменён"),"")</f>
        <v/>
      </c>
    </row>
    <row r="1109" spans="1:11">
      <c r="A1109" t="str">
        <f>IF(B1109="","","VIS_"&amp;(YEAR(B1109)*10000+MONTH(B1109)*100+DAY(B1109))&amp;"_"&amp;IF(COUNTIF($B$5:B1109,B1109)&lt;10,"00"&amp;COUNTIF($B$5:B1109,B1109),IF(COUNTIF($B$5:B1109,B1109)&lt;100,"0"&amp;COUNTIF($B$5:B1109,B1109),COUNTIF($B$5:B1109,B1109))))</f>
        <v>VIS_20281117_001</v>
      </c>
      <c r="B1109" s="40">
        <v>47074</v>
      </c>
      <c r="C1109" s="47" t="str">
        <f t="shared" si="34"/>
        <v>Пт</v>
      </c>
      <c r="I1109" s="46"/>
      <c r="J1109" s="39">
        <f t="shared" si="35"/>
        <v>47072</v>
      </c>
      <c r="K1109" t="str">
        <f ca="1">IF(AND(B1109&gt;='План недели'!$B$4,B1109&lt;'План недели'!$D$4,D1109&lt;&gt;"",G1109&lt;&gt;"Отменён"),COUNTIFS($B$5:B1109,"&gt;="&amp;'План недели'!$B$4,$B$5:B1109,"&lt;"&amp;'План недели'!$D$4,$D$5:D1109,"&lt;&gt;",$G$5:G1109,"&lt;&gt;Отменён"),"")</f>
        <v/>
      </c>
    </row>
    <row r="1110" spans="1:11">
      <c r="A1110" t="str">
        <f>IF(B1110="","","VIS_"&amp;(YEAR(B1110)*10000+MONTH(B1110)*100+DAY(B1110))&amp;"_"&amp;IF(COUNTIF($B$5:B1110,B1110)&lt;10,"00"&amp;COUNTIF($B$5:B1110,B1110),IF(COUNTIF($B$5:B1110,B1110)&lt;100,"0"&amp;COUNTIF($B$5:B1110,B1110),COUNTIF($B$5:B1110,B1110))))</f>
        <v>VIS_20281118_001</v>
      </c>
      <c r="B1110" s="42">
        <v>47075</v>
      </c>
      <c r="C1110" s="49" t="str">
        <f t="shared" si="34"/>
        <v>Сб</v>
      </c>
      <c r="I1110" s="46"/>
      <c r="J1110" s="39">
        <f t="shared" si="35"/>
        <v>47072</v>
      </c>
      <c r="K1110" t="str">
        <f ca="1">IF(AND(B1110&gt;='План недели'!$B$4,B1110&lt;'План недели'!$D$4,D1110&lt;&gt;"",G1110&lt;&gt;"Отменён"),COUNTIFS($B$5:B1110,"&gt;="&amp;'План недели'!$B$4,$B$5:B1110,"&lt;"&amp;'План недели'!$D$4,$D$5:D1110,"&lt;&gt;",$G$5:G1110,"&lt;&gt;Отменён"),"")</f>
        <v/>
      </c>
    </row>
    <row r="1111" spans="1:11">
      <c r="A1111" t="str">
        <f>IF(B1111="","","VIS_"&amp;(YEAR(B1111)*10000+MONTH(B1111)*100+DAY(B1111))&amp;"_"&amp;IF(COUNTIF($B$5:B1111,B1111)&lt;10,"00"&amp;COUNTIF($B$5:B1111,B1111),IF(COUNTIF($B$5:B1111,B1111)&lt;100,"0"&amp;COUNTIF($B$5:B1111,B1111),COUNTIF($B$5:B1111,B1111))))</f>
        <v>VIS_20281119_001</v>
      </c>
      <c r="B1111" s="42">
        <v>47076</v>
      </c>
      <c r="C1111" s="49" t="str">
        <f t="shared" si="34"/>
        <v>Вс</v>
      </c>
      <c r="I1111" s="46"/>
      <c r="J1111" s="39">
        <f t="shared" si="35"/>
        <v>47072</v>
      </c>
      <c r="K1111" t="str">
        <f ca="1">IF(AND(B1111&gt;='План недели'!$B$4,B1111&lt;'План недели'!$D$4,D1111&lt;&gt;"",G1111&lt;&gt;"Отменён"),COUNTIFS($B$5:B1111,"&gt;="&amp;'План недели'!$B$4,$B$5:B1111,"&lt;"&amp;'План недели'!$D$4,$D$5:D1111,"&lt;&gt;",$G$5:G1111,"&lt;&gt;Отменён"),"")</f>
        <v/>
      </c>
    </row>
    <row r="1112" spans="1:11">
      <c r="A1112" t="str">
        <f>IF(B1112="","","VIS_"&amp;(YEAR(B1112)*10000+MONTH(B1112)*100+DAY(B1112))&amp;"_"&amp;IF(COUNTIF($B$5:B1112,B1112)&lt;10,"00"&amp;COUNTIF($B$5:B1112,B1112),IF(COUNTIF($B$5:B1112,B1112)&lt;100,"0"&amp;COUNTIF($B$5:B1112,B1112),COUNTIF($B$5:B1112,B1112))))</f>
        <v>VIS_20281120_001</v>
      </c>
      <c r="B1112" s="40">
        <v>47077</v>
      </c>
      <c r="C1112" s="47" t="str">
        <f t="shared" si="34"/>
        <v>Пн</v>
      </c>
      <c r="I1112" s="46"/>
      <c r="J1112" s="39">
        <f t="shared" si="35"/>
        <v>47072</v>
      </c>
      <c r="K1112" t="str">
        <f ca="1">IF(AND(B1112&gt;='План недели'!$B$4,B1112&lt;'План недели'!$D$4,D1112&lt;&gt;"",G1112&lt;&gt;"Отменён"),COUNTIFS($B$5:B1112,"&gt;="&amp;'План недели'!$B$4,$B$5:B1112,"&lt;"&amp;'План недели'!$D$4,$D$5:D1112,"&lt;&gt;",$G$5:G1112,"&lt;&gt;Отменён"),"")</f>
        <v/>
      </c>
    </row>
    <row r="1113" spans="1:11">
      <c r="A1113" t="str">
        <f>IF(B1113="","","VIS_"&amp;(YEAR(B1113)*10000+MONTH(B1113)*100+DAY(B1113))&amp;"_"&amp;IF(COUNTIF($B$5:B1113,B1113)&lt;10,"00"&amp;COUNTIF($B$5:B1113,B1113),IF(COUNTIF($B$5:B1113,B1113)&lt;100,"0"&amp;COUNTIF($B$5:B1113,B1113),COUNTIF($B$5:B1113,B1113))))</f>
        <v>VIS_20281121_001</v>
      </c>
      <c r="B1113" s="40">
        <v>47078</v>
      </c>
      <c r="C1113" s="47" t="str">
        <f t="shared" si="34"/>
        <v>Вт</v>
      </c>
      <c r="I1113" s="46"/>
      <c r="J1113" s="39">
        <f t="shared" si="35"/>
        <v>47072</v>
      </c>
      <c r="K1113" t="str">
        <f ca="1">IF(AND(B1113&gt;='План недели'!$B$4,B1113&lt;'План недели'!$D$4,D1113&lt;&gt;"",G1113&lt;&gt;"Отменён"),COUNTIFS($B$5:B1113,"&gt;="&amp;'План недели'!$B$4,$B$5:B1113,"&lt;"&amp;'План недели'!$D$4,$D$5:D1113,"&lt;&gt;",$G$5:G1113,"&lt;&gt;Отменён"),"")</f>
        <v/>
      </c>
    </row>
    <row r="1114" spans="1:11">
      <c r="A1114" t="str">
        <f>IF(B1114="","","VIS_"&amp;(YEAR(B1114)*10000+MONTH(B1114)*100+DAY(B1114))&amp;"_"&amp;IF(COUNTIF($B$5:B1114,B1114)&lt;10,"00"&amp;COUNTIF($B$5:B1114,B1114),IF(COUNTIF($B$5:B1114,B1114)&lt;100,"0"&amp;COUNTIF($B$5:B1114,B1114),COUNTIF($B$5:B1114,B1114))))</f>
        <v>VIS_20281122_001</v>
      </c>
      <c r="B1114" s="40">
        <v>47079</v>
      </c>
      <c r="C1114" s="47" t="str">
        <f t="shared" si="34"/>
        <v>Ср</v>
      </c>
      <c r="I1114" s="46"/>
      <c r="J1114" s="39">
        <f t="shared" si="35"/>
        <v>47079</v>
      </c>
      <c r="K1114" t="str">
        <f ca="1">IF(AND(B1114&gt;='План недели'!$B$4,B1114&lt;'План недели'!$D$4,D1114&lt;&gt;"",G1114&lt;&gt;"Отменён"),COUNTIFS($B$5:B1114,"&gt;="&amp;'План недели'!$B$4,$B$5:B1114,"&lt;"&amp;'План недели'!$D$4,$D$5:D1114,"&lt;&gt;",$G$5:G1114,"&lt;&gt;Отменён"),"")</f>
        <v/>
      </c>
    </row>
    <row r="1115" spans="1:11">
      <c r="A1115" t="str">
        <f>IF(B1115="","","VIS_"&amp;(YEAR(B1115)*10000+MONTH(B1115)*100+DAY(B1115))&amp;"_"&amp;IF(COUNTIF($B$5:B1115,B1115)&lt;10,"00"&amp;COUNTIF($B$5:B1115,B1115),IF(COUNTIF($B$5:B1115,B1115)&lt;100,"0"&amp;COUNTIF($B$5:B1115,B1115),COUNTIF($B$5:B1115,B1115))))</f>
        <v>VIS_20281123_001</v>
      </c>
      <c r="B1115" s="40">
        <v>47080</v>
      </c>
      <c r="C1115" s="47" t="str">
        <f t="shared" si="34"/>
        <v>Чт</v>
      </c>
      <c r="I1115" s="46"/>
      <c r="J1115" s="39">
        <f t="shared" si="35"/>
        <v>47079</v>
      </c>
      <c r="K1115" t="str">
        <f ca="1">IF(AND(B1115&gt;='План недели'!$B$4,B1115&lt;'План недели'!$D$4,D1115&lt;&gt;"",G1115&lt;&gt;"Отменён"),COUNTIFS($B$5:B1115,"&gt;="&amp;'План недели'!$B$4,$B$5:B1115,"&lt;"&amp;'План недели'!$D$4,$D$5:D1115,"&lt;&gt;",$G$5:G1115,"&lt;&gt;Отменён"),"")</f>
        <v/>
      </c>
    </row>
    <row r="1116" spans="1:11">
      <c r="A1116" t="str">
        <f>IF(B1116="","","VIS_"&amp;(YEAR(B1116)*10000+MONTH(B1116)*100+DAY(B1116))&amp;"_"&amp;IF(COUNTIF($B$5:B1116,B1116)&lt;10,"00"&amp;COUNTIF($B$5:B1116,B1116),IF(COUNTIF($B$5:B1116,B1116)&lt;100,"0"&amp;COUNTIF($B$5:B1116,B1116),COUNTIF($B$5:B1116,B1116))))</f>
        <v>VIS_20281124_001</v>
      </c>
      <c r="B1116" s="40">
        <v>47081</v>
      </c>
      <c r="C1116" s="47" t="str">
        <f t="shared" si="34"/>
        <v>Пт</v>
      </c>
      <c r="I1116" s="46"/>
      <c r="J1116" s="39">
        <f t="shared" si="35"/>
        <v>47079</v>
      </c>
      <c r="K1116" t="str">
        <f ca="1">IF(AND(B1116&gt;='План недели'!$B$4,B1116&lt;'План недели'!$D$4,D1116&lt;&gt;"",G1116&lt;&gt;"Отменён"),COUNTIFS($B$5:B1116,"&gt;="&amp;'План недели'!$B$4,$B$5:B1116,"&lt;"&amp;'План недели'!$D$4,$D$5:D1116,"&lt;&gt;",$G$5:G1116,"&lt;&gt;Отменён"),"")</f>
        <v/>
      </c>
    </row>
    <row r="1117" spans="1:11">
      <c r="A1117" t="str">
        <f>IF(B1117="","","VIS_"&amp;(YEAR(B1117)*10000+MONTH(B1117)*100+DAY(B1117))&amp;"_"&amp;IF(COUNTIF($B$5:B1117,B1117)&lt;10,"00"&amp;COUNTIF($B$5:B1117,B1117),IF(COUNTIF($B$5:B1117,B1117)&lt;100,"0"&amp;COUNTIF($B$5:B1117,B1117),COUNTIF($B$5:B1117,B1117))))</f>
        <v>VIS_20281125_001</v>
      </c>
      <c r="B1117" s="42">
        <v>47082</v>
      </c>
      <c r="C1117" s="49" t="str">
        <f t="shared" si="34"/>
        <v>Сб</v>
      </c>
      <c r="I1117" s="46"/>
      <c r="J1117" s="39">
        <f t="shared" si="35"/>
        <v>47079</v>
      </c>
      <c r="K1117" t="str">
        <f ca="1">IF(AND(B1117&gt;='План недели'!$B$4,B1117&lt;'План недели'!$D$4,D1117&lt;&gt;"",G1117&lt;&gt;"Отменён"),COUNTIFS($B$5:B1117,"&gt;="&amp;'План недели'!$B$4,$B$5:B1117,"&lt;"&amp;'План недели'!$D$4,$D$5:D1117,"&lt;&gt;",$G$5:G1117,"&lt;&gt;Отменён"),"")</f>
        <v/>
      </c>
    </row>
    <row r="1118" spans="1:11">
      <c r="A1118" t="str">
        <f>IF(B1118="","","VIS_"&amp;(YEAR(B1118)*10000+MONTH(B1118)*100+DAY(B1118))&amp;"_"&amp;IF(COUNTIF($B$5:B1118,B1118)&lt;10,"00"&amp;COUNTIF($B$5:B1118,B1118),IF(COUNTIF($B$5:B1118,B1118)&lt;100,"0"&amp;COUNTIF($B$5:B1118,B1118),COUNTIF($B$5:B1118,B1118))))</f>
        <v>VIS_20281126_001</v>
      </c>
      <c r="B1118" s="42">
        <v>47083</v>
      </c>
      <c r="C1118" s="49" t="str">
        <f t="shared" si="34"/>
        <v>Вс</v>
      </c>
      <c r="I1118" s="46"/>
      <c r="J1118" s="39">
        <f t="shared" si="35"/>
        <v>47079</v>
      </c>
      <c r="K1118" t="str">
        <f ca="1">IF(AND(B1118&gt;='План недели'!$B$4,B1118&lt;'План недели'!$D$4,D1118&lt;&gt;"",G1118&lt;&gt;"Отменён"),COUNTIFS($B$5:B1118,"&gt;="&amp;'План недели'!$B$4,$B$5:B1118,"&lt;"&amp;'План недели'!$D$4,$D$5:D1118,"&lt;&gt;",$G$5:G1118,"&lt;&gt;Отменён"),"")</f>
        <v/>
      </c>
    </row>
    <row r="1119" spans="1:11">
      <c r="A1119" t="str">
        <f>IF(B1119="","","VIS_"&amp;(YEAR(B1119)*10000+MONTH(B1119)*100+DAY(B1119))&amp;"_"&amp;IF(COUNTIF($B$5:B1119,B1119)&lt;10,"00"&amp;COUNTIF($B$5:B1119,B1119),IF(COUNTIF($B$5:B1119,B1119)&lt;100,"0"&amp;COUNTIF($B$5:B1119,B1119),COUNTIF($B$5:B1119,B1119))))</f>
        <v>VIS_20281127_001</v>
      </c>
      <c r="B1119" s="40">
        <v>47084</v>
      </c>
      <c r="C1119" s="47" t="str">
        <f t="shared" si="34"/>
        <v>Пн</v>
      </c>
      <c r="I1119" s="46"/>
      <c r="J1119" s="39">
        <f t="shared" si="35"/>
        <v>47079</v>
      </c>
      <c r="K1119" t="str">
        <f ca="1">IF(AND(B1119&gt;='План недели'!$B$4,B1119&lt;'План недели'!$D$4,D1119&lt;&gt;"",G1119&lt;&gt;"Отменён"),COUNTIFS($B$5:B1119,"&gt;="&amp;'План недели'!$B$4,$B$5:B1119,"&lt;"&amp;'План недели'!$D$4,$D$5:D1119,"&lt;&gt;",$G$5:G1119,"&lt;&gt;Отменён"),"")</f>
        <v/>
      </c>
    </row>
    <row r="1120" spans="1:11">
      <c r="A1120" t="str">
        <f>IF(B1120="","","VIS_"&amp;(YEAR(B1120)*10000+MONTH(B1120)*100+DAY(B1120))&amp;"_"&amp;IF(COUNTIF($B$5:B1120,B1120)&lt;10,"00"&amp;COUNTIF($B$5:B1120,B1120),IF(COUNTIF($B$5:B1120,B1120)&lt;100,"0"&amp;COUNTIF($B$5:B1120,B1120),COUNTIF($B$5:B1120,B1120))))</f>
        <v>VIS_20281128_001</v>
      </c>
      <c r="B1120" s="40">
        <v>47085</v>
      </c>
      <c r="C1120" s="47" t="str">
        <f t="shared" si="34"/>
        <v>Вт</v>
      </c>
      <c r="I1120" s="46"/>
      <c r="J1120" s="39">
        <f t="shared" si="35"/>
        <v>47079</v>
      </c>
      <c r="K1120" t="str">
        <f ca="1">IF(AND(B1120&gt;='План недели'!$B$4,B1120&lt;'План недели'!$D$4,D1120&lt;&gt;"",G1120&lt;&gt;"Отменён"),COUNTIFS($B$5:B1120,"&gt;="&amp;'План недели'!$B$4,$B$5:B1120,"&lt;"&amp;'План недели'!$D$4,$D$5:D1120,"&lt;&gt;",$G$5:G1120,"&lt;&gt;Отменён"),"")</f>
        <v/>
      </c>
    </row>
    <row r="1121" spans="1:11">
      <c r="A1121" t="str">
        <f>IF(B1121="","","VIS_"&amp;(YEAR(B1121)*10000+MONTH(B1121)*100+DAY(B1121))&amp;"_"&amp;IF(COUNTIF($B$5:B1121,B1121)&lt;10,"00"&amp;COUNTIF($B$5:B1121,B1121),IF(COUNTIF($B$5:B1121,B1121)&lt;100,"0"&amp;COUNTIF($B$5:B1121,B1121),COUNTIF($B$5:B1121,B1121))))</f>
        <v>VIS_20281129_001</v>
      </c>
      <c r="B1121" s="40">
        <v>47086</v>
      </c>
      <c r="C1121" s="47" t="str">
        <f t="shared" si="34"/>
        <v>Ср</v>
      </c>
      <c r="I1121" s="46"/>
      <c r="J1121" s="39">
        <f t="shared" si="35"/>
        <v>47086</v>
      </c>
      <c r="K1121" t="str">
        <f ca="1">IF(AND(B1121&gt;='План недели'!$B$4,B1121&lt;'План недели'!$D$4,D1121&lt;&gt;"",G1121&lt;&gt;"Отменён"),COUNTIFS($B$5:B1121,"&gt;="&amp;'План недели'!$B$4,$B$5:B1121,"&lt;"&amp;'План недели'!$D$4,$D$5:D1121,"&lt;&gt;",$G$5:G1121,"&lt;&gt;Отменён"),"")</f>
        <v/>
      </c>
    </row>
    <row r="1122" spans="1:11">
      <c r="A1122" t="str">
        <f>IF(B1122="","","VIS_"&amp;(YEAR(B1122)*10000+MONTH(B1122)*100+DAY(B1122))&amp;"_"&amp;IF(COUNTIF($B$5:B1122,B1122)&lt;10,"00"&amp;COUNTIF($B$5:B1122,B1122),IF(COUNTIF($B$5:B1122,B1122)&lt;100,"0"&amp;COUNTIF($B$5:B1122,B1122),COUNTIF($B$5:B1122,B1122))))</f>
        <v>VIS_20281130_001</v>
      </c>
      <c r="B1122" s="40">
        <v>47087</v>
      </c>
      <c r="C1122" s="47" t="str">
        <f t="shared" si="34"/>
        <v>Чт</v>
      </c>
      <c r="I1122" s="46"/>
      <c r="J1122" s="39">
        <f t="shared" si="35"/>
        <v>47086</v>
      </c>
      <c r="K1122" t="str">
        <f ca="1">IF(AND(B1122&gt;='План недели'!$B$4,B1122&lt;'План недели'!$D$4,D1122&lt;&gt;"",G1122&lt;&gt;"Отменён"),COUNTIFS($B$5:B1122,"&gt;="&amp;'План недели'!$B$4,$B$5:B1122,"&lt;"&amp;'План недели'!$D$4,$D$5:D1122,"&lt;&gt;",$G$5:G1122,"&lt;&gt;Отменён"),"")</f>
        <v/>
      </c>
    </row>
    <row r="1123" spans="1:11">
      <c r="A1123" t="str">
        <f>IF(B1123="","","VIS_"&amp;(YEAR(B1123)*10000+MONTH(B1123)*100+DAY(B1123))&amp;"_"&amp;IF(COUNTIF($B$5:B1123,B1123)&lt;10,"00"&amp;COUNTIF($B$5:B1123,B1123),IF(COUNTIF($B$5:B1123,B1123)&lt;100,"0"&amp;COUNTIF($B$5:B1123,B1123),COUNTIF($B$5:B1123,B1123))))</f>
        <v>VIS_20281201_001</v>
      </c>
      <c r="B1123" s="40">
        <v>47088</v>
      </c>
      <c r="C1123" s="47" t="str">
        <f t="shared" si="34"/>
        <v>Пт</v>
      </c>
      <c r="I1123" s="46"/>
      <c r="J1123" s="39">
        <f t="shared" si="35"/>
        <v>47086</v>
      </c>
      <c r="K1123" t="str">
        <f ca="1">IF(AND(B1123&gt;='План недели'!$B$4,B1123&lt;'План недели'!$D$4,D1123&lt;&gt;"",G1123&lt;&gt;"Отменён"),COUNTIFS($B$5:B1123,"&gt;="&amp;'План недели'!$B$4,$B$5:B1123,"&lt;"&amp;'План недели'!$D$4,$D$5:D1123,"&lt;&gt;",$G$5:G1123,"&lt;&gt;Отменён"),"")</f>
        <v/>
      </c>
    </row>
    <row r="1124" spans="1:11">
      <c r="A1124" t="str">
        <f>IF(B1124="","","VIS_"&amp;(YEAR(B1124)*10000+MONTH(B1124)*100+DAY(B1124))&amp;"_"&amp;IF(COUNTIF($B$5:B1124,B1124)&lt;10,"00"&amp;COUNTIF($B$5:B1124,B1124),IF(COUNTIF($B$5:B1124,B1124)&lt;100,"0"&amp;COUNTIF($B$5:B1124,B1124),COUNTIF($B$5:B1124,B1124))))</f>
        <v>VIS_20281202_001</v>
      </c>
      <c r="B1124" s="42">
        <v>47089</v>
      </c>
      <c r="C1124" s="49" t="str">
        <f t="shared" si="34"/>
        <v>Сб</v>
      </c>
      <c r="I1124" s="46"/>
      <c r="J1124" s="39">
        <f t="shared" si="35"/>
        <v>47086</v>
      </c>
      <c r="K1124" t="str">
        <f ca="1">IF(AND(B1124&gt;='План недели'!$B$4,B1124&lt;'План недели'!$D$4,D1124&lt;&gt;"",G1124&lt;&gt;"Отменён"),COUNTIFS($B$5:B1124,"&gt;="&amp;'План недели'!$B$4,$B$5:B1124,"&lt;"&amp;'План недели'!$D$4,$D$5:D1124,"&lt;&gt;",$G$5:G1124,"&lt;&gt;Отменён"),"")</f>
        <v/>
      </c>
    </row>
    <row r="1125" spans="1:11">
      <c r="A1125" t="str">
        <f>IF(B1125="","","VIS_"&amp;(YEAR(B1125)*10000+MONTH(B1125)*100+DAY(B1125))&amp;"_"&amp;IF(COUNTIF($B$5:B1125,B1125)&lt;10,"00"&amp;COUNTIF($B$5:B1125,B1125),IF(COUNTIF($B$5:B1125,B1125)&lt;100,"0"&amp;COUNTIF($B$5:B1125,B1125),COUNTIF($B$5:B1125,B1125))))</f>
        <v>VIS_20281203_001</v>
      </c>
      <c r="B1125" s="42">
        <v>47090</v>
      </c>
      <c r="C1125" s="49" t="str">
        <f t="shared" si="34"/>
        <v>Вс</v>
      </c>
      <c r="I1125" s="46"/>
      <c r="J1125" s="39">
        <f t="shared" si="35"/>
        <v>47086</v>
      </c>
      <c r="K1125" t="str">
        <f ca="1">IF(AND(B1125&gt;='План недели'!$B$4,B1125&lt;'План недели'!$D$4,D1125&lt;&gt;"",G1125&lt;&gt;"Отменён"),COUNTIFS($B$5:B1125,"&gt;="&amp;'План недели'!$B$4,$B$5:B1125,"&lt;"&amp;'План недели'!$D$4,$D$5:D1125,"&lt;&gt;",$G$5:G1125,"&lt;&gt;Отменён"),"")</f>
        <v/>
      </c>
    </row>
    <row r="1126" spans="1:11">
      <c r="A1126" t="str">
        <f>IF(B1126="","","VIS_"&amp;(YEAR(B1126)*10000+MONTH(B1126)*100+DAY(B1126))&amp;"_"&amp;IF(COUNTIF($B$5:B1126,B1126)&lt;10,"00"&amp;COUNTIF($B$5:B1126,B1126),IF(COUNTIF($B$5:B1126,B1126)&lt;100,"0"&amp;COUNTIF($B$5:B1126,B1126),COUNTIF($B$5:B1126,B1126))))</f>
        <v>VIS_20281204_001</v>
      </c>
      <c r="B1126" s="40">
        <v>47091</v>
      </c>
      <c r="C1126" s="47" t="str">
        <f t="shared" si="34"/>
        <v>Пн</v>
      </c>
      <c r="I1126" s="46"/>
      <c r="J1126" s="39">
        <f t="shared" si="35"/>
        <v>47086</v>
      </c>
      <c r="K1126" t="str">
        <f ca="1">IF(AND(B1126&gt;='План недели'!$B$4,B1126&lt;'План недели'!$D$4,D1126&lt;&gt;"",G1126&lt;&gt;"Отменён"),COUNTIFS($B$5:B1126,"&gt;="&amp;'План недели'!$B$4,$B$5:B1126,"&lt;"&amp;'План недели'!$D$4,$D$5:D1126,"&lt;&gt;",$G$5:G1126,"&lt;&gt;Отменён"),"")</f>
        <v/>
      </c>
    </row>
    <row r="1127" spans="1:11">
      <c r="A1127" t="str">
        <f>IF(B1127="","","VIS_"&amp;(YEAR(B1127)*10000+MONTH(B1127)*100+DAY(B1127))&amp;"_"&amp;IF(COUNTIF($B$5:B1127,B1127)&lt;10,"00"&amp;COUNTIF($B$5:B1127,B1127),IF(COUNTIF($B$5:B1127,B1127)&lt;100,"0"&amp;COUNTIF($B$5:B1127,B1127),COUNTIF($B$5:B1127,B1127))))</f>
        <v>VIS_20281205_001</v>
      </c>
      <c r="B1127" s="40">
        <v>47092</v>
      </c>
      <c r="C1127" s="47" t="str">
        <f t="shared" si="34"/>
        <v>Вт</v>
      </c>
      <c r="I1127" s="46"/>
      <c r="J1127" s="39">
        <f t="shared" si="35"/>
        <v>47086</v>
      </c>
      <c r="K1127" t="str">
        <f ca="1">IF(AND(B1127&gt;='План недели'!$B$4,B1127&lt;'План недели'!$D$4,D1127&lt;&gt;"",G1127&lt;&gt;"Отменён"),COUNTIFS($B$5:B1127,"&gt;="&amp;'План недели'!$B$4,$B$5:B1127,"&lt;"&amp;'План недели'!$D$4,$D$5:D1127,"&lt;&gt;",$G$5:G1127,"&lt;&gt;Отменён"),"")</f>
        <v/>
      </c>
    </row>
    <row r="1128" spans="1:11">
      <c r="A1128" t="str">
        <f>IF(B1128="","","VIS_"&amp;(YEAR(B1128)*10000+MONTH(B1128)*100+DAY(B1128))&amp;"_"&amp;IF(COUNTIF($B$5:B1128,B1128)&lt;10,"00"&amp;COUNTIF($B$5:B1128,B1128),IF(COUNTIF($B$5:B1128,B1128)&lt;100,"0"&amp;COUNTIF($B$5:B1128,B1128),COUNTIF($B$5:B1128,B1128))))</f>
        <v>VIS_20281206_001</v>
      </c>
      <c r="B1128" s="40">
        <v>47093</v>
      </c>
      <c r="C1128" s="47" t="str">
        <f t="shared" si="34"/>
        <v>Ср</v>
      </c>
      <c r="I1128" s="46"/>
      <c r="J1128" s="39">
        <f t="shared" si="35"/>
        <v>47093</v>
      </c>
      <c r="K1128" t="str">
        <f ca="1">IF(AND(B1128&gt;='План недели'!$B$4,B1128&lt;'План недели'!$D$4,D1128&lt;&gt;"",G1128&lt;&gt;"Отменён"),COUNTIFS($B$5:B1128,"&gt;="&amp;'План недели'!$B$4,$B$5:B1128,"&lt;"&amp;'План недели'!$D$4,$D$5:D1128,"&lt;&gt;",$G$5:G1128,"&lt;&gt;Отменён"),"")</f>
        <v/>
      </c>
    </row>
    <row r="1129" spans="1:11">
      <c r="A1129" t="str">
        <f>IF(B1129="","","VIS_"&amp;(YEAR(B1129)*10000+MONTH(B1129)*100+DAY(B1129))&amp;"_"&amp;IF(COUNTIF($B$5:B1129,B1129)&lt;10,"00"&amp;COUNTIF($B$5:B1129,B1129),IF(COUNTIF($B$5:B1129,B1129)&lt;100,"0"&amp;COUNTIF($B$5:B1129,B1129),COUNTIF($B$5:B1129,B1129))))</f>
        <v>VIS_20281207_001</v>
      </c>
      <c r="B1129" s="40">
        <v>47094</v>
      </c>
      <c r="C1129" s="47" t="str">
        <f t="shared" si="34"/>
        <v>Чт</v>
      </c>
      <c r="I1129" s="46"/>
      <c r="J1129" s="39">
        <f t="shared" si="35"/>
        <v>47093</v>
      </c>
      <c r="K1129" t="str">
        <f ca="1">IF(AND(B1129&gt;='План недели'!$B$4,B1129&lt;'План недели'!$D$4,D1129&lt;&gt;"",G1129&lt;&gt;"Отменён"),COUNTIFS($B$5:B1129,"&gt;="&amp;'План недели'!$B$4,$B$5:B1129,"&lt;"&amp;'План недели'!$D$4,$D$5:D1129,"&lt;&gt;",$G$5:G1129,"&lt;&gt;Отменён"),"")</f>
        <v/>
      </c>
    </row>
    <row r="1130" spans="1:11">
      <c r="A1130" t="str">
        <f>IF(B1130="","","VIS_"&amp;(YEAR(B1130)*10000+MONTH(B1130)*100+DAY(B1130))&amp;"_"&amp;IF(COUNTIF($B$5:B1130,B1130)&lt;10,"00"&amp;COUNTIF($B$5:B1130,B1130),IF(COUNTIF($B$5:B1130,B1130)&lt;100,"0"&amp;COUNTIF($B$5:B1130,B1130),COUNTIF($B$5:B1130,B1130))))</f>
        <v>VIS_20281208_001</v>
      </c>
      <c r="B1130" s="40">
        <v>47095</v>
      </c>
      <c r="C1130" s="47" t="str">
        <f t="shared" si="34"/>
        <v>Пт</v>
      </c>
      <c r="I1130" s="46"/>
      <c r="J1130" s="39">
        <f t="shared" si="35"/>
        <v>47093</v>
      </c>
      <c r="K1130" t="str">
        <f ca="1">IF(AND(B1130&gt;='План недели'!$B$4,B1130&lt;'План недели'!$D$4,D1130&lt;&gt;"",G1130&lt;&gt;"Отменён"),COUNTIFS($B$5:B1130,"&gt;="&amp;'План недели'!$B$4,$B$5:B1130,"&lt;"&amp;'План недели'!$D$4,$D$5:D1130,"&lt;&gt;",$G$5:G1130,"&lt;&gt;Отменён"),"")</f>
        <v/>
      </c>
    </row>
    <row r="1131" spans="1:11">
      <c r="A1131" t="str">
        <f>IF(B1131="","","VIS_"&amp;(YEAR(B1131)*10000+MONTH(B1131)*100+DAY(B1131))&amp;"_"&amp;IF(COUNTIF($B$5:B1131,B1131)&lt;10,"00"&amp;COUNTIF($B$5:B1131,B1131),IF(COUNTIF($B$5:B1131,B1131)&lt;100,"0"&amp;COUNTIF($B$5:B1131,B1131),COUNTIF($B$5:B1131,B1131))))</f>
        <v>VIS_20281209_001</v>
      </c>
      <c r="B1131" s="42">
        <v>47096</v>
      </c>
      <c r="C1131" s="49" t="str">
        <f t="shared" si="34"/>
        <v>Сб</v>
      </c>
      <c r="I1131" s="46"/>
      <c r="J1131" s="39">
        <f t="shared" si="35"/>
        <v>47093</v>
      </c>
      <c r="K1131" t="str">
        <f ca="1">IF(AND(B1131&gt;='План недели'!$B$4,B1131&lt;'План недели'!$D$4,D1131&lt;&gt;"",G1131&lt;&gt;"Отменён"),COUNTIFS($B$5:B1131,"&gt;="&amp;'План недели'!$B$4,$B$5:B1131,"&lt;"&amp;'План недели'!$D$4,$D$5:D1131,"&lt;&gt;",$G$5:G1131,"&lt;&gt;Отменён"),"")</f>
        <v/>
      </c>
    </row>
    <row r="1132" spans="1:11">
      <c r="A1132" t="str">
        <f>IF(B1132="","","VIS_"&amp;(YEAR(B1132)*10000+MONTH(B1132)*100+DAY(B1132))&amp;"_"&amp;IF(COUNTIF($B$5:B1132,B1132)&lt;10,"00"&amp;COUNTIF($B$5:B1132,B1132),IF(COUNTIF($B$5:B1132,B1132)&lt;100,"0"&amp;COUNTIF($B$5:B1132,B1132),COUNTIF($B$5:B1132,B1132))))</f>
        <v>VIS_20281210_001</v>
      </c>
      <c r="B1132" s="42">
        <v>47097</v>
      </c>
      <c r="C1132" s="49" t="str">
        <f t="shared" si="34"/>
        <v>Вс</v>
      </c>
      <c r="I1132" s="46"/>
      <c r="J1132" s="39">
        <f t="shared" si="35"/>
        <v>47093</v>
      </c>
      <c r="K1132" t="str">
        <f ca="1">IF(AND(B1132&gt;='План недели'!$B$4,B1132&lt;'План недели'!$D$4,D1132&lt;&gt;"",G1132&lt;&gt;"Отменён"),COUNTIFS($B$5:B1132,"&gt;="&amp;'План недели'!$B$4,$B$5:B1132,"&lt;"&amp;'План недели'!$D$4,$D$5:D1132,"&lt;&gt;",$G$5:G1132,"&lt;&gt;Отменён"),"")</f>
        <v/>
      </c>
    </row>
    <row r="1133" spans="1:11">
      <c r="A1133" t="str">
        <f>IF(B1133="","","VIS_"&amp;(YEAR(B1133)*10000+MONTH(B1133)*100+DAY(B1133))&amp;"_"&amp;IF(COUNTIF($B$5:B1133,B1133)&lt;10,"00"&amp;COUNTIF($B$5:B1133,B1133),IF(COUNTIF($B$5:B1133,B1133)&lt;100,"0"&amp;COUNTIF($B$5:B1133,B1133),COUNTIF($B$5:B1133,B1133))))</f>
        <v>VIS_20281211_001</v>
      </c>
      <c r="B1133" s="40">
        <v>47098</v>
      </c>
      <c r="C1133" s="47" t="str">
        <f t="shared" si="34"/>
        <v>Пн</v>
      </c>
      <c r="I1133" s="46"/>
      <c r="J1133" s="39">
        <f t="shared" si="35"/>
        <v>47093</v>
      </c>
      <c r="K1133" t="str">
        <f ca="1">IF(AND(B1133&gt;='План недели'!$B$4,B1133&lt;'План недели'!$D$4,D1133&lt;&gt;"",G1133&lt;&gt;"Отменён"),COUNTIFS($B$5:B1133,"&gt;="&amp;'План недели'!$B$4,$B$5:B1133,"&lt;"&amp;'План недели'!$D$4,$D$5:D1133,"&lt;&gt;",$G$5:G1133,"&lt;&gt;Отменён"),"")</f>
        <v/>
      </c>
    </row>
    <row r="1134" spans="1:11">
      <c r="A1134" t="str">
        <f>IF(B1134="","","VIS_"&amp;(YEAR(B1134)*10000+MONTH(B1134)*100+DAY(B1134))&amp;"_"&amp;IF(COUNTIF($B$5:B1134,B1134)&lt;10,"00"&amp;COUNTIF($B$5:B1134,B1134),IF(COUNTIF($B$5:B1134,B1134)&lt;100,"0"&amp;COUNTIF($B$5:B1134,B1134),COUNTIF($B$5:B1134,B1134))))</f>
        <v>VIS_20281212_001</v>
      </c>
      <c r="B1134" s="40">
        <v>47099</v>
      </c>
      <c r="C1134" s="47" t="str">
        <f t="shared" si="34"/>
        <v>Вт</v>
      </c>
      <c r="I1134" s="46"/>
      <c r="J1134" s="39">
        <f t="shared" si="35"/>
        <v>47093</v>
      </c>
      <c r="K1134" t="str">
        <f ca="1">IF(AND(B1134&gt;='План недели'!$B$4,B1134&lt;'План недели'!$D$4,D1134&lt;&gt;"",G1134&lt;&gt;"Отменён"),COUNTIFS($B$5:B1134,"&gt;="&amp;'План недели'!$B$4,$B$5:B1134,"&lt;"&amp;'План недели'!$D$4,$D$5:D1134,"&lt;&gt;",$G$5:G1134,"&lt;&gt;Отменён"),"")</f>
        <v/>
      </c>
    </row>
    <row r="1135" spans="1:11">
      <c r="A1135" t="str">
        <f>IF(B1135="","","VIS_"&amp;(YEAR(B1135)*10000+MONTH(B1135)*100+DAY(B1135))&amp;"_"&amp;IF(COUNTIF($B$5:B1135,B1135)&lt;10,"00"&amp;COUNTIF($B$5:B1135,B1135),IF(COUNTIF($B$5:B1135,B1135)&lt;100,"0"&amp;COUNTIF($B$5:B1135,B1135),COUNTIF($B$5:B1135,B1135))))</f>
        <v>VIS_20281213_001</v>
      </c>
      <c r="B1135" s="40">
        <v>47100</v>
      </c>
      <c r="C1135" s="47" t="str">
        <f t="shared" si="34"/>
        <v>Ср</v>
      </c>
      <c r="I1135" s="46"/>
      <c r="J1135" s="39">
        <f t="shared" si="35"/>
        <v>47100</v>
      </c>
      <c r="K1135" t="str">
        <f ca="1">IF(AND(B1135&gt;='План недели'!$B$4,B1135&lt;'План недели'!$D$4,D1135&lt;&gt;"",G1135&lt;&gt;"Отменён"),COUNTIFS($B$5:B1135,"&gt;="&amp;'План недели'!$B$4,$B$5:B1135,"&lt;"&amp;'План недели'!$D$4,$D$5:D1135,"&lt;&gt;",$G$5:G1135,"&lt;&gt;Отменён"),"")</f>
        <v/>
      </c>
    </row>
    <row r="1136" spans="1:11">
      <c r="A1136" t="str">
        <f>IF(B1136="","","VIS_"&amp;(YEAR(B1136)*10000+MONTH(B1136)*100+DAY(B1136))&amp;"_"&amp;IF(COUNTIF($B$5:B1136,B1136)&lt;10,"00"&amp;COUNTIF($B$5:B1136,B1136),IF(COUNTIF($B$5:B1136,B1136)&lt;100,"0"&amp;COUNTIF($B$5:B1136,B1136),COUNTIF($B$5:B1136,B1136))))</f>
        <v>VIS_20281214_001</v>
      </c>
      <c r="B1136" s="40">
        <v>47101</v>
      </c>
      <c r="C1136" s="47" t="str">
        <f t="shared" si="34"/>
        <v>Чт</v>
      </c>
      <c r="I1136" s="46"/>
      <c r="J1136" s="39">
        <f t="shared" si="35"/>
        <v>47100</v>
      </c>
      <c r="K1136" t="str">
        <f ca="1">IF(AND(B1136&gt;='План недели'!$B$4,B1136&lt;'План недели'!$D$4,D1136&lt;&gt;"",G1136&lt;&gt;"Отменён"),COUNTIFS($B$5:B1136,"&gt;="&amp;'План недели'!$B$4,$B$5:B1136,"&lt;"&amp;'План недели'!$D$4,$D$5:D1136,"&lt;&gt;",$G$5:G1136,"&lt;&gt;Отменён"),"")</f>
        <v/>
      </c>
    </row>
    <row r="1137" spans="1:11">
      <c r="A1137" t="str">
        <f>IF(B1137="","","VIS_"&amp;(YEAR(B1137)*10000+MONTH(B1137)*100+DAY(B1137))&amp;"_"&amp;IF(COUNTIF($B$5:B1137,B1137)&lt;10,"00"&amp;COUNTIF($B$5:B1137,B1137),IF(COUNTIF($B$5:B1137,B1137)&lt;100,"0"&amp;COUNTIF($B$5:B1137,B1137),COUNTIF($B$5:B1137,B1137))))</f>
        <v>VIS_20281215_001</v>
      </c>
      <c r="B1137" s="40">
        <v>47102</v>
      </c>
      <c r="C1137" s="47" t="str">
        <f t="shared" si="34"/>
        <v>Пт</v>
      </c>
      <c r="I1137" s="46"/>
      <c r="J1137" s="39">
        <f t="shared" si="35"/>
        <v>47100</v>
      </c>
      <c r="K1137" t="str">
        <f ca="1">IF(AND(B1137&gt;='План недели'!$B$4,B1137&lt;'План недели'!$D$4,D1137&lt;&gt;"",G1137&lt;&gt;"Отменён"),COUNTIFS($B$5:B1137,"&gt;="&amp;'План недели'!$B$4,$B$5:B1137,"&lt;"&amp;'План недели'!$D$4,$D$5:D1137,"&lt;&gt;",$G$5:G1137,"&lt;&gt;Отменён"),"")</f>
        <v/>
      </c>
    </row>
    <row r="1138" spans="1:11">
      <c r="A1138" t="str">
        <f>IF(B1138="","","VIS_"&amp;(YEAR(B1138)*10000+MONTH(B1138)*100+DAY(B1138))&amp;"_"&amp;IF(COUNTIF($B$5:B1138,B1138)&lt;10,"00"&amp;COUNTIF($B$5:B1138,B1138),IF(COUNTIF($B$5:B1138,B1138)&lt;100,"0"&amp;COUNTIF($B$5:B1138,B1138),COUNTIF($B$5:B1138,B1138))))</f>
        <v>VIS_20281216_001</v>
      </c>
      <c r="B1138" s="42">
        <v>47103</v>
      </c>
      <c r="C1138" s="49" t="str">
        <f t="shared" si="34"/>
        <v>Сб</v>
      </c>
      <c r="I1138" s="46"/>
      <c r="J1138" s="39">
        <f t="shared" si="35"/>
        <v>47100</v>
      </c>
      <c r="K1138" t="str">
        <f ca="1">IF(AND(B1138&gt;='План недели'!$B$4,B1138&lt;'План недели'!$D$4,D1138&lt;&gt;"",G1138&lt;&gt;"Отменён"),COUNTIFS($B$5:B1138,"&gt;="&amp;'План недели'!$B$4,$B$5:B1138,"&lt;"&amp;'План недели'!$D$4,$D$5:D1138,"&lt;&gt;",$G$5:G1138,"&lt;&gt;Отменён"),"")</f>
        <v/>
      </c>
    </row>
    <row r="1139" spans="1:11">
      <c r="A1139" t="str">
        <f>IF(B1139="","","VIS_"&amp;(YEAR(B1139)*10000+MONTH(B1139)*100+DAY(B1139))&amp;"_"&amp;IF(COUNTIF($B$5:B1139,B1139)&lt;10,"00"&amp;COUNTIF($B$5:B1139,B1139),IF(COUNTIF($B$5:B1139,B1139)&lt;100,"0"&amp;COUNTIF($B$5:B1139,B1139),COUNTIF($B$5:B1139,B1139))))</f>
        <v>VIS_20281217_001</v>
      </c>
      <c r="B1139" s="42">
        <v>47104</v>
      </c>
      <c r="C1139" s="49" t="str">
        <f t="shared" si="34"/>
        <v>Вс</v>
      </c>
      <c r="I1139" s="46"/>
      <c r="J1139" s="39">
        <f t="shared" si="35"/>
        <v>47100</v>
      </c>
      <c r="K1139" t="str">
        <f ca="1">IF(AND(B1139&gt;='План недели'!$B$4,B1139&lt;'План недели'!$D$4,D1139&lt;&gt;"",G1139&lt;&gt;"Отменён"),COUNTIFS($B$5:B1139,"&gt;="&amp;'План недели'!$B$4,$B$5:B1139,"&lt;"&amp;'План недели'!$D$4,$D$5:D1139,"&lt;&gt;",$G$5:G1139,"&lt;&gt;Отменён"),"")</f>
        <v/>
      </c>
    </row>
    <row r="1140" spans="1:11">
      <c r="A1140" t="str">
        <f>IF(B1140="","","VIS_"&amp;(YEAR(B1140)*10000+MONTH(B1140)*100+DAY(B1140))&amp;"_"&amp;IF(COUNTIF($B$5:B1140,B1140)&lt;10,"00"&amp;COUNTIF($B$5:B1140,B1140),IF(COUNTIF($B$5:B1140,B1140)&lt;100,"0"&amp;COUNTIF($B$5:B1140,B1140),COUNTIF($B$5:B1140,B1140))))</f>
        <v>VIS_20281218_001</v>
      </c>
      <c r="B1140" s="40">
        <v>47105</v>
      </c>
      <c r="C1140" s="47" t="str">
        <f t="shared" si="34"/>
        <v>Пн</v>
      </c>
      <c r="I1140" s="46"/>
      <c r="J1140" s="39">
        <f t="shared" si="35"/>
        <v>47100</v>
      </c>
      <c r="K1140" t="str">
        <f ca="1">IF(AND(B1140&gt;='План недели'!$B$4,B1140&lt;'План недели'!$D$4,D1140&lt;&gt;"",G1140&lt;&gt;"Отменён"),COUNTIFS($B$5:B1140,"&gt;="&amp;'План недели'!$B$4,$B$5:B1140,"&lt;"&amp;'План недели'!$D$4,$D$5:D1140,"&lt;&gt;",$G$5:G1140,"&lt;&gt;Отменён"),"")</f>
        <v/>
      </c>
    </row>
    <row r="1141" spans="1:11">
      <c r="A1141" t="str">
        <f>IF(B1141="","","VIS_"&amp;(YEAR(B1141)*10000+MONTH(B1141)*100+DAY(B1141))&amp;"_"&amp;IF(COUNTIF($B$5:B1141,B1141)&lt;10,"00"&amp;COUNTIF($B$5:B1141,B1141),IF(COUNTIF($B$5:B1141,B1141)&lt;100,"0"&amp;COUNTIF($B$5:B1141,B1141),COUNTIF($B$5:B1141,B1141))))</f>
        <v>VIS_20281219_001</v>
      </c>
      <c r="B1141" s="40">
        <v>47106</v>
      </c>
      <c r="C1141" s="47" t="str">
        <f t="shared" si="34"/>
        <v>Вт</v>
      </c>
      <c r="I1141" s="46"/>
      <c r="J1141" s="39">
        <f t="shared" si="35"/>
        <v>47100</v>
      </c>
      <c r="K1141" t="str">
        <f ca="1">IF(AND(B1141&gt;='План недели'!$B$4,B1141&lt;'План недели'!$D$4,D1141&lt;&gt;"",G1141&lt;&gt;"Отменён"),COUNTIFS($B$5:B1141,"&gt;="&amp;'План недели'!$B$4,$B$5:B1141,"&lt;"&amp;'План недели'!$D$4,$D$5:D1141,"&lt;&gt;",$G$5:G1141,"&lt;&gt;Отменён"),"")</f>
        <v/>
      </c>
    </row>
    <row r="1142" spans="1:11">
      <c r="A1142" t="str">
        <f>IF(B1142="","","VIS_"&amp;(YEAR(B1142)*10000+MONTH(B1142)*100+DAY(B1142))&amp;"_"&amp;IF(COUNTIF($B$5:B1142,B1142)&lt;10,"00"&amp;COUNTIF($B$5:B1142,B1142),IF(COUNTIF($B$5:B1142,B1142)&lt;100,"0"&amp;COUNTIF($B$5:B1142,B1142),COUNTIF($B$5:B1142,B1142))))</f>
        <v>VIS_20281220_001</v>
      </c>
      <c r="B1142" s="40">
        <v>47107</v>
      </c>
      <c r="C1142" s="47" t="str">
        <f t="shared" si="34"/>
        <v>Ср</v>
      </c>
      <c r="I1142" s="46"/>
      <c r="J1142" s="39">
        <f t="shared" si="35"/>
        <v>47107</v>
      </c>
      <c r="K1142" t="str">
        <f ca="1">IF(AND(B1142&gt;='План недели'!$B$4,B1142&lt;'План недели'!$D$4,D1142&lt;&gt;"",G1142&lt;&gt;"Отменён"),COUNTIFS($B$5:B1142,"&gt;="&amp;'План недели'!$B$4,$B$5:B1142,"&lt;"&amp;'План недели'!$D$4,$D$5:D1142,"&lt;&gt;",$G$5:G1142,"&lt;&gt;Отменён"),"")</f>
        <v/>
      </c>
    </row>
    <row r="1143" spans="1:11">
      <c r="A1143" t="str">
        <f>IF(B1143="","","VIS_"&amp;(YEAR(B1143)*10000+MONTH(B1143)*100+DAY(B1143))&amp;"_"&amp;IF(COUNTIF($B$5:B1143,B1143)&lt;10,"00"&amp;COUNTIF($B$5:B1143,B1143),IF(COUNTIF($B$5:B1143,B1143)&lt;100,"0"&amp;COUNTIF($B$5:B1143,B1143),COUNTIF($B$5:B1143,B1143))))</f>
        <v>VIS_20281221_001</v>
      </c>
      <c r="B1143" s="40">
        <v>47108</v>
      </c>
      <c r="C1143" s="47" t="str">
        <f t="shared" si="34"/>
        <v>Чт</v>
      </c>
      <c r="I1143" s="46"/>
      <c r="J1143" s="39">
        <f t="shared" si="35"/>
        <v>47107</v>
      </c>
      <c r="K1143" t="str">
        <f ca="1">IF(AND(B1143&gt;='План недели'!$B$4,B1143&lt;'План недели'!$D$4,D1143&lt;&gt;"",G1143&lt;&gt;"Отменён"),COUNTIFS($B$5:B1143,"&gt;="&amp;'План недели'!$B$4,$B$5:B1143,"&lt;"&amp;'План недели'!$D$4,$D$5:D1143,"&lt;&gt;",$G$5:G1143,"&lt;&gt;Отменён"),"")</f>
        <v/>
      </c>
    </row>
    <row r="1144" spans="1:11">
      <c r="A1144" t="str">
        <f>IF(B1144="","","VIS_"&amp;(YEAR(B1144)*10000+MONTH(B1144)*100+DAY(B1144))&amp;"_"&amp;IF(COUNTIF($B$5:B1144,B1144)&lt;10,"00"&amp;COUNTIF($B$5:B1144,B1144),IF(COUNTIF($B$5:B1144,B1144)&lt;100,"0"&amp;COUNTIF($B$5:B1144,B1144),COUNTIF($B$5:B1144,B1144))))</f>
        <v>VIS_20281222_001</v>
      </c>
      <c r="B1144" s="40">
        <v>47109</v>
      </c>
      <c r="C1144" s="47" t="str">
        <f t="shared" si="34"/>
        <v>Пт</v>
      </c>
      <c r="I1144" s="46"/>
      <c r="J1144" s="39">
        <f t="shared" si="35"/>
        <v>47107</v>
      </c>
      <c r="K1144" t="str">
        <f ca="1">IF(AND(B1144&gt;='План недели'!$B$4,B1144&lt;'План недели'!$D$4,D1144&lt;&gt;"",G1144&lt;&gt;"Отменён"),COUNTIFS($B$5:B1144,"&gt;="&amp;'План недели'!$B$4,$B$5:B1144,"&lt;"&amp;'План недели'!$D$4,$D$5:D1144,"&lt;&gt;",$G$5:G1144,"&lt;&gt;Отменён"),"")</f>
        <v/>
      </c>
    </row>
    <row r="1145" spans="1:11">
      <c r="A1145" t="str">
        <f>IF(B1145="","","VIS_"&amp;(YEAR(B1145)*10000+MONTH(B1145)*100+DAY(B1145))&amp;"_"&amp;IF(COUNTIF($B$5:B1145,B1145)&lt;10,"00"&amp;COUNTIF($B$5:B1145,B1145),IF(COUNTIF($B$5:B1145,B1145)&lt;100,"0"&amp;COUNTIF($B$5:B1145,B1145),COUNTIF($B$5:B1145,B1145))))</f>
        <v>VIS_20281223_001</v>
      </c>
      <c r="B1145" s="42">
        <v>47110</v>
      </c>
      <c r="C1145" s="49" t="str">
        <f t="shared" si="34"/>
        <v>Сб</v>
      </c>
      <c r="I1145" s="46"/>
      <c r="J1145" s="39">
        <f t="shared" si="35"/>
        <v>47107</v>
      </c>
      <c r="K1145" t="str">
        <f ca="1">IF(AND(B1145&gt;='План недели'!$B$4,B1145&lt;'План недели'!$D$4,D1145&lt;&gt;"",G1145&lt;&gt;"Отменён"),COUNTIFS($B$5:B1145,"&gt;="&amp;'План недели'!$B$4,$B$5:B1145,"&lt;"&amp;'План недели'!$D$4,$D$5:D1145,"&lt;&gt;",$G$5:G1145,"&lt;&gt;Отменён"),"")</f>
        <v/>
      </c>
    </row>
    <row r="1146" spans="1:11">
      <c r="A1146" t="str">
        <f>IF(B1146="","","VIS_"&amp;(YEAR(B1146)*10000+MONTH(B1146)*100+DAY(B1146))&amp;"_"&amp;IF(COUNTIF($B$5:B1146,B1146)&lt;10,"00"&amp;COUNTIF($B$5:B1146,B1146),IF(COUNTIF($B$5:B1146,B1146)&lt;100,"0"&amp;COUNTIF($B$5:B1146,B1146),COUNTIF($B$5:B1146,B1146))))</f>
        <v>VIS_20281224_001</v>
      </c>
      <c r="B1146" s="42">
        <v>47111</v>
      </c>
      <c r="C1146" s="49" t="str">
        <f t="shared" si="34"/>
        <v>Вс</v>
      </c>
      <c r="I1146" s="46"/>
      <c r="J1146" s="39">
        <f t="shared" si="35"/>
        <v>47107</v>
      </c>
      <c r="K1146" t="str">
        <f ca="1">IF(AND(B1146&gt;='План недели'!$B$4,B1146&lt;'План недели'!$D$4,D1146&lt;&gt;"",G1146&lt;&gt;"Отменён"),COUNTIFS($B$5:B1146,"&gt;="&amp;'План недели'!$B$4,$B$5:B1146,"&lt;"&amp;'План недели'!$D$4,$D$5:D1146,"&lt;&gt;",$G$5:G1146,"&lt;&gt;Отменён"),"")</f>
        <v/>
      </c>
    </row>
    <row r="1147" spans="1:11">
      <c r="A1147" t="str">
        <f>IF(B1147="","","VIS_"&amp;(YEAR(B1147)*10000+MONTH(B1147)*100+DAY(B1147))&amp;"_"&amp;IF(COUNTIF($B$5:B1147,B1147)&lt;10,"00"&amp;COUNTIF($B$5:B1147,B1147),IF(COUNTIF($B$5:B1147,B1147)&lt;100,"0"&amp;COUNTIF($B$5:B1147,B1147),COUNTIF($B$5:B1147,B1147))))</f>
        <v>VIS_20281225_001</v>
      </c>
      <c r="B1147" s="40">
        <v>47112</v>
      </c>
      <c r="C1147" s="47" t="str">
        <f t="shared" si="34"/>
        <v>Пн</v>
      </c>
      <c r="I1147" s="46"/>
      <c r="J1147" s="39">
        <f t="shared" si="35"/>
        <v>47107</v>
      </c>
      <c r="K1147" t="str">
        <f ca="1">IF(AND(B1147&gt;='План недели'!$B$4,B1147&lt;'План недели'!$D$4,D1147&lt;&gt;"",G1147&lt;&gt;"Отменён"),COUNTIFS($B$5:B1147,"&gt;="&amp;'План недели'!$B$4,$B$5:B1147,"&lt;"&amp;'План недели'!$D$4,$D$5:D1147,"&lt;&gt;",$G$5:G1147,"&lt;&gt;Отменён"),"")</f>
        <v/>
      </c>
    </row>
    <row r="1148" spans="1:11">
      <c r="A1148" t="str">
        <f>IF(B1148="","","VIS_"&amp;(YEAR(B1148)*10000+MONTH(B1148)*100+DAY(B1148))&amp;"_"&amp;IF(COUNTIF($B$5:B1148,B1148)&lt;10,"00"&amp;COUNTIF($B$5:B1148,B1148),IF(COUNTIF($B$5:B1148,B1148)&lt;100,"0"&amp;COUNTIF($B$5:B1148,B1148),COUNTIF($B$5:B1148,B1148))))</f>
        <v>VIS_20281226_001</v>
      </c>
      <c r="B1148" s="40">
        <v>47113</v>
      </c>
      <c r="C1148" s="47" t="str">
        <f t="shared" si="34"/>
        <v>Вт</v>
      </c>
      <c r="I1148" s="46"/>
      <c r="J1148" s="39">
        <f t="shared" si="35"/>
        <v>47107</v>
      </c>
      <c r="K1148" t="str">
        <f ca="1">IF(AND(B1148&gt;='План недели'!$B$4,B1148&lt;'План недели'!$D$4,D1148&lt;&gt;"",G1148&lt;&gt;"Отменён"),COUNTIFS($B$5:B1148,"&gt;="&amp;'План недели'!$B$4,$B$5:B1148,"&lt;"&amp;'План недели'!$D$4,$D$5:D1148,"&lt;&gt;",$G$5:G1148,"&lt;&gt;Отменён"),"")</f>
        <v/>
      </c>
    </row>
    <row r="1149" spans="1:11">
      <c r="A1149" t="str">
        <f>IF(B1149="","","VIS_"&amp;(YEAR(B1149)*10000+MONTH(B1149)*100+DAY(B1149))&amp;"_"&amp;IF(COUNTIF($B$5:B1149,B1149)&lt;10,"00"&amp;COUNTIF($B$5:B1149,B1149),IF(COUNTIF($B$5:B1149,B1149)&lt;100,"0"&amp;COUNTIF($B$5:B1149,B1149),COUNTIF($B$5:B1149,B1149))))</f>
        <v>VIS_20281227_001</v>
      </c>
      <c r="B1149" s="40">
        <v>47114</v>
      </c>
      <c r="C1149" s="47" t="str">
        <f t="shared" si="34"/>
        <v>Ср</v>
      </c>
      <c r="I1149" s="46"/>
      <c r="J1149" s="39">
        <f t="shared" si="35"/>
        <v>47114</v>
      </c>
      <c r="K1149" t="str">
        <f ca="1">IF(AND(B1149&gt;='План недели'!$B$4,B1149&lt;'План недели'!$D$4,D1149&lt;&gt;"",G1149&lt;&gt;"Отменён"),COUNTIFS($B$5:B1149,"&gt;="&amp;'План недели'!$B$4,$B$5:B1149,"&lt;"&amp;'План недели'!$D$4,$D$5:D1149,"&lt;&gt;",$G$5:G1149,"&lt;&gt;Отменён"),"")</f>
        <v/>
      </c>
    </row>
    <row r="1150" spans="1:11">
      <c r="A1150" t="str">
        <f>IF(B1150="","","VIS_"&amp;(YEAR(B1150)*10000+MONTH(B1150)*100+DAY(B1150))&amp;"_"&amp;IF(COUNTIF($B$5:B1150,B1150)&lt;10,"00"&amp;COUNTIF($B$5:B1150,B1150),IF(COUNTIF($B$5:B1150,B1150)&lt;100,"0"&amp;COUNTIF($B$5:B1150,B1150),COUNTIF($B$5:B1150,B1150))))</f>
        <v>VIS_20281228_001</v>
      </c>
      <c r="B1150" s="40">
        <v>47115</v>
      </c>
      <c r="C1150" s="47" t="str">
        <f t="shared" si="34"/>
        <v>Чт</v>
      </c>
      <c r="I1150" s="46"/>
      <c r="J1150" s="39">
        <f t="shared" si="35"/>
        <v>47114</v>
      </c>
      <c r="K1150" t="str">
        <f ca="1">IF(AND(B1150&gt;='План недели'!$B$4,B1150&lt;'План недели'!$D$4,D1150&lt;&gt;"",G1150&lt;&gt;"Отменён"),COUNTIFS($B$5:B1150,"&gt;="&amp;'План недели'!$B$4,$B$5:B1150,"&lt;"&amp;'План недели'!$D$4,$D$5:D1150,"&lt;&gt;",$G$5:G1150,"&lt;&gt;Отменён"),"")</f>
        <v/>
      </c>
    </row>
    <row r="1151" spans="1:11">
      <c r="A1151" t="str">
        <f>IF(B1151="","","VIS_"&amp;(YEAR(B1151)*10000+MONTH(B1151)*100+DAY(B1151))&amp;"_"&amp;IF(COUNTIF($B$5:B1151,B1151)&lt;10,"00"&amp;COUNTIF($B$5:B1151,B1151),IF(COUNTIF($B$5:B1151,B1151)&lt;100,"0"&amp;COUNTIF($B$5:B1151,B1151),COUNTIF($B$5:B1151,B1151))))</f>
        <v>VIS_20281229_001</v>
      </c>
      <c r="B1151" s="40">
        <v>47116</v>
      </c>
      <c r="C1151" s="47" t="str">
        <f t="shared" si="34"/>
        <v>Пт</v>
      </c>
      <c r="I1151" s="46"/>
      <c r="J1151" s="39">
        <f t="shared" si="35"/>
        <v>47114</v>
      </c>
      <c r="K1151" t="str">
        <f ca="1">IF(AND(B1151&gt;='План недели'!$B$4,B1151&lt;'План недели'!$D$4,D1151&lt;&gt;"",G1151&lt;&gt;"Отменён"),COUNTIFS($B$5:B1151,"&gt;="&amp;'План недели'!$B$4,$B$5:B1151,"&lt;"&amp;'План недели'!$D$4,$D$5:D1151,"&lt;&gt;",$G$5:G1151,"&lt;&gt;Отменён"),"")</f>
        <v/>
      </c>
    </row>
    <row r="1152" spans="1:11">
      <c r="A1152" t="str">
        <f>IF(B1152="","","VIS_"&amp;(YEAR(B1152)*10000+MONTH(B1152)*100+DAY(B1152))&amp;"_"&amp;IF(COUNTIF($B$5:B1152,B1152)&lt;10,"00"&amp;COUNTIF($B$5:B1152,B1152),IF(COUNTIF($B$5:B1152,B1152)&lt;100,"0"&amp;COUNTIF($B$5:B1152,B1152),COUNTIF($B$5:B1152,B1152))))</f>
        <v>VIS_20281230_001</v>
      </c>
      <c r="B1152" s="42">
        <v>47117</v>
      </c>
      <c r="C1152" s="49" t="str">
        <f t="shared" si="34"/>
        <v>Сб</v>
      </c>
      <c r="I1152" s="46"/>
      <c r="J1152" s="39">
        <f t="shared" si="35"/>
        <v>47114</v>
      </c>
      <c r="K1152" t="str">
        <f ca="1">IF(AND(B1152&gt;='План недели'!$B$4,B1152&lt;'План недели'!$D$4,D1152&lt;&gt;"",G1152&lt;&gt;"Отменён"),COUNTIFS($B$5:B1152,"&gt;="&amp;'План недели'!$B$4,$B$5:B1152,"&lt;"&amp;'План недели'!$D$4,$D$5:D1152,"&lt;&gt;",$G$5:G1152,"&lt;&gt;Отменён"),"")</f>
        <v/>
      </c>
    </row>
    <row r="1153" spans="1:11">
      <c r="A1153" t="str">
        <f>IF(B1153="","","VIS_"&amp;(YEAR(B1153)*10000+MONTH(B1153)*100+DAY(B1153))&amp;"_"&amp;IF(COUNTIF($B$5:B1153,B1153)&lt;10,"00"&amp;COUNTIF($B$5:B1153,B1153),IF(COUNTIF($B$5:B1153,B1153)&lt;100,"0"&amp;COUNTIF($B$5:B1153,B1153),COUNTIF($B$5:B1153,B1153))))</f>
        <v>VIS_20281231_001</v>
      </c>
      <c r="B1153" s="42">
        <v>47118</v>
      </c>
      <c r="C1153" s="49" t="str">
        <f t="shared" si="34"/>
        <v>Вс</v>
      </c>
      <c r="I1153" s="46"/>
      <c r="J1153" s="39">
        <f t="shared" si="35"/>
        <v>47114</v>
      </c>
      <c r="K1153" t="str">
        <f ca="1">IF(AND(B1153&gt;='План недели'!$B$4,B1153&lt;'План недели'!$D$4,D1153&lt;&gt;"",G1153&lt;&gt;"Отменён"),COUNTIFS($B$5:B1153,"&gt;="&amp;'План недели'!$B$4,$B$5:B1153,"&lt;"&amp;'План недели'!$D$4,$D$5:D1153,"&lt;&gt;",$G$5:G1153,"&lt;&gt;Отменён"),"")</f>
        <v/>
      </c>
    </row>
    <row r="1154" spans="1:11">
      <c r="A1154" t="str">
        <f>IF(B1154="","","VIS_"&amp;(YEAR(B1154)*10000+MONTH(B1154)*100+DAY(B1154))&amp;"_"&amp;IF(COUNTIF($B$5:B1154,B1154)&lt;10,"00"&amp;COUNTIF($B$5:B1154,B1154),IF(COUNTIF($B$5:B1154,B1154)&lt;100,"0"&amp;COUNTIF($B$5:B1154,B1154),COUNTIF($B$5:B1154,B1154))))</f>
        <v>VIS_20290101_001</v>
      </c>
      <c r="B1154" s="40">
        <v>47119</v>
      </c>
      <c r="C1154" s="47" t="str">
        <f t="shared" si="34"/>
        <v>Пн</v>
      </c>
      <c r="I1154" s="46"/>
      <c r="J1154" s="39">
        <f t="shared" si="35"/>
        <v>47114</v>
      </c>
      <c r="K1154" t="str">
        <f ca="1">IF(AND(B1154&gt;='План недели'!$B$4,B1154&lt;'План недели'!$D$4,D1154&lt;&gt;"",G1154&lt;&gt;"Отменён"),COUNTIFS($B$5:B1154,"&gt;="&amp;'План недели'!$B$4,$B$5:B1154,"&lt;"&amp;'План недели'!$D$4,$D$5:D1154,"&lt;&gt;",$G$5:G1154,"&lt;&gt;Отменён"),"")</f>
        <v/>
      </c>
    </row>
    <row r="1155" spans="1:11">
      <c r="A1155" t="str">
        <f>IF(B1155="","","VIS_"&amp;(YEAR(B1155)*10000+MONTH(B1155)*100+DAY(B1155))&amp;"_"&amp;IF(COUNTIF($B$5:B1155,B1155)&lt;10,"00"&amp;COUNTIF($B$5:B1155,B1155),IF(COUNTIF($B$5:B1155,B1155)&lt;100,"0"&amp;COUNTIF($B$5:B1155,B1155),COUNTIF($B$5:B1155,B1155))))</f>
        <v>VIS_20290102_001</v>
      </c>
      <c r="B1155" s="40">
        <v>47120</v>
      </c>
      <c r="C1155" s="47" t="str">
        <f t="shared" si="34"/>
        <v>Вт</v>
      </c>
      <c r="I1155" s="46"/>
      <c r="J1155" s="39">
        <f t="shared" si="35"/>
        <v>47114</v>
      </c>
      <c r="K1155" t="str">
        <f ca="1">IF(AND(B1155&gt;='План недели'!$B$4,B1155&lt;'План недели'!$D$4,D1155&lt;&gt;"",G1155&lt;&gt;"Отменён"),COUNTIFS($B$5:B1155,"&gt;="&amp;'План недели'!$B$4,$B$5:B1155,"&lt;"&amp;'План недели'!$D$4,$D$5:D1155,"&lt;&gt;",$G$5:G1155,"&lt;&gt;Отменён"),"")</f>
        <v/>
      </c>
    </row>
    <row r="1156" spans="1:11">
      <c r="A1156" t="str">
        <f>IF(B1156="","","VIS_"&amp;(YEAR(B1156)*10000+MONTH(B1156)*100+DAY(B1156))&amp;"_"&amp;IF(COUNTIF($B$5:B1156,B1156)&lt;10,"00"&amp;COUNTIF($B$5:B1156,B1156),IF(COUNTIF($B$5:B1156,B1156)&lt;100,"0"&amp;COUNTIF($B$5:B1156,B1156),COUNTIF($B$5:B1156,B1156))))</f>
        <v>VIS_20290103_001</v>
      </c>
      <c r="B1156" s="40">
        <v>47121</v>
      </c>
      <c r="C1156" s="47" t="str">
        <f t="shared" si="34"/>
        <v>Ср</v>
      </c>
      <c r="I1156" s="46"/>
      <c r="J1156" s="39">
        <f t="shared" si="35"/>
        <v>47121</v>
      </c>
      <c r="K1156" t="str">
        <f ca="1">IF(AND(B1156&gt;='План недели'!$B$4,B1156&lt;'План недели'!$D$4,D1156&lt;&gt;"",G1156&lt;&gt;"Отменён"),COUNTIFS($B$5:B1156,"&gt;="&amp;'План недели'!$B$4,$B$5:B1156,"&lt;"&amp;'План недели'!$D$4,$D$5:D1156,"&lt;&gt;",$G$5:G1156,"&lt;&gt;Отменён"),"")</f>
        <v/>
      </c>
    </row>
    <row r="1157" spans="1:11">
      <c r="A1157" t="str">
        <f>IF(B1157="","","VIS_"&amp;(YEAR(B1157)*10000+MONTH(B1157)*100+DAY(B1157))&amp;"_"&amp;IF(COUNTIF($B$5:B1157,B1157)&lt;10,"00"&amp;COUNTIF($B$5:B1157,B1157),IF(COUNTIF($B$5:B1157,B1157)&lt;100,"0"&amp;COUNTIF($B$5:B1157,B1157),COUNTIF($B$5:B1157,B1157))))</f>
        <v>VIS_20290104_001</v>
      </c>
      <c r="B1157" s="40">
        <v>47122</v>
      </c>
      <c r="C1157" s="47" t="str">
        <f t="shared" ref="C1157:C1220" si="36">IF(B1157="","",CHOOSE(WEEKDAY(B1157,2),"Пн","Вт","Ср","Чт","Пт","Сб","Вс"))</f>
        <v>Чт</v>
      </c>
      <c r="I1157" s="46"/>
      <c r="J1157" s="39">
        <f t="shared" ref="J1157:J1220" si="37">IF(B1157="","",B1157-MOD(WEEKDAY(B1157,2)-3,7))</f>
        <v>47121</v>
      </c>
      <c r="K1157" t="str">
        <f ca="1">IF(AND(B1157&gt;='План недели'!$B$4,B1157&lt;'План недели'!$D$4,D1157&lt;&gt;"",G1157&lt;&gt;"Отменён"),COUNTIFS($B$5:B1157,"&gt;="&amp;'План недели'!$B$4,$B$5:B1157,"&lt;"&amp;'План недели'!$D$4,$D$5:D1157,"&lt;&gt;",$G$5:G1157,"&lt;&gt;Отменён"),"")</f>
        <v/>
      </c>
    </row>
    <row r="1158" spans="1:11">
      <c r="A1158" t="str">
        <f>IF(B1158="","","VIS_"&amp;(YEAR(B1158)*10000+MONTH(B1158)*100+DAY(B1158))&amp;"_"&amp;IF(COUNTIF($B$5:B1158,B1158)&lt;10,"00"&amp;COUNTIF($B$5:B1158,B1158),IF(COUNTIF($B$5:B1158,B1158)&lt;100,"0"&amp;COUNTIF($B$5:B1158,B1158),COUNTIF($B$5:B1158,B1158))))</f>
        <v>VIS_20290105_001</v>
      </c>
      <c r="B1158" s="40">
        <v>47123</v>
      </c>
      <c r="C1158" s="47" t="str">
        <f t="shared" si="36"/>
        <v>Пт</v>
      </c>
      <c r="I1158" s="46"/>
      <c r="J1158" s="39">
        <f t="shared" si="37"/>
        <v>47121</v>
      </c>
      <c r="K1158" t="str">
        <f ca="1">IF(AND(B1158&gt;='План недели'!$B$4,B1158&lt;'План недели'!$D$4,D1158&lt;&gt;"",G1158&lt;&gt;"Отменён"),COUNTIFS($B$5:B1158,"&gt;="&amp;'План недели'!$B$4,$B$5:B1158,"&lt;"&amp;'План недели'!$D$4,$D$5:D1158,"&lt;&gt;",$G$5:G1158,"&lt;&gt;Отменён"),"")</f>
        <v/>
      </c>
    </row>
    <row r="1159" spans="1:11">
      <c r="A1159" t="str">
        <f>IF(B1159="","","VIS_"&amp;(YEAR(B1159)*10000+MONTH(B1159)*100+DAY(B1159))&amp;"_"&amp;IF(COUNTIF($B$5:B1159,B1159)&lt;10,"00"&amp;COUNTIF($B$5:B1159,B1159),IF(COUNTIF($B$5:B1159,B1159)&lt;100,"0"&amp;COUNTIF($B$5:B1159,B1159),COUNTIF($B$5:B1159,B1159))))</f>
        <v>VIS_20290106_001</v>
      </c>
      <c r="B1159" s="42">
        <v>47124</v>
      </c>
      <c r="C1159" s="49" t="str">
        <f t="shared" si="36"/>
        <v>Сб</v>
      </c>
      <c r="I1159" s="46"/>
      <c r="J1159" s="39">
        <f t="shared" si="37"/>
        <v>47121</v>
      </c>
      <c r="K1159" t="str">
        <f ca="1">IF(AND(B1159&gt;='План недели'!$B$4,B1159&lt;'План недели'!$D$4,D1159&lt;&gt;"",G1159&lt;&gt;"Отменён"),COUNTIFS($B$5:B1159,"&gt;="&amp;'План недели'!$B$4,$B$5:B1159,"&lt;"&amp;'План недели'!$D$4,$D$5:D1159,"&lt;&gt;",$G$5:G1159,"&lt;&gt;Отменён"),"")</f>
        <v/>
      </c>
    </row>
    <row r="1160" spans="1:11">
      <c r="A1160" t="str">
        <f>IF(B1160="","","VIS_"&amp;(YEAR(B1160)*10000+MONTH(B1160)*100+DAY(B1160))&amp;"_"&amp;IF(COUNTIF($B$5:B1160,B1160)&lt;10,"00"&amp;COUNTIF($B$5:B1160,B1160),IF(COUNTIF($B$5:B1160,B1160)&lt;100,"0"&amp;COUNTIF($B$5:B1160,B1160),COUNTIF($B$5:B1160,B1160))))</f>
        <v>VIS_20290107_001</v>
      </c>
      <c r="B1160" s="42">
        <v>47125</v>
      </c>
      <c r="C1160" s="49" t="str">
        <f t="shared" si="36"/>
        <v>Вс</v>
      </c>
      <c r="I1160" s="46"/>
      <c r="J1160" s="39">
        <f t="shared" si="37"/>
        <v>47121</v>
      </c>
      <c r="K1160" t="str">
        <f ca="1">IF(AND(B1160&gt;='План недели'!$B$4,B1160&lt;'План недели'!$D$4,D1160&lt;&gt;"",G1160&lt;&gt;"Отменён"),COUNTIFS($B$5:B1160,"&gt;="&amp;'План недели'!$B$4,$B$5:B1160,"&lt;"&amp;'План недели'!$D$4,$D$5:D1160,"&lt;&gt;",$G$5:G1160,"&lt;&gt;Отменён"),"")</f>
        <v/>
      </c>
    </row>
    <row r="1161" spans="1:11">
      <c r="A1161" t="str">
        <f>IF(B1161="","","VIS_"&amp;(YEAR(B1161)*10000+MONTH(B1161)*100+DAY(B1161))&amp;"_"&amp;IF(COUNTIF($B$5:B1161,B1161)&lt;10,"00"&amp;COUNTIF($B$5:B1161,B1161),IF(COUNTIF($B$5:B1161,B1161)&lt;100,"0"&amp;COUNTIF($B$5:B1161,B1161),COUNTIF($B$5:B1161,B1161))))</f>
        <v>VIS_20290108_001</v>
      </c>
      <c r="B1161" s="40">
        <v>47126</v>
      </c>
      <c r="C1161" s="47" t="str">
        <f t="shared" si="36"/>
        <v>Пн</v>
      </c>
      <c r="I1161" s="46"/>
      <c r="J1161" s="39">
        <f t="shared" si="37"/>
        <v>47121</v>
      </c>
      <c r="K1161" t="str">
        <f ca="1">IF(AND(B1161&gt;='План недели'!$B$4,B1161&lt;'План недели'!$D$4,D1161&lt;&gt;"",G1161&lt;&gt;"Отменён"),COUNTIFS($B$5:B1161,"&gt;="&amp;'План недели'!$B$4,$B$5:B1161,"&lt;"&amp;'План недели'!$D$4,$D$5:D1161,"&lt;&gt;",$G$5:G1161,"&lt;&gt;Отменён"),"")</f>
        <v/>
      </c>
    </row>
    <row r="1162" spans="1:11">
      <c r="A1162" t="str">
        <f>IF(B1162="","","VIS_"&amp;(YEAR(B1162)*10000+MONTH(B1162)*100+DAY(B1162))&amp;"_"&amp;IF(COUNTIF($B$5:B1162,B1162)&lt;10,"00"&amp;COUNTIF($B$5:B1162,B1162),IF(COUNTIF($B$5:B1162,B1162)&lt;100,"0"&amp;COUNTIF($B$5:B1162,B1162),COUNTIF($B$5:B1162,B1162))))</f>
        <v>VIS_20290109_001</v>
      </c>
      <c r="B1162" s="40">
        <v>47127</v>
      </c>
      <c r="C1162" s="47" t="str">
        <f t="shared" si="36"/>
        <v>Вт</v>
      </c>
      <c r="I1162" s="46"/>
      <c r="J1162" s="39">
        <f t="shared" si="37"/>
        <v>47121</v>
      </c>
      <c r="K1162" t="str">
        <f ca="1">IF(AND(B1162&gt;='План недели'!$B$4,B1162&lt;'План недели'!$D$4,D1162&lt;&gt;"",G1162&lt;&gt;"Отменён"),COUNTIFS($B$5:B1162,"&gt;="&amp;'План недели'!$B$4,$B$5:B1162,"&lt;"&amp;'План недели'!$D$4,$D$5:D1162,"&lt;&gt;",$G$5:G1162,"&lt;&gt;Отменён"),"")</f>
        <v/>
      </c>
    </row>
    <row r="1163" spans="1:11">
      <c r="A1163" t="str">
        <f>IF(B1163="","","VIS_"&amp;(YEAR(B1163)*10000+MONTH(B1163)*100+DAY(B1163))&amp;"_"&amp;IF(COUNTIF($B$5:B1163,B1163)&lt;10,"00"&amp;COUNTIF($B$5:B1163,B1163),IF(COUNTIF($B$5:B1163,B1163)&lt;100,"0"&amp;COUNTIF($B$5:B1163,B1163),COUNTIF($B$5:B1163,B1163))))</f>
        <v>VIS_20290110_001</v>
      </c>
      <c r="B1163" s="40">
        <v>47128</v>
      </c>
      <c r="C1163" s="47" t="str">
        <f t="shared" si="36"/>
        <v>Ср</v>
      </c>
      <c r="I1163" s="46"/>
      <c r="J1163" s="39">
        <f t="shared" si="37"/>
        <v>47128</v>
      </c>
      <c r="K1163" t="str">
        <f ca="1">IF(AND(B1163&gt;='План недели'!$B$4,B1163&lt;'План недели'!$D$4,D1163&lt;&gt;"",G1163&lt;&gt;"Отменён"),COUNTIFS($B$5:B1163,"&gt;="&amp;'План недели'!$B$4,$B$5:B1163,"&lt;"&amp;'План недели'!$D$4,$D$5:D1163,"&lt;&gt;",$G$5:G1163,"&lt;&gt;Отменён"),"")</f>
        <v/>
      </c>
    </row>
    <row r="1164" spans="1:11">
      <c r="A1164" t="str">
        <f>IF(B1164="","","VIS_"&amp;(YEAR(B1164)*10000+MONTH(B1164)*100+DAY(B1164))&amp;"_"&amp;IF(COUNTIF($B$5:B1164,B1164)&lt;10,"00"&amp;COUNTIF($B$5:B1164,B1164),IF(COUNTIF($B$5:B1164,B1164)&lt;100,"0"&amp;COUNTIF($B$5:B1164,B1164),COUNTIF($B$5:B1164,B1164))))</f>
        <v>VIS_20290111_001</v>
      </c>
      <c r="B1164" s="40">
        <v>47129</v>
      </c>
      <c r="C1164" s="47" t="str">
        <f t="shared" si="36"/>
        <v>Чт</v>
      </c>
      <c r="I1164" s="46"/>
      <c r="J1164" s="39">
        <f t="shared" si="37"/>
        <v>47128</v>
      </c>
      <c r="K1164" t="str">
        <f ca="1">IF(AND(B1164&gt;='План недели'!$B$4,B1164&lt;'План недели'!$D$4,D1164&lt;&gt;"",G1164&lt;&gt;"Отменён"),COUNTIFS($B$5:B1164,"&gt;="&amp;'План недели'!$B$4,$B$5:B1164,"&lt;"&amp;'План недели'!$D$4,$D$5:D1164,"&lt;&gt;",$G$5:G1164,"&lt;&gt;Отменён"),"")</f>
        <v/>
      </c>
    </row>
    <row r="1165" spans="1:11">
      <c r="A1165" t="str">
        <f>IF(B1165="","","VIS_"&amp;(YEAR(B1165)*10000+MONTH(B1165)*100+DAY(B1165))&amp;"_"&amp;IF(COUNTIF($B$5:B1165,B1165)&lt;10,"00"&amp;COUNTIF($B$5:B1165,B1165),IF(COUNTIF($B$5:B1165,B1165)&lt;100,"0"&amp;COUNTIF($B$5:B1165,B1165),COUNTIF($B$5:B1165,B1165))))</f>
        <v>VIS_20290112_001</v>
      </c>
      <c r="B1165" s="40">
        <v>47130</v>
      </c>
      <c r="C1165" s="47" t="str">
        <f t="shared" si="36"/>
        <v>Пт</v>
      </c>
      <c r="I1165" s="46"/>
      <c r="J1165" s="39">
        <f t="shared" si="37"/>
        <v>47128</v>
      </c>
      <c r="K1165" t="str">
        <f ca="1">IF(AND(B1165&gt;='План недели'!$B$4,B1165&lt;'План недели'!$D$4,D1165&lt;&gt;"",G1165&lt;&gt;"Отменён"),COUNTIFS($B$5:B1165,"&gt;="&amp;'План недели'!$B$4,$B$5:B1165,"&lt;"&amp;'План недели'!$D$4,$D$5:D1165,"&lt;&gt;",$G$5:G1165,"&lt;&gt;Отменён"),"")</f>
        <v/>
      </c>
    </row>
    <row r="1166" spans="1:11">
      <c r="A1166" t="str">
        <f>IF(B1166="","","VIS_"&amp;(YEAR(B1166)*10000+MONTH(B1166)*100+DAY(B1166))&amp;"_"&amp;IF(COUNTIF($B$5:B1166,B1166)&lt;10,"00"&amp;COUNTIF($B$5:B1166,B1166),IF(COUNTIF($B$5:B1166,B1166)&lt;100,"0"&amp;COUNTIF($B$5:B1166,B1166),COUNTIF($B$5:B1166,B1166))))</f>
        <v>VIS_20290113_001</v>
      </c>
      <c r="B1166" s="42">
        <v>47131</v>
      </c>
      <c r="C1166" s="49" t="str">
        <f t="shared" si="36"/>
        <v>Сб</v>
      </c>
      <c r="I1166" s="46"/>
      <c r="J1166" s="39">
        <f t="shared" si="37"/>
        <v>47128</v>
      </c>
      <c r="K1166" t="str">
        <f ca="1">IF(AND(B1166&gt;='План недели'!$B$4,B1166&lt;'План недели'!$D$4,D1166&lt;&gt;"",G1166&lt;&gt;"Отменён"),COUNTIFS($B$5:B1166,"&gt;="&amp;'План недели'!$B$4,$B$5:B1166,"&lt;"&amp;'План недели'!$D$4,$D$5:D1166,"&lt;&gt;",$G$5:G1166,"&lt;&gt;Отменён"),"")</f>
        <v/>
      </c>
    </row>
    <row r="1167" spans="1:11">
      <c r="A1167" t="str">
        <f>IF(B1167="","","VIS_"&amp;(YEAR(B1167)*10000+MONTH(B1167)*100+DAY(B1167))&amp;"_"&amp;IF(COUNTIF($B$5:B1167,B1167)&lt;10,"00"&amp;COUNTIF($B$5:B1167,B1167),IF(COUNTIF($B$5:B1167,B1167)&lt;100,"0"&amp;COUNTIF($B$5:B1167,B1167),COUNTIF($B$5:B1167,B1167))))</f>
        <v>VIS_20290114_001</v>
      </c>
      <c r="B1167" s="42">
        <v>47132</v>
      </c>
      <c r="C1167" s="49" t="str">
        <f t="shared" si="36"/>
        <v>Вс</v>
      </c>
      <c r="I1167" s="46"/>
      <c r="J1167" s="39">
        <f t="shared" si="37"/>
        <v>47128</v>
      </c>
      <c r="K1167" t="str">
        <f ca="1">IF(AND(B1167&gt;='План недели'!$B$4,B1167&lt;'План недели'!$D$4,D1167&lt;&gt;"",G1167&lt;&gt;"Отменён"),COUNTIFS($B$5:B1167,"&gt;="&amp;'План недели'!$B$4,$B$5:B1167,"&lt;"&amp;'План недели'!$D$4,$D$5:D1167,"&lt;&gt;",$G$5:G1167,"&lt;&gt;Отменён"),"")</f>
        <v/>
      </c>
    </row>
    <row r="1168" spans="1:11">
      <c r="A1168" t="str">
        <f>IF(B1168="","","VIS_"&amp;(YEAR(B1168)*10000+MONTH(B1168)*100+DAY(B1168))&amp;"_"&amp;IF(COUNTIF($B$5:B1168,B1168)&lt;10,"00"&amp;COUNTIF($B$5:B1168,B1168),IF(COUNTIF($B$5:B1168,B1168)&lt;100,"0"&amp;COUNTIF($B$5:B1168,B1168),COUNTIF($B$5:B1168,B1168))))</f>
        <v>VIS_20290115_001</v>
      </c>
      <c r="B1168" s="40">
        <v>47133</v>
      </c>
      <c r="C1168" s="47" t="str">
        <f t="shared" si="36"/>
        <v>Пн</v>
      </c>
      <c r="I1168" s="46"/>
      <c r="J1168" s="39">
        <f t="shared" si="37"/>
        <v>47128</v>
      </c>
      <c r="K1168" t="str">
        <f ca="1">IF(AND(B1168&gt;='План недели'!$B$4,B1168&lt;'План недели'!$D$4,D1168&lt;&gt;"",G1168&lt;&gt;"Отменён"),COUNTIFS($B$5:B1168,"&gt;="&amp;'План недели'!$B$4,$B$5:B1168,"&lt;"&amp;'План недели'!$D$4,$D$5:D1168,"&lt;&gt;",$G$5:G1168,"&lt;&gt;Отменён"),"")</f>
        <v/>
      </c>
    </row>
    <row r="1169" spans="1:11">
      <c r="A1169" t="str">
        <f>IF(B1169="","","VIS_"&amp;(YEAR(B1169)*10000+MONTH(B1169)*100+DAY(B1169))&amp;"_"&amp;IF(COUNTIF($B$5:B1169,B1169)&lt;10,"00"&amp;COUNTIF($B$5:B1169,B1169),IF(COUNTIF($B$5:B1169,B1169)&lt;100,"0"&amp;COUNTIF($B$5:B1169,B1169),COUNTIF($B$5:B1169,B1169))))</f>
        <v>VIS_20290116_001</v>
      </c>
      <c r="B1169" s="40">
        <v>47134</v>
      </c>
      <c r="C1169" s="47" t="str">
        <f t="shared" si="36"/>
        <v>Вт</v>
      </c>
      <c r="I1169" s="46"/>
      <c r="J1169" s="39">
        <f t="shared" si="37"/>
        <v>47128</v>
      </c>
      <c r="K1169" t="str">
        <f ca="1">IF(AND(B1169&gt;='План недели'!$B$4,B1169&lt;'План недели'!$D$4,D1169&lt;&gt;"",G1169&lt;&gt;"Отменён"),COUNTIFS($B$5:B1169,"&gt;="&amp;'План недели'!$B$4,$B$5:B1169,"&lt;"&amp;'План недели'!$D$4,$D$5:D1169,"&lt;&gt;",$G$5:G1169,"&lt;&gt;Отменён"),"")</f>
        <v/>
      </c>
    </row>
    <row r="1170" spans="1:11">
      <c r="A1170" t="str">
        <f>IF(B1170="","","VIS_"&amp;(YEAR(B1170)*10000+MONTH(B1170)*100+DAY(B1170))&amp;"_"&amp;IF(COUNTIF($B$5:B1170,B1170)&lt;10,"00"&amp;COUNTIF($B$5:B1170,B1170),IF(COUNTIF($B$5:B1170,B1170)&lt;100,"0"&amp;COUNTIF($B$5:B1170,B1170),COUNTIF($B$5:B1170,B1170))))</f>
        <v>VIS_20290117_001</v>
      </c>
      <c r="B1170" s="40">
        <v>47135</v>
      </c>
      <c r="C1170" s="47" t="str">
        <f t="shared" si="36"/>
        <v>Ср</v>
      </c>
      <c r="I1170" s="46"/>
      <c r="J1170" s="39">
        <f t="shared" si="37"/>
        <v>47135</v>
      </c>
      <c r="K1170" t="str">
        <f ca="1">IF(AND(B1170&gt;='План недели'!$B$4,B1170&lt;'План недели'!$D$4,D1170&lt;&gt;"",G1170&lt;&gt;"Отменён"),COUNTIFS($B$5:B1170,"&gt;="&amp;'План недели'!$B$4,$B$5:B1170,"&lt;"&amp;'План недели'!$D$4,$D$5:D1170,"&lt;&gt;",$G$5:G1170,"&lt;&gt;Отменён"),"")</f>
        <v/>
      </c>
    </row>
    <row r="1171" spans="1:11">
      <c r="A1171" t="str">
        <f>IF(B1171="","","VIS_"&amp;(YEAR(B1171)*10000+MONTH(B1171)*100+DAY(B1171))&amp;"_"&amp;IF(COUNTIF($B$5:B1171,B1171)&lt;10,"00"&amp;COUNTIF($B$5:B1171,B1171),IF(COUNTIF($B$5:B1171,B1171)&lt;100,"0"&amp;COUNTIF($B$5:B1171,B1171),COUNTIF($B$5:B1171,B1171))))</f>
        <v>VIS_20290118_001</v>
      </c>
      <c r="B1171" s="40">
        <v>47136</v>
      </c>
      <c r="C1171" s="47" t="str">
        <f t="shared" si="36"/>
        <v>Чт</v>
      </c>
      <c r="I1171" s="46"/>
      <c r="J1171" s="39">
        <f t="shared" si="37"/>
        <v>47135</v>
      </c>
      <c r="K1171" t="str">
        <f ca="1">IF(AND(B1171&gt;='План недели'!$B$4,B1171&lt;'План недели'!$D$4,D1171&lt;&gt;"",G1171&lt;&gt;"Отменён"),COUNTIFS($B$5:B1171,"&gt;="&amp;'План недели'!$B$4,$B$5:B1171,"&lt;"&amp;'План недели'!$D$4,$D$5:D1171,"&lt;&gt;",$G$5:G1171,"&lt;&gt;Отменён"),"")</f>
        <v/>
      </c>
    </row>
    <row r="1172" spans="1:11">
      <c r="A1172" t="str">
        <f>IF(B1172="","","VIS_"&amp;(YEAR(B1172)*10000+MONTH(B1172)*100+DAY(B1172))&amp;"_"&amp;IF(COUNTIF($B$5:B1172,B1172)&lt;10,"00"&amp;COUNTIF($B$5:B1172,B1172),IF(COUNTIF($B$5:B1172,B1172)&lt;100,"0"&amp;COUNTIF($B$5:B1172,B1172),COUNTIF($B$5:B1172,B1172))))</f>
        <v>VIS_20290119_001</v>
      </c>
      <c r="B1172" s="40">
        <v>47137</v>
      </c>
      <c r="C1172" s="47" t="str">
        <f t="shared" si="36"/>
        <v>Пт</v>
      </c>
      <c r="I1172" s="46"/>
      <c r="J1172" s="39">
        <f t="shared" si="37"/>
        <v>47135</v>
      </c>
      <c r="K1172" t="str">
        <f ca="1">IF(AND(B1172&gt;='План недели'!$B$4,B1172&lt;'План недели'!$D$4,D1172&lt;&gt;"",G1172&lt;&gt;"Отменён"),COUNTIFS($B$5:B1172,"&gt;="&amp;'План недели'!$B$4,$B$5:B1172,"&lt;"&amp;'План недели'!$D$4,$D$5:D1172,"&lt;&gt;",$G$5:G1172,"&lt;&gt;Отменён"),"")</f>
        <v/>
      </c>
    </row>
    <row r="1173" spans="1:11">
      <c r="A1173" t="str">
        <f>IF(B1173="","","VIS_"&amp;(YEAR(B1173)*10000+MONTH(B1173)*100+DAY(B1173))&amp;"_"&amp;IF(COUNTIF($B$5:B1173,B1173)&lt;10,"00"&amp;COUNTIF($B$5:B1173,B1173),IF(COUNTIF($B$5:B1173,B1173)&lt;100,"0"&amp;COUNTIF($B$5:B1173,B1173),COUNTIF($B$5:B1173,B1173))))</f>
        <v>VIS_20290120_001</v>
      </c>
      <c r="B1173" s="42">
        <v>47138</v>
      </c>
      <c r="C1173" s="49" t="str">
        <f t="shared" si="36"/>
        <v>Сб</v>
      </c>
      <c r="I1173" s="46"/>
      <c r="J1173" s="39">
        <f t="shared" si="37"/>
        <v>47135</v>
      </c>
      <c r="K1173" t="str">
        <f ca="1">IF(AND(B1173&gt;='План недели'!$B$4,B1173&lt;'План недели'!$D$4,D1173&lt;&gt;"",G1173&lt;&gt;"Отменён"),COUNTIFS($B$5:B1173,"&gt;="&amp;'План недели'!$B$4,$B$5:B1173,"&lt;"&amp;'План недели'!$D$4,$D$5:D1173,"&lt;&gt;",$G$5:G1173,"&lt;&gt;Отменён"),"")</f>
        <v/>
      </c>
    </row>
    <row r="1174" spans="1:11">
      <c r="A1174" t="str">
        <f>IF(B1174="","","VIS_"&amp;(YEAR(B1174)*10000+MONTH(B1174)*100+DAY(B1174))&amp;"_"&amp;IF(COUNTIF($B$5:B1174,B1174)&lt;10,"00"&amp;COUNTIF($B$5:B1174,B1174),IF(COUNTIF($B$5:B1174,B1174)&lt;100,"0"&amp;COUNTIF($B$5:B1174,B1174),COUNTIF($B$5:B1174,B1174))))</f>
        <v>VIS_20290121_001</v>
      </c>
      <c r="B1174" s="42">
        <v>47139</v>
      </c>
      <c r="C1174" s="49" t="str">
        <f t="shared" si="36"/>
        <v>Вс</v>
      </c>
      <c r="I1174" s="46"/>
      <c r="J1174" s="39">
        <f t="shared" si="37"/>
        <v>47135</v>
      </c>
      <c r="K1174" t="str">
        <f ca="1">IF(AND(B1174&gt;='План недели'!$B$4,B1174&lt;'План недели'!$D$4,D1174&lt;&gt;"",G1174&lt;&gt;"Отменён"),COUNTIFS($B$5:B1174,"&gt;="&amp;'План недели'!$B$4,$B$5:B1174,"&lt;"&amp;'План недели'!$D$4,$D$5:D1174,"&lt;&gt;",$G$5:G1174,"&lt;&gt;Отменён"),"")</f>
        <v/>
      </c>
    </row>
    <row r="1175" spans="1:11">
      <c r="A1175" t="str">
        <f>IF(B1175="","","VIS_"&amp;(YEAR(B1175)*10000+MONTH(B1175)*100+DAY(B1175))&amp;"_"&amp;IF(COUNTIF($B$5:B1175,B1175)&lt;10,"00"&amp;COUNTIF($B$5:B1175,B1175),IF(COUNTIF($B$5:B1175,B1175)&lt;100,"0"&amp;COUNTIF($B$5:B1175,B1175),COUNTIF($B$5:B1175,B1175))))</f>
        <v>VIS_20290122_001</v>
      </c>
      <c r="B1175" s="40">
        <v>47140</v>
      </c>
      <c r="C1175" s="47" t="str">
        <f t="shared" si="36"/>
        <v>Пн</v>
      </c>
      <c r="I1175" s="46"/>
      <c r="J1175" s="39">
        <f t="shared" si="37"/>
        <v>47135</v>
      </c>
      <c r="K1175" t="str">
        <f ca="1">IF(AND(B1175&gt;='План недели'!$B$4,B1175&lt;'План недели'!$D$4,D1175&lt;&gt;"",G1175&lt;&gt;"Отменён"),COUNTIFS($B$5:B1175,"&gt;="&amp;'План недели'!$B$4,$B$5:B1175,"&lt;"&amp;'План недели'!$D$4,$D$5:D1175,"&lt;&gt;",$G$5:G1175,"&lt;&gt;Отменён"),"")</f>
        <v/>
      </c>
    </row>
    <row r="1176" spans="1:11">
      <c r="A1176" t="str">
        <f>IF(B1176="","","VIS_"&amp;(YEAR(B1176)*10000+MONTH(B1176)*100+DAY(B1176))&amp;"_"&amp;IF(COUNTIF($B$5:B1176,B1176)&lt;10,"00"&amp;COUNTIF($B$5:B1176,B1176),IF(COUNTIF($B$5:B1176,B1176)&lt;100,"0"&amp;COUNTIF($B$5:B1176,B1176),COUNTIF($B$5:B1176,B1176))))</f>
        <v>VIS_20290123_001</v>
      </c>
      <c r="B1176" s="40">
        <v>47141</v>
      </c>
      <c r="C1176" s="47" t="str">
        <f t="shared" si="36"/>
        <v>Вт</v>
      </c>
      <c r="I1176" s="46"/>
      <c r="J1176" s="39">
        <f t="shared" si="37"/>
        <v>47135</v>
      </c>
      <c r="K1176" t="str">
        <f ca="1">IF(AND(B1176&gt;='План недели'!$B$4,B1176&lt;'План недели'!$D$4,D1176&lt;&gt;"",G1176&lt;&gt;"Отменён"),COUNTIFS($B$5:B1176,"&gt;="&amp;'План недели'!$B$4,$B$5:B1176,"&lt;"&amp;'План недели'!$D$4,$D$5:D1176,"&lt;&gt;",$G$5:G1176,"&lt;&gt;Отменён"),"")</f>
        <v/>
      </c>
    </row>
    <row r="1177" spans="1:11">
      <c r="A1177" t="str">
        <f>IF(B1177="","","VIS_"&amp;(YEAR(B1177)*10000+MONTH(B1177)*100+DAY(B1177))&amp;"_"&amp;IF(COUNTIF($B$5:B1177,B1177)&lt;10,"00"&amp;COUNTIF($B$5:B1177,B1177),IF(COUNTIF($B$5:B1177,B1177)&lt;100,"0"&amp;COUNTIF($B$5:B1177,B1177),COUNTIF($B$5:B1177,B1177))))</f>
        <v>VIS_20290124_001</v>
      </c>
      <c r="B1177" s="40">
        <v>47142</v>
      </c>
      <c r="C1177" s="47" t="str">
        <f t="shared" si="36"/>
        <v>Ср</v>
      </c>
      <c r="I1177" s="46"/>
      <c r="J1177" s="39">
        <f t="shared" si="37"/>
        <v>47142</v>
      </c>
      <c r="K1177" t="str">
        <f ca="1">IF(AND(B1177&gt;='План недели'!$B$4,B1177&lt;'План недели'!$D$4,D1177&lt;&gt;"",G1177&lt;&gt;"Отменён"),COUNTIFS($B$5:B1177,"&gt;="&amp;'План недели'!$B$4,$B$5:B1177,"&lt;"&amp;'План недели'!$D$4,$D$5:D1177,"&lt;&gt;",$G$5:G1177,"&lt;&gt;Отменён"),"")</f>
        <v/>
      </c>
    </row>
    <row r="1178" spans="1:11">
      <c r="A1178" t="str">
        <f>IF(B1178="","","VIS_"&amp;(YEAR(B1178)*10000+MONTH(B1178)*100+DAY(B1178))&amp;"_"&amp;IF(COUNTIF($B$5:B1178,B1178)&lt;10,"00"&amp;COUNTIF($B$5:B1178,B1178),IF(COUNTIF($B$5:B1178,B1178)&lt;100,"0"&amp;COUNTIF($B$5:B1178,B1178),COUNTIF($B$5:B1178,B1178))))</f>
        <v>VIS_20290125_001</v>
      </c>
      <c r="B1178" s="40">
        <v>47143</v>
      </c>
      <c r="C1178" s="47" t="str">
        <f t="shared" si="36"/>
        <v>Чт</v>
      </c>
      <c r="I1178" s="46"/>
      <c r="J1178" s="39">
        <f t="shared" si="37"/>
        <v>47142</v>
      </c>
      <c r="K1178" t="str">
        <f ca="1">IF(AND(B1178&gt;='План недели'!$B$4,B1178&lt;'План недели'!$D$4,D1178&lt;&gt;"",G1178&lt;&gt;"Отменён"),COUNTIFS($B$5:B1178,"&gt;="&amp;'План недели'!$B$4,$B$5:B1178,"&lt;"&amp;'План недели'!$D$4,$D$5:D1178,"&lt;&gt;",$G$5:G1178,"&lt;&gt;Отменён"),"")</f>
        <v/>
      </c>
    </row>
    <row r="1179" spans="1:11">
      <c r="A1179" t="str">
        <f>IF(B1179="","","VIS_"&amp;(YEAR(B1179)*10000+MONTH(B1179)*100+DAY(B1179))&amp;"_"&amp;IF(COUNTIF($B$5:B1179,B1179)&lt;10,"00"&amp;COUNTIF($B$5:B1179,B1179),IF(COUNTIF($B$5:B1179,B1179)&lt;100,"0"&amp;COUNTIF($B$5:B1179,B1179),COUNTIF($B$5:B1179,B1179))))</f>
        <v>VIS_20290126_001</v>
      </c>
      <c r="B1179" s="40">
        <v>47144</v>
      </c>
      <c r="C1179" s="47" t="str">
        <f t="shared" si="36"/>
        <v>Пт</v>
      </c>
      <c r="I1179" s="46"/>
      <c r="J1179" s="39">
        <f t="shared" si="37"/>
        <v>47142</v>
      </c>
      <c r="K1179" t="str">
        <f ca="1">IF(AND(B1179&gt;='План недели'!$B$4,B1179&lt;'План недели'!$D$4,D1179&lt;&gt;"",G1179&lt;&gt;"Отменён"),COUNTIFS($B$5:B1179,"&gt;="&amp;'План недели'!$B$4,$B$5:B1179,"&lt;"&amp;'План недели'!$D$4,$D$5:D1179,"&lt;&gt;",$G$5:G1179,"&lt;&gt;Отменён"),"")</f>
        <v/>
      </c>
    </row>
    <row r="1180" spans="1:11">
      <c r="A1180" t="str">
        <f>IF(B1180="","","VIS_"&amp;(YEAR(B1180)*10000+MONTH(B1180)*100+DAY(B1180))&amp;"_"&amp;IF(COUNTIF($B$5:B1180,B1180)&lt;10,"00"&amp;COUNTIF($B$5:B1180,B1180),IF(COUNTIF($B$5:B1180,B1180)&lt;100,"0"&amp;COUNTIF($B$5:B1180,B1180),COUNTIF($B$5:B1180,B1180))))</f>
        <v>VIS_20290127_001</v>
      </c>
      <c r="B1180" s="42">
        <v>47145</v>
      </c>
      <c r="C1180" s="49" t="str">
        <f t="shared" si="36"/>
        <v>Сб</v>
      </c>
      <c r="I1180" s="46"/>
      <c r="J1180" s="39">
        <f t="shared" si="37"/>
        <v>47142</v>
      </c>
      <c r="K1180" t="str">
        <f ca="1">IF(AND(B1180&gt;='План недели'!$B$4,B1180&lt;'План недели'!$D$4,D1180&lt;&gt;"",G1180&lt;&gt;"Отменён"),COUNTIFS($B$5:B1180,"&gt;="&amp;'План недели'!$B$4,$B$5:B1180,"&lt;"&amp;'План недели'!$D$4,$D$5:D1180,"&lt;&gt;",$G$5:G1180,"&lt;&gt;Отменён"),"")</f>
        <v/>
      </c>
    </row>
    <row r="1181" spans="1:11">
      <c r="A1181" t="str">
        <f>IF(B1181="","","VIS_"&amp;(YEAR(B1181)*10000+MONTH(B1181)*100+DAY(B1181))&amp;"_"&amp;IF(COUNTIF($B$5:B1181,B1181)&lt;10,"00"&amp;COUNTIF($B$5:B1181,B1181),IF(COUNTIF($B$5:B1181,B1181)&lt;100,"0"&amp;COUNTIF($B$5:B1181,B1181),COUNTIF($B$5:B1181,B1181))))</f>
        <v>VIS_20290128_001</v>
      </c>
      <c r="B1181" s="42">
        <v>47146</v>
      </c>
      <c r="C1181" s="49" t="str">
        <f t="shared" si="36"/>
        <v>Вс</v>
      </c>
      <c r="I1181" s="46"/>
      <c r="J1181" s="39">
        <f t="shared" si="37"/>
        <v>47142</v>
      </c>
      <c r="K1181" t="str">
        <f ca="1">IF(AND(B1181&gt;='План недели'!$B$4,B1181&lt;'План недели'!$D$4,D1181&lt;&gt;"",G1181&lt;&gt;"Отменён"),COUNTIFS($B$5:B1181,"&gt;="&amp;'План недели'!$B$4,$B$5:B1181,"&lt;"&amp;'План недели'!$D$4,$D$5:D1181,"&lt;&gt;",$G$5:G1181,"&lt;&gt;Отменён"),"")</f>
        <v/>
      </c>
    </row>
    <row r="1182" spans="1:11">
      <c r="A1182" t="str">
        <f>IF(B1182="","","VIS_"&amp;(YEAR(B1182)*10000+MONTH(B1182)*100+DAY(B1182))&amp;"_"&amp;IF(COUNTIF($B$5:B1182,B1182)&lt;10,"00"&amp;COUNTIF($B$5:B1182,B1182),IF(COUNTIF($B$5:B1182,B1182)&lt;100,"0"&amp;COUNTIF($B$5:B1182,B1182),COUNTIF($B$5:B1182,B1182))))</f>
        <v>VIS_20290129_001</v>
      </c>
      <c r="B1182" s="40">
        <v>47147</v>
      </c>
      <c r="C1182" s="47" t="str">
        <f t="shared" si="36"/>
        <v>Пн</v>
      </c>
      <c r="I1182" s="46"/>
      <c r="J1182" s="39">
        <f t="shared" si="37"/>
        <v>47142</v>
      </c>
      <c r="K1182" t="str">
        <f ca="1">IF(AND(B1182&gt;='План недели'!$B$4,B1182&lt;'План недели'!$D$4,D1182&lt;&gt;"",G1182&lt;&gt;"Отменён"),COUNTIFS($B$5:B1182,"&gt;="&amp;'План недели'!$B$4,$B$5:B1182,"&lt;"&amp;'План недели'!$D$4,$D$5:D1182,"&lt;&gt;",$G$5:G1182,"&lt;&gt;Отменён"),"")</f>
        <v/>
      </c>
    </row>
    <row r="1183" spans="1:11">
      <c r="A1183" t="str">
        <f>IF(B1183="","","VIS_"&amp;(YEAR(B1183)*10000+MONTH(B1183)*100+DAY(B1183))&amp;"_"&amp;IF(COUNTIF($B$5:B1183,B1183)&lt;10,"00"&amp;COUNTIF($B$5:B1183,B1183),IF(COUNTIF($B$5:B1183,B1183)&lt;100,"0"&amp;COUNTIF($B$5:B1183,B1183),COUNTIF($B$5:B1183,B1183))))</f>
        <v>VIS_20290130_001</v>
      </c>
      <c r="B1183" s="40">
        <v>47148</v>
      </c>
      <c r="C1183" s="47" t="str">
        <f t="shared" si="36"/>
        <v>Вт</v>
      </c>
      <c r="I1183" s="46"/>
      <c r="J1183" s="39">
        <f t="shared" si="37"/>
        <v>47142</v>
      </c>
      <c r="K1183" t="str">
        <f ca="1">IF(AND(B1183&gt;='План недели'!$B$4,B1183&lt;'План недели'!$D$4,D1183&lt;&gt;"",G1183&lt;&gt;"Отменён"),COUNTIFS($B$5:B1183,"&gt;="&amp;'План недели'!$B$4,$B$5:B1183,"&lt;"&amp;'План недели'!$D$4,$D$5:D1183,"&lt;&gt;",$G$5:G1183,"&lt;&gt;Отменён"),"")</f>
        <v/>
      </c>
    </row>
    <row r="1184" spans="1:11">
      <c r="A1184" t="str">
        <f>IF(B1184="","","VIS_"&amp;(YEAR(B1184)*10000+MONTH(B1184)*100+DAY(B1184))&amp;"_"&amp;IF(COUNTIF($B$5:B1184,B1184)&lt;10,"00"&amp;COUNTIF($B$5:B1184,B1184),IF(COUNTIF($B$5:B1184,B1184)&lt;100,"0"&amp;COUNTIF($B$5:B1184,B1184),COUNTIF($B$5:B1184,B1184))))</f>
        <v>VIS_20290131_001</v>
      </c>
      <c r="B1184" s="40">
        <v>47149</v>
      </c>
      <c r="C1184" s="47" t="str">
        <f t="shared" si="36"/>
        <v>Ср</v>
      </c>
      <c r="I1184" s="46"/>
      <c r="J1184" s="39">
        <f t="shared" si="37"/>
        <v>47149</v>
      </c>
      <c r="K1184" t="str">
        <f ca="1">IF(AND(B1184&gt;='План недели'!$B$4,B1184&lt;'План недели'!$D$4,D1184&lt;&gt;"",G1184&lt;&gt;"Отменён"),COUNTIFS($B$5:B1184,"&gt;="&amp;'План недели'!$B$4,$B$5:B1184,"&lt;"&amp;'План недели'!$D$4,$D$5:D1184,"&lt;&gt;",$G$5:G1184,"&lt;&gt;Отменён"),"")</f>
        <v/>
      </c>
    </row>
    <row r="1185" spans="1:11">
      <c r="A1185" t="str">
        <f>IF(B1185="","","VIS_"&amp;(YEAR(B1185)*10000+MONTH(B1185)*100+DAY(B1185))&amp;"_"&amp;IF(COUNTIF($B$5:B1185,B1185)&lt;10,"00"&amp;COUNTIF($B$5:B1185,B1185),IF(COUNTIF($B$5:B1185,B1185)&lt;100,"0"&amp;COUNTIF($B$5:B1185,B1185),COUNTIF($B$5:B1185,B1185))))</f>
        <v>VIS_20290201_001</v>
      </c>
      <c r="B1185" s="40">
        <v>47150</v>
      </c>
      <c r="C1185" s="47" t="str">
        <f t="shared" si="36"/>
        <v>Чт</v>
      </c>
      <c r="I1185" s="46"/>
      <c r="J1185" s="39">
        <f t="shared" si="37"/>
        <v>47149</v>
      </c>
      <c r="K1185" t="str">
        <f ca="1">IF(AND(B1185&gt;='План недели'!$B$4,B1185&lt;'План недели'!$D$4,D1185&lt;&gt;"",G1185&lt;&gt;"Отменён"),COUNTIFS($B$5:B1185,"&gt;="&amp;'План недели'!$B$4,$B$5:B1185,"&lt;"&amp;'План недели'!$D$4,$D$5:D1185,"&lt;&gt;",$G$5:G1185,"&lt;&gt;Отменён"),"")</f>
        <v/>
      </c>
    </row>
    <row r="1186" spans="1:11">
      <c r="A1186" t="str">
        <f>IF(B1186="","","VIS_"&amp;(YEAR(B1186)*10000+MONTH(B1186)*100+DAY(B1186))&amp;"_"&amp;IF(COUNTIF($B$5:B1186,B1186)&lt;10,"00"&amp;COUNTIF($B$5:B1186,B1186),IF(COUNTIF($B$5:B1186,B1186)&lt;100,"0"&amp;COUNTIF($B$5:B1186,B1186),COUNTIF($B$5:B1186,B1186))))</f>
        <v>VIS_20290202_001</v>
      </c>
      <c r="B1186" s="40">
        <v>47151</v>
      </c>
      <c r="C1186" s="47" t="str">
        <f t="shared" si="36"/>
        <v>Пт</v>
      </c>
      <c r="I1186" s="46"/>
      <c r="J1186" s="39">
        <f t="shared" si="37"/>
        <v>47149</v>
      </c>
      <c r="K1186" t="str">
        <f ca="1">IF(AND(B1186&gt;='План недели'!$B$4,B1186&lt;'План недели'!$D$4,D1186&lt;&gt;"",G1186&lt;&gt;"Отменён"),COUNTIFS($B$5:B1186,"&gt;="&amp;'План недели'!$B$4,$B$5:B1186,"&lt;"&amp;'План недели'!$D$4,$D$5:D1186,"&lt;&gt;",$G$5:G1186,"&lt;&gt;Отменён"),"")</f>
        <v/>
      </c>
    </row>
    <row r="1187" spans="1:11">
      <c r="A1187" t="str">
        <f>IF(B1187="","","VIS_"&amp;(YEAR(B1187)*10000+MONTH(B1187)*100+DAY(B1187))&amp;"_"&amp;IF(COUNTIF($B$5:B1187,B1187)&lt;10,"00"&amp;COUNTIF($B$5:B1187,B1187),IF(COUNTIF($B$5:B1187,B1187)&lt;100,"0"&amp;COUNTIF($B$5:B1187,B1187),COUNTIF($B$5:B1187,B1187))))</f>
        <v>VIS_20290203_001</v>
      </c>
      <c r="B1187" s="42">
        <v>47152</v>
      </c>
      <c r="C1187" s="49" t="str">
        <f t="shared" si="36"/>
        <v>Сб</v>
      </c>
      <c r="I1187" s="46"/>
      <c r="J1187" s="39">
        <f t="shared" si="37"/>
        <v>47149</v>
      </c>
      <c r="K1187" t="str">
        <f ca="1">IF(AND(B1187&gt;='План недели'!$B$4,B1187&lt;'План недели'!$D$4,D1187&lt;&gt;"",G1187&lt;&gt;"Отменён"),COUNTIFS($B$5:B1187,"&gt;="&amp;'План недели'!$B$4,$B$5:B1187,"&lt;"&amp;'План недели'!$D$4,$D$5:D1187,"&lt;&gt;",$G$5:G1187,"&lt;&gt;Отменён"),"")</f>
        <v/>
      </c>
    </row>
    <row r="1188" spans="1:11">
      <c r="A1188" t="str">
        <f>IF(B1188="","","VIS_"&amp;(YEAR(B1188)*10000+MONTH(B1188)*100+DAY(B1188))&amp;"_"&amp;IF(COUNTIF($B$5:B1188,B1188)&lt;10,"00"&amp;COUNTIF($B$5:B1188,B1188),IF(COUNTIF($B$5:B1188,B1188)&lt;100,"0"&amp;COUNTIF($B$5:B1188,B1188),COUNTIF($B$5:B1188,B1188))))</f>
        <v>VIS_20290204_001</v>
      </c>
      <c r="B1188" s="42">
        <v>47153</v>
      </c>
      <c r="C1188" s="49" t="str">
        <f t="shared" si="36"/>
        <v>Вс</v>
      </c>
      <c r="I1188" s="46"/>
      <c r="J1188" s="39">
        <f t="shared" si="37"/>
        <v>47149</v>
      </c>
      <c r="K1188" t="str">
        <f ca="1">IF(AND(B1188&gt;='План недели'!$B$4,B1188&lt;'План недели'!$D$4,D1188&lt;&gt;"",G1188&lt;&gt;"Отменён"),COUNTIFS($B$5:B1188,"&gt;="&amp;'План недели'!$B$4,$B$5:B1188,"&lt;"&amp;'План недели'!$D$4,$D$5:D1188,"&lt;&gt;",$G$5:G1188,"&lt;&gt;Отменён"),"")</f>
        <v/>
      </c>
    </row>
    <row r="1189" spans="1:11">
      <c r="A1189" t="str">
        <f>IF(B1189="","","VIS_"&amp;(YEAR(B1189)*10000+MONTH(B1189)*100+DAY(B1189))&amp;"_"&amp;IF(COUNTIF($B$5:B1189,B1189)&lt;10,"00"&amp;COUNTIF($B$5:B1189,B1189),IF(COUNTIF($B$5:B1189,B1189)&lt;100,"0"&amp;COUNTIF($B$5:B1189,B1189),COUNTIF($B$5:B1189,B1189))))</f>
        <v>VIS_20290205_001</v>
      </c>
      <c r="B1189" s="40">
        <v>47154</v>
      </c>
      <c r="C1189" s="47" t="str">
        <f t="shared" si="36"/>
        <v>Пн</v>
      </c>
      <c r="I1189" s="46"/>
      <c r="J1189" s="39">
        <f t="shared" si="37"/>
        <v>47149</v>
      </c>
      <c r="K1189" t="str">
        <f ca="1">IF(AND(B1189&gt;='План недели'!$B$4,B1189&lt;'План недели'!$D$4,D1189&lt;&gt;"",G1189&lt;&gt;"Отменён"),COUNTIFS($B$5:B1189,"&gt;="&amp;'План недели'!$B$4,$B$5:B1189,"&lt;"&amp;'План недели'!$D$4,$D$5:D1189,"&lt;&gt;",$G$5:G1189,"&lt;&gt;Отменён"),"")</f>
        <v/>
      </c>
    </row>
    <row r="1190" spans="1:11">
      <c r="A1190" t="str">
        <f>IF(B1190="","","VIS_"&amp;(YEAR(B1190)*10000+MONTH(B1190)*100+DAY(B1190))&amp;"_"&amp;IF(COUNTIF($B$5:B1190,B1190)&lt;10,"00"&amp;COUNTIF($B$5:B1190,B1190),IF(COUNTIF($B$5:B1190,B1190)&lt;100,"0"&amp;COUNTIF($B$5:B1190,B1190),COUNTIF($B$5:B1190,B1190))))</f>
        <v>VIS_20290206_001</v>
      </c>
      <c r="B1190" s="40">
        <v>47155</v>
      </c>
      <c r="C1190" s="47" t="str">
        <f t="shared" si="36"/>
        <v>Вт</v>
      </c>
      <c r="I1190" s="46"/>
      <c r="J1190" s="39">
        <f t="shared" si="37"/>
        <v>47149</v>
      </c>
      <c r="K1190" t="str">
        <f ca="1">IF(AND(B1190&gt;='План недели'!$B$4,B1190&lt;'План недели'!$D$4,D1190&lt;&gt;"",G1190&lt;&gt;"Отменён"),COUNTIFS($B$5:B1190,"&gt;="&amp;'План недели'!$B$4,$B$5:B1190,"&lt;"&amp;'План недели'!$D$4,$D$5:D1190,"&lt;&gt;",$G$5:G1190,"&lt;&gt;Отменён"),"")</f>
        <v/>
      </c>
    </row>
    <row r="1191" spans="1:11">
      <c r="A1191" t="str">
        <f>IF(B1191="","","VIS_"&amp;(YEAR(B1191)*10000+MONTH(B1191)*100+DAY(B1191))&amp;"_"&amp;IF(COUNTIF($B$5:B1191,B1191)&lt;10,"00"&amp;COUNTIF($B$5:B1191,B1191),IF(COUNTIF($B$5:B1191,B1191)&lt;100,"0"&amp;COUNTIF($B$5:B1191,B1191),COUNTIF($B$5:B1191,B1191))))</f>
        <v>VIS_20290207_001</v>
      </c>
      <c r="B1191" s="40">
        <v>47156</v>
      </c>
      <c r="C1191" s="47" t="str">
        <f t="shared" si="36"/>
        <v>Ср</v>
      </c>
      <c r="I1191" s="46"/>
      <c r="J1191" s="39">
        <f t="shared" si="37"/>
        <v>47156</v>
      </c>
      <c r="K1191" t="str">
        <f ca="1">IF(AND(B1191&gt;='План недели'!$B$4,B1191&lt;'План недели'!$D$4,D1191&lt;&gt;"",G1191&lt;&gt;"Отменён"),COUNTIFS($B$5:B1191,"&gt;="&amp;'План недели'!$B$4,$B$5:B1191,"&lt;"&amp;'План недели'!$D$4,$D$5:D1191,"&lt;&gt;",$G$5:G1191,"&lt;&gt;Отменён"),"")</f>
        <v/>
      </c>
    </row>
    <row r="1192" spans="1:11">
      <c r="A1192" t="str">
        <f>IF(B1192="","","VIS_"&amp;(YEAR(B1192)*10000+MONTH(B1192)*100+DAY(B1192))&amp;"_"&amp;IF(COUNTIF($B$5:B1192,B1192)&lt;10,"00"&amp;COUNTIF($B$5:B1192,B1192),IF(COUNTIF($B$5:B1192,B1192)&lt;100,"0"&amp;COUNTIF($B$5:B1192,B1192),COUNTIF($B$5:B1192,B1192))))</f>
        <v>VIS_20290208_001</v>
      </c>
      <c r="B1192" s="40">
        <v>47157</v>
      </c>
      <c r="C1192" s="47" t="str">
        <f t="shared" si="36"/>
        <v>Чт</v>
      </c>
      <c r="I1192" s="46"/>
      <c r="J1192" s="39">
        <f t="shared" si="37"/>
        <v>47156</v>
      </c>
      <c r="K1192" t="str">
        <f ca="1">IF(AND(B1192&gt;='План недели'!$B$4,B1192&lt;'План недели'!$D$4,D1192&lt;&gt;"",G1192&lt;&gt;"Отменён"),COUNTIFS($B$5:B1192,"&gt;="&amp;'План недели'!$B$4,$B$5:B1192,"&lt;"&amp;'План недели'!$D$4,$D$5:D1192,"&lt;&gt;",$G$5:G1192,"&lt;&gt;Отменён"),"")</f>
        <v/>
      </c>
    </row>
    <row r="1193" spans="1:11">
      <c r="A1193" t="str">
        <f>IF(B1193="","","VIS_"&amp;(YEAR(B1193)*10000+MONTH(B1193)*100+DAY(B1193))&amp;"_"&amp;IF(COUNTIF($B$5:B1193,B1193)&lt;10,"00"&amp;COUNTIF($B$5:B1193,B1193),IF(COUNTIF($B$5:B1193,B1193)&lt;100,"0"&amp;COUNTIF($B$5:B1193,B1193),COUNTIF($B$5:B1193,B1193))))</f>
        <v>VIS_20290209_001</v>
      </c>
      <c r="B1193" s="40">
        <v>47158</v>
      </c>
      <c r="C1193" s="47" t="str">
        <f t="shared" si="36"/>
        <v>Пт</v>
      </c>
      <c r="I1193" s="46"/>
      <c r="J1193" s="39">
        <f t="shared" si="37"/>
        <v>47156</v>
      </c>
      <c r="K1193" t="str">
        <f ca="1">IF(AND(B1193&gt;='План недели'!$B$4,B1193&lt;'План недели'!$D$4,D1193&lt;&gt;"",G1193&lt;&gt;"Отменён"),COUNTIFS($B$5:B1193,"&gt;="&amp;'План недели'!$B$4,$B$5:B1193,"&lt;"&amp;'План недели'!$D$4,$D$5:D1193,"&lt;&gt;",$G$5:G1193,"&lt;&gt;Отменён"),"")</f>
        <v/>
      </c>
    </row>
    <row r="1194" spans="1:11">
      <c r="A1194" t="str">
        <f>IF(B1194="","","VIS_"&amp;(YEAR(B1194)*10000+MONTH(B1194)*100+DAY(B1194))&amp;"_"&amp;IF(COUNTIF($B$5:B1194,B1194)&lt;10,"00"&amp;COUNTIF($B$5:B1194,B1194),IF(COUNTIF($B$5:B1194,B1194)&lt;100,"0"&amp;COUNTIF($B$5:B1194,B1194),COUNTIF($B$5:B1194,B1194))))</f>
        <v>VIS_20290210_001</v>
      </c>
      <c r="B1194" s="42">
        <v>47159</v>
      </c>
      <c r="C1194" s="49" t="str">
        <f t="shared" si="36"/>
        <v>Сб</v>
      </c>
      <c r="I1194" s="46"/>
      <c r="J1194" s="39">
        <f t="shared" si="37"/>
        <v>47156</v>
      </c>
      <c r="K1194" t="str">
        <f ca="1">IF(AND(B1194&gt;='План недели'!$B$4,B1194&lt;'План недели'!$D$4,D1194&lt;&gt;"",G1194&lt;&gt;"Отменён"),COUNTIFS($B$5:B1194,"&gt;="&amp;'План недели'!$B$4,$B$5:B1194,"&lt;"&amp;'План недели'!$D$4,$D$5:D1194,"&lt;&gt;",$G$5:G1194,"&lt;&gt;Отменён"),"")</f>
        <v/>
      </c>
    </row>
    <row r="1195" spans="1:11">
      <c r="A1195" t="str">
        <f>IF(B1195="","","VIS_"&amp;(YEAR(B1195)*10000+MONTH(B1195)*100+DAY(B1195))&amp;"_"&amp;IF(COUNTIF($B$5:B1195,B1195)&lt;10,"00"&amp;COUNTIF($B$5:B1195,B1195),IF(COUNTIF($B$5:B1195,B1195)&lt;100,"0"&amp;COUNTIF($B$5:B1195,B1195),COUNTIF($B$5:B1195,B1195))))</f>
        <v>VIS_20290211_001</v>
      </c>
      <c r="B1195" s="42">
        <v>47160</v>
      </c>
      <c r="C1195" s="49" t="str">
        <f t="shared" si="36"/>
        <v>Вс</v>
      </c>
      <c r="I1195" s="46"/>
      <c r="J1195" s="39">
        <f t="shared" si="37"/>
        <v>47156</v>
      </c>
      <c r="K1195" t="str">
        <f ca="1">IF(AND(B1195&gt;='План недели'!$B$4,B1195&lt;'План недели'!$D$4,D1195&lt;&gt;"",G1195&lt;&gt;"Отменён"),COUNTIFS($B$5:B1195,"&gt;="&amp;'План недели'!$B$4,$B$5:B1195,"&lt;"&amp;'План недели'!$D$4,$D$5:D1195,"&lt;&gt;",$G$5:G1195,"&lt;&gt;Отменён"),"")</f>
        <v/>
      </c>
    </row>
    <row r="1196" spans="1:11">
      <c r="A1196" t="str">
        <f>IF(B1196="","","VIS_"&amp;(YEAR(B1196)*10000+MONTH(B1196)*100+DAY(B1196))&amp;"_"&amp;IF(COUNTIF($B$5:B1196,B1196)&lt;10,"00"&amp;COUNTIF($B$5:B1196,B1196),IF(COUNTIF($B$5:B1196,B1196)&lt;100,"0"&amp;COUNTIF($B$5:B1196,B1196),COUNTIF($B$5:B1196,B1196))))</f>
        <v>VIS_20290212_001</v>
      </c>
      <c r="B1196" s="40">
        <v>47161</v>
      </c>
      <c r="C1196" s="47" t="str">
        <f t="shared" si="36"/>
        <v>Пн</v>
      </c>
      <c r="I1196" s="46"/>
      <c r="J1196" s="39">
        <f t="shared" si="37"/>
        <v>47156</v>
      </c>
      <c r="K1196" t="str">
        <f ca="1">IF(AND(B1196&gt;='План недели'!$B$4,B1196&lt;'План недели'!$D$4,D1196&lt;&gt;"",G1196&lt;&gt;"Отменён"),COUNTIFS($B$5:B1196,"&gt;="&amp;'План недели'!$B$4,$B$5:B1196,"&lt;"&amp;'План недели'!$D$4,$D$5:D1196,"&lt;&gt;",$G$5:G1196,"&lt;&gt;Отменён"),"")</f>
        <v/>
      </c>
    </row>
    <row r="1197" spans="1:11">
      <c r="A1197" t="str">
        <f>IF(B1197="","","VIS_"&amp;(YEAR(B1197)*10000+MONTH(B1197)*100+DAY(B1197))&amp;"_"&amp;IF(COUNTIF($B$5:B1197,B1197)&lt;10,"00"&amp;COUNTIF($B$5:B1197,B1197),IF(COUNTIF($B$5:B1197,B1197)&lt;100,"0"&amp;COUNTIF($B$5:B1197,B1197),COUNTIF($B$5:B1197,B1197))))</f>
        <v>VIS_20290213_001</v>
      </c>
      <c r="B1197" s="40">
        <v>47162</v>
      </c>
      <c r="C1197" s="47" t="str">
        <f t="shared" si="36"/>
        <v>Вт</v>
      </c>
      <c r="I1197" s="46"/>
      <c r="J1197" s="39">
        <f t="shared" si="37"/>
        <v>47156</v>
      </c>
      <c r="K1197" t="str">
        <f ca="1">IF(AND(B1197&gt;='План недели'!$B$4,B1197&lt;'План недели'!$D$4,D1197&lt;&gt;"",G1197&lt;&gt;"Отменён"),COUNTIFS($B$5:B1197,"&gt;="&amp;'План недели'!$B$4,$B$5:B1197,"&lt;"&amp;'План недели'!$D$4,$D$5:D1197,"&lt;&gt;",$G$5:G1197,"&lt;&gt;Отменён"),"")</f>
        <v/>
      </c>
    </row>
    <row r="1198" spans="1:11">
      <c r="A1198" t="str">
        <f>IF(B1198="","","VIS_"&amp;(YEAR(B1198)*10000+MONTH(B1198)*100+DAY(B1198))&amp;"_"&amp;IF(COUNTIF($B$5:B1198,B1198)&lt;10,"00"&amp;COUNTIF($B$5:B1198,B1198),IF(COUNTIF($B$5:B1198,B1198)&lt;100,"0"&amp;COUNTIF($B$5:B1198,B1198),COUNTIF($B$5:B1198,B1198))))</f>
        <v>VIS_20290214_001</v>
      </c>
      <c r="B1198" s="40">
        <v>47163</v>
      </c>
      <c r="C1198" s="47" t="str">
        <f t="shared" si="36"/>
        <v>Ср</v>
      </c>
      <c r="I1198" s="46"/>
      <c r="J1198" s="39">
        <f t="shared" si="37"/>
        <v>47163</v>
      </c>
      <c r="K1198" t="str">
        <f ca="1">IF(AND(B1198&gt;='План недели'!$B$4,B1198&lt;'План недели'!$D$4,D1198&lt;&gt;"",G1198&lt;&gt;"Отменён"),COUNTIFS($B$5:B1198,"&gt;="&amp;'План недели'!$B$4,$B$5:B1198,"&lt;"&amp;'План недели'!$D$4,$D$5:D1198,"&lt;&gt;",$G$5:G1198,"&lt;&gt;Отменён"),"")</f>
        <v/>
      </c>
    </row>
    <row r="1199" spans="1:11">
      <c r="A1199" t="str">
        <f>IF(B1199="","","VIS_"&amp;(YEAR(B1199)*10000+MONTH(B1199)*100+DAY(B1199))&amp;"_"&amp;IF(COUNTIF($B$5:B1199,B1199)&lt;10,"00"&amp;COUNTIF($B$5:B1199,B1199),IF(COUNTIF($B$5:B1199,B1199)&lt;100,"0"&amp;COUNTIF($B$5:B1199,B1199),COUNTIF($B$5:B1199,B1199))))</f>
        <v>VIS_20290215_001</v>
      </c>
      <c r="B1199" s="40">
        <v>47164</v>
      </c>
      <c r="C1199" s="47" t="str">
        <f t="shared" si="36"/>
        <v>Чт</v>
      </c>
      <c r="I1199" s="46"/>
      <c r="J1199" s="39">
        <f t="shared" si="37"/>
        <v>47163</v>
      </c>
      <c r="K1199" t="str">
        <f ca="1">IF(AND(B1199&gt;='План недели'!$B$4,B1199&lt;'План недели'!$D$4,D1199&lt;&gt;"",G1199&lt;&gt;"Отменён"),COUNTIFS($B$5:B1199,"&gt;="&amp;'План недели'!$B$4,$B$5:B1199,"&lt;"&amp;'План недели'!$D$4,$D$5:D1199,"&lt;&gt;",$G$5:G1199,"&lt;&gt;Отменён"),"")</f>
        <v/>
      </c>
    </row>
    <row r="1200" spans="1:11">
      <c r="A1200" t="str">
        <f>IF(B1200="","","VIS_"&amp;(YEAR(B1200)*10000+MONTH(B1200)*100+DAY(B1200))&amp;"_"&amp;IF(COUNTIF($B$5:B1200,B1200)&lt;10,"00"&amp;COUNTIF($B$5:B1200,B1200),IF(COUNTIF($B$5:B1200,B1200)&lt;100,"0"&amp;COUNTIF($B$5:B1200,B1200),COUNTIF($B$5:B1200,B1200))))</f>
        <v>VIS_20290216_001</v>
      </c>
      <c r="B1200" s="40">
        <v>47165</v>
      </c>
      <c r="C1200" s="47" t="str">
        <f t="shared" si="36"/>
        <v>Пт</v>
      </c>
      <c r="I1200" s="46"/>
      <c r="J1200" s="39">
        <f t="shared" si="37"/>
        <v>47163</v>
      </c>
      <c r="K1200" t="str">
        <f ca="1">IF(AND(B1200&gt;='План недели'!$B$4,B1200&lt;'План недели'!$D$4,D1200&lt;&gt;"",G1200&lt;&gt;"Отменён"),COUNTIFS($B$5:B1200,"&gt;="&amp;'План недели'!$B$4,$B$5:B1200,"&lt;"&amp;'План недели'!$D$4,$D$5:D1200,"&lt;&gt;",$G$5:G1200,"&lt;&gt;Отменён"),"")</f>
        <v/>
      </c>
    </row>
    <row r="1201" spans="1:11">
      <c r="A1201" t="str">
        <f>IF(B1201="","","VIS_"&amp;(YEAR(B1201)*10000+MONTH(B1201)*100+DAY(B1201))&amp;"_"&amp;IF(COUNTIF($B$5:B1201,B1201)&lt;10,"00"&amp;COUNTIF($B$5:B1201,B1201),IF(COUNTIF($B$5:B1201,B1201)&lt;100,"0"&amp;COUNTIF($B$5:B1201,B1201),COUNTIF($B$5:B1201,B1201))))</f>
        <v>VIS_20290217_001</v>
      </c>
      <c r="B1201" s="42">
        <v>47166</v>
      </c>
      <c r="C1201" s="49" t="str">
        <f t="shared" si="36"/>
        <v>Сб</v>
      </c>
      <c r="I1201" s="46"/>
      <c r="J1201" s="39">
        <f t="shared" si="37"/>
        <v>47163</v>
      </c>
      <c r="K1201" t="str">
        <f ca="1">IF(AND(B1201&gt;='План недели'!$B$4,B1201&lt;'План недели'!$D$4,D1201&lt;&gt;"",G1201&lt;&gt;"Отменён"),COUNTIFS($B$5:B1201,"&gt;="&amp;'План недели'!$B$4,$B$5:B1201,"&lt;"&amp;'План недели'!$D$4,$D$5:D1201,"&lt;&gt;",$G$5:G1201,"&lt;&gt;Отменён"),"")</f>
        <v/>
      </c>
    </row>
    <row r="1202" spans="1:11">
      <c r="A1202" t="str">
        <f>IF(B1202="","","VIS_"&amp;(YEAR(B1202)*10000+MONTH(B1202)*100+DAY(B1202))&amp;"_"&amp;IF(COUNTIF($B$5:B1202,B1202)&lt;10,"00"&amp;COUNTIF($B$5:B1202,B1202),IF(COUNTIF($B$5:B1202,B1202)&lt;100,"0"&amp;COUNTIF($B$5:B1202,B1202),COUNTIF($B$5:B1202,B1202))))</f>
        <v>VIS_20290218_001</v>
      </c>
      <c r="B1202" s="42">
        <v>47167</v>
      </c>
      <c r="C1202" s="49" t="str">
        <f t="shared" si="36"/>
        <v>Вс</v>
      </c>
      <c r="I1202" s="46"/>
      <c r="J1202" s="39">
        <f t="shared" si="37"/>
        <v>47163</v>
      </c>
      <c r="K1202" t="str">
        <f ca="1">IF(AND(B1202&gt;='План недели'!$B$4,B1202&lt;'План недели'!$D$4,D1202&lt;&gt;"",G1202&lt;&gt;"Отменён"),COUNTIFS($B$5:B1202,"&gt;="&amp;'План недели'!$B$4,$B$5:B1202,"&lt;"&amp;'План недели'!$D$4,$D$5:D1202,"&lt;&gt;",$G$5:G1202,"&lt;&gt;Отменён"),"")</f>
        <v/>
      </c>
    </row>
    <row r="1203" spans="1:11">
      <c r="A1203" t="str">
        <f>IF(B1203="","","VIS_"&amp;(YEAR(B1203)*10000+MONTH(B1203)*100+DAY(B1203))&amp;"_"&amp;IF(COUNTIF($B$5:B1203,B1203)&lt;10,"00"&amp;COUNTIF($B$5:B1203,B1203),IF(COUNTIF($B$5:B1203,B1203)&lt;100,"0"&amp;COUNTIF($B$5:B1203,B1203),COUNTIF($B$5:B1203,B1203))))</f>
        <v>VIS_20290219_001</v>
      </c>
      <c r="B1203" s="40">
        <v>47168</v>
      </c>
      <c r="C1203" s="47" t="str">
        <f t="shared" si="36"/>
        <v>Пн</v>
      </c>
      <c r="I1203" s="46"/>
      <c r="J1203" s="39">
        <f t="shared" si="37"/>
        <v>47163</v>
      </c>
      <c r="K1203" t="str">
        <f ca="1">IF(AND(B1203&gt;='План недели'!$B$4,B1203&lt;'План недели'!$D$4,D1203&lt;&gt;"",G1203&lt;&gt;"Отменён"),COUNTIFS($B$5:B1203,"&gt;="&amp;'План недели'!$B$4,$B$5:B1203,"&lt;"&amp;'План недели'!$D$4,$D$5:D1203,"&lt;&gt;",$G$5:G1203,"&lt;&gt;Отменён"),"")</f>
        <v/>
      </c>
    </row>
    <row r="1204" spans="1:11">
      <c r="A1204" t="str">
        <f>IF(B1204="","","VIS_"&amp;(YEAR(B1204)*10000+MONTH(B1204)*100+DAY(B1204))&amp;"_"&amp;IF(COUNTIF($B$5:B1204,B1204)&lt;10,"00"&amp;COUNTIF($B$5:B1204,B1204),IF(COUNTIF($B$5:B1204,B1204)&lt;100,"0"&amp;COUNTIF($B$5:B1204,B1204),COUNTIF($B$5:B1204,B1204))))</f>
        <v>VIS_20290220_001</v>
      </c>
      <c r="B1204" s="40">
        <v>47169</v>
      </c>
      <c r="C1204" s="47" t="str">
        <f t="shared" si="36"/>
        <v>Вт</v>
      </c>
      <c r="I1204" s="46"/>
      <c r="J1204" s="39">
        <f t="shared" si="37"/>
        <v>47163</v>
      </c>
      <c r="K1204" t="str">
        <f ca="1">IF(AND(B1204&gt;='План недели'!$B$4,B1204&lt;'План недели'!$D$4,D1204&lt;&gt;"",G1204&lt;&gt;"Отменён"),COUNTIFS($B$5:B1204,"&gt;="&amp;'План недели'!$B$4,$B$5:B1204,"&lt;"&amp;'План недели'!$D$4,$D$5:D1204,"&lt;&gt;",$G$5:G1204,"&lt;&gt;Отменён"),"")</f>
        <v/>
      </c>
    </row>
    <row r="1205" spans="1:11">
      <c r="A1205" t="str">
        <f>IF(B1205="","","VIS_"&amp;(YEAR(B1205)*10000+MONTH(B1205)*100+DAY(B1205))&amp;"_"&amp;IF(COUNTIF($B$5:B1205,B1205)&lt;10,"00"&amp;COUNTIF($B$5:B1205,B1205),IF(COUNTIF($B$5:B1205,B1205)&lt;100,"0"&amp;COUNTIF($B$5:B1205,B1205),COUNTIF($B$5:B1205,B1205))))</f>
        <v>VIS_20290221_001</v>
      </c>
      <c r="B1205" s="40">
        <v>47170</v>
      </c>
      <c r="C1205" s="47" t="str">
        <f t="shared" si="36"/>
        <v>Ср</v>
      </c>
      <c r="I1205" s="46"/>
      <c r="J1205" s="39">
        <f t="shared" si="37"/>
        <v>47170</v>
      </c>
      <c r="K1205" t="str">
        <f ca="1">IF(AND(B1205&gt;='План недели'!$B$4,B1205&lt;'План недели'!$D$4,D1205&lt;&gt;"",G1205&lt;&gt;"Отменён"),COUNTIFS($B$5:B1205,"&gt;="&amp;'План недели'!$B$4,$B$5:B1205,"&lt;"&amp;'План недели'!$D$4,$D$5:D1205,"&lt;&gt;",$G$5:G1205,"&lt;&gt;Отменён"),"")</f>
        <v/>
      </c>
    </row>
    <row r="1206" spans="1:11">
      <c r="A1206" t="str">
        <f>IF(B1206="","","VIS_"&amp;(YEAR(B1206)*10000+MONTH(B1206)*100+DAY(B1206))&amp;"_"&amp;IF(COUNTIF($B$5:B1206,B1206)&lt;10,"00"&amp;COUNTIF($B$5:B1206,B1206),IF(COUNTIF($B$5:B1206,B1206)&lt;100,"0"&amp;COUNTIF($B$5:B1206,B1206),COUNTIF($B$5:B1206,B1206))))</f>
        <v>VIS_20290222_001</v>
      </c>
      <c r="B1206" s="40">
        <v>47171</v>
      </c>
      <c r="C1206" s="47" t="str">
        <f t="shared" si="36"/>
        <v>Чт</v>
      </c>
      <c r="I1206" s="46"/>
      <c r="J1206" s="39">
        <f t="shared" si="37"/>
        <v>47170</v>
      </c>
      <c r="K1206" t="str">
        <f ca="1">IF(AND(B1206&gt;='План недели'!$B$4,B1206&lt;'План недели'!$D$4,D1206&lt;&gt;"",G1206&lt;&gt;"Отменён"),COUNTIFS($B$5:B1206,"&gt;="&amp;'План недели'!$B$4,$B$5:B1206,"&lt;"&amp;'План недели'!$D$4,$D$5:D1206,"&lt;&gt;",$G$5:G1206,"&lt;&gt;Отменён"),"")</f>
        <v/>
      </c>
    </row>
    <row r="1207" spans="1:11">
      <c r="A1207" t="str">
        <f>IF(B1207="","","VIS_"&amp;(YEAR(B1207)*10000+MONTH(B1207)*100+DAY(B1207))&amp;"_"&amp;IF(COUNTIF($B$5:B1207,B1207)&lt;10,"00"&amp;COUNTIF($B$5:B1207,B1207),IF(COUNTIF($B$5:B1207,B1207)&lt;100,"0"&amp;COUNTIF($B$5:B1207,B1207),COUNTIF($B$5:B1207,B1207))))</f>
        <v>VIS_20290223_001</v>
      </c>
      <c r="B1207" s="40">
        <v>47172</v>
      </c>
      <c r="C1207" s="47" t="str">
        <f t="shared" si="36"/>
        <v>Пт</v>
      </c>
      <c r="I1207" s="46"/>
      <c r="J1207" s="39">
        <f t="shared" si="37"/>
        <v>47170</v>
      </c>
      <c r="K1207" t="str">
        <f ca="1">IF(AND(B1207&gt;='План недели'!$B$4,B1207&lt;'План недели'!$D$4,D1207&lt;&gt;"",G1207&lt;&gt;"Отменён"),COUNTIFS($B$5:B1207,"&gt;="&amp;'План недели'!$B$4,$B$5:B1207,"&lt;"&amp;'План недели'!$D$4,$D$5:D1207,"&lt;&gt;",$G$5:G1207,"&lt;&gt;Отменён"),"")</f>
        <v/>
      </c>
    </row>
    <row r="1208" spans="1:11">
      <c r="A1208" t="str">
        <f>IF(B1208="","","VIS_"&amp;(YEAR(B1208)*10000+MONTH(B1208)*100+DAY(B1208))&amp;"_"&amp;IF(COUNTIF($B$5:B1208,B1208)&lt;10,"00"&amp;COUNTIF($B$5:B1208,B1208),IF(COUNTIF($B$5:B1208,B1208)&lt;100,"0"&amp;COUNTIF($B$5:B1208,B1208),COUNTIF($B$5:B1208,B1208))))</f>
        <v>VIS_20290224_001</v>
      </c>
      <c r="B1208" s="42">
        <v>47173</v>
      </c>
      <c r="C1208" s="49" t="str">
        <f t="shared" si="36"/>
        <v>Сб</v>
      </c>
      <c r="I1208" s="46"/>
      <c r="J1208" s="39">
        <f t="shared" si="37"/>
        <v>47170</v>
      </c>
      <c r="K1208" t="str">
        <f ca="1">IF(AND(B1208&gt;='План недели'!$B$4,B1208&lt;'План недели'!$D$4,D1208&lt;&gt;"",G1208&lt;&gt;"Отменён"),COUNTIFS($B$5:B1208,"&gt;="&amp;'План недели'!$B$4,$B$5:B1208,"&lt;"&amp;'План недели'!$D$4,$D$5:D1208,"&lt;&gt;",$G$5:G1208,"&lt;&gt;Отменён"),"")</f>
        <v/>
      </c>
    </row>
    <row r="1209" spans="1:11">
      <c r="A1209" t="str">
        <f>IF(B1209="","","VIS_"&amp;(YEAR(B1209)*10000+MONTH(B1209)*100+DAY(B1209))&amp;"_"&amp;IF(COUNTIF($B$5:B1209,B1209)&lt;10,"00"&amp;COUNTIF($B$5:B1209,B1209),IF(COUNTIF($B$5:B1209,B1209)&lt;100,"0"&amp;COUNTIF($B$5:B1209,B1209),COUNTIF($B$5:B1209,B1209))))</f>
        <v>VIS_20290225_001</v>
      </c>
      <c r="B1209" s="42">
        <v>47174</v>
      </c>
      <c r="C1209" s="49" t="str">
        <f t="shared" si="36"/>
        <v>Вс</v>
      </c>
      <c r="I1209" s="46"/>
      <c r="J1209" s="39">
        <f t="shared" si="37"/>
        <v>47170</v>
      </c>
      <c r="K1209" t="str">
        <f ca="1">IF(AND(B1209&gt;='План недели'!$B$4,B1209&lt;'План недели'!$D$4,D1209&lt;&gt;"",G1209&lt;&gt;"Отменён"),COUNTIFS($B$5:B1209,"&gt;="&amp;'План недели'!$B$4,$B$5:B1209,"&lt;"&amp;'План недели'!$D$4,$D$5:D1209,"&lt;&gt;",$G$5:G1209,"&lt;&gt;Отменён"),"")</f>
        <v/>
      </c>
    </row>
    <row r="1210" spans="1:11">
      <c r="A1210" t="str">
        <f>IF(B1210="","","VIS_"&amp;(YEAR(B1210)*10000+MONTH(B1210)*100+DAY(B1210))&amp;"_"&amp;IF(COUNTIF($B$5:B1210,B1210)&lt;10,"00"&amp;COUNTIF($B$5:B1210,B1210),IF(COUNTIF($B$5:B1210,B1210)&lt;100,"0"&amp;COUNTIF($B$5:B1210,B1210),COUNTIF($B$5:B1210,B1210))))</f>
        <v>VIS_20290226_001</v>
      </c>
      <c r="B1210" s="40">
        <v>47175</v>
      </c>
      <c r="C1210" s="47" t="str">
        <f t="shared" si="36"/>
        <v>Пн</v>
      </c>
      <c r="I1210" s="46"/>
      <c r="J1210" s="39">
        <f t="shared" si="37"/>
        <v>47170</v>
      </c>
      <c r="K1210" t="str">
        <f ca="1">IF(AND(B1210&gt;='План недели'!$B$4,B1210&lt;'План недели'!$D$4,D1210&lt;&gt;"",G1210&lt;&gt;"Отменён"),COUNTIFS($B$5:B1210,"&gt;="&amp;'План недели'!$B$4,$B$5:B1210,"&lt;"&amp;'План недели'!$D$4,$D$5:D1210,"&lt;&gt;",$G$5:G1210,"&lt;&gt;Отменён"),"")</f>
        <v/>
      </c>
    </row>
    <row r="1211" spans="1:11">
      <c r="A1211" t="str">
        <f>IF(B1211="","","VIS_"&amp;(YEAR(B1211)*10000+MONTH(B1211)*100+DAY(B1211))&amp;"_"&amp;IF(COUNTIF($B$5:B1211,B1211)&lt;10,"00"&amp;COUNTIF($B$5:B1211,B1211),IF(COUNTIF($B$5:B1211,B1211)&lt;100,"0"&amp;COUNTIF($B$5:B1211,B1211),COUNTIF($B$5:B1211,B1211))))</f>
        <v>VIS_20290227_001</v>
      </c>
      <c r="B1211" s="40">
        <v>47176</v>
      </c>
      <c r="C1211" s="47" t="str">
        <f t="shared" si="36"/>
        <v>Вт</v>
      </c>
      <c r="I1211" s="46"/>
      <c r="J1211" s="39">
        <f t="shared" si="37"/>
        <v>47170</v>
      </c>
      <c r="K1211" t="str">
        <f ca="1">IF(AND(B1211&gt;='План недели'!$B$4,B1211&lt;'План недели'!$D$4,D1211&lt;&gt;"",G1211&lt;&gt;"Отменён"),COUNTIFS($B$5:B1211,"&gt;="&amp;'План недели'!$B$4,$B$5:B1211,"&lt;"&amp;'План недели'!$D$4,$D$5:D1211,"&lt;&gt;",$G$5:G1211,"&lt;&gt;Отменён"),"")</f>
        <v/>
      </c>
    </row>
    <row r="1212" spans="1:11">
      <c r="A1212" t="str">
        <f>IF(B1212="","","VIS_"&amp;(YEAR(B1212)*10000+MONTH(B1212)*100+DAY(B1212))&amp;"_"&amp;IF(COUNTIF($B$5:B1212,B1212)&lt;10,"00"&amp;COUNTIF($B$5:B1212,B1212),IF(COUNTIF($B$5:B1212,B1212)&lt;100,"0"&amp;COUNTIF($B$5:B1212,B1212),COUNTIF($B$5:B1212,B1212))))</f>
        <v>VIS_20290228_001</v>
      </c>
      <c r="B1212" s="40">
        <v>47177</v>
      </c>
      <c r="C1212" s="47" t="str">
        <f t="shared" si="36"/>
        <v>Ср</v>
      </c>
      <c r="I1212" s="46"/>
      <c r="J1212" s="39">
        <f t="shared" si="37"/>
        <v>47177</v>
      </c>
      <c r="K1212" t="str">
        <f ca="1">IF(AND(B1212&gt;='План недели'!$B$4,B1212&lt;'План недели'!$D$4,D1212&lt;&gt;"",G1212&lt;&gt;"Отменён"),COUNTIFS($B$5:B1212,"&gt;="&amp;'План недели'!$B$4,$B$5:B1212,"&lt;"&amp;'План недели'!$D$4,$D$5:D1212,"&lt;&gt;",$G$5:G1212,"&lt;&gt;Отменён"),"")</f>
        <v/>
      </c>
    </row>
    <row r="1213" spans="1:11">
      <c r="A1213" t="str">
        <f>IF(B1213="","","VIS_"&amp;(YEAR(B1213)*10000+MONTH(B1213)*100+DAY(B1213))&amp;"_"&amp;IF(COUNTIF($B$5:B1213,B1213)&lt;10,"00"&amp;COUNTIF($B$5:B1213,B1213),IF(COUNTIF($B$5:B1213,B1213)&lt;100,"0"&amp;COUNTIF($B$5:B1213,B1213),COUNTIF($B$5:B1213,B1213))))</f>
        <v>VIS_20290301_001</v>
      </c>
      <c r="B1213" s="40">
        <v>47178</v>
      </c>
      <c r="C1213" s="47" t="str">
        <f t="shared" si="36"/>
        <v>Чт</v>
      </c>
      <c r="I1213" s="46"/>
      <c r="J1213" s="39">
        <f t="shared" si="37"/>
        <v>47177</v>
      </c>
      <c r="K1213" t="str">
        <f ca="1">IF(AND(B1213&gt;='План недели'!$B$4,B1213&lt;'План недели'!$D$4,D1213&lt;&gt;"",G1213&lt;&gt;"Отменён"),COUNTIFS($B$5:B1213,"&gt;="&amp;'План недели'!$B$4,$B$5:B1213,"&lt;"&amp;'План недели'!$D$4,$D$5:D1213,"&lt;&gt;",$G$5:G1213,"&lt;&gt;Отменён"),"")</f>
        <v/>
      </c>
    </row>
    <row r="1214" spans="1:11">
      <c r="A1214" t="str">
        <f>IF(B1214="","","VIS_"&amp;(YEAR(B1214)*10000+MONTH(B1214)*100+DAY(B1214))&amp;"_"&amp;IF(COUNTIF($B$5:B1214,B1214)&lt;10,"00"&amp;COUNTIF($B$5:B1214,B1214),IF(COUNTIF($B$5:B1214,B1214)&lt;100,"0"&amp;COUNTIF($B$5:B1214,B1214),COUNTIF($B$5:B1214,B1214))))</f>
        <v>VIS_20290302_001</v>
      </c>
      <c r="B1214" s="40">
        <v>47179</v>
      </c>
      <c r="C1214" s="47" t="str">
        <f t="shared" si="36"/>
        <v>Пт</v>
      </c>
      <c r="I1214" s="46"/>
      <c r="J1214" s="39">
        <f t="shared" si="37"/>
        <v>47177</v>
      </c>
      <c r="K1214" t="str">
        <f ca="1">IF(AND(B1214&gt;='План недели'!$B$4,B1214&lt;'План недели'!$D$4,D1214&lt;&gt;"",G1214&lt;&gt;"Отменён"),COUNTIFS($B$5:B1214,"&gt;="&amp;'План недели'!$B$4,$B$5:B1214,"&lt;"&amp;'План недели'!$D$4,$D$5:D1214,"&lt;&gt;",$G$5:G1214,"&lt;&gt;Отменён"),"")</f>
        <v/>
      </c>
    </row>
    <row r="1215" spans="1:11">
      <c r="A1215" t="str">
        <f>IF(B1215="","","VIS_"&amp;(YEAR(B1215)*10000+MONTH(B1215)*100+DAY(B1215))&amp;"_"&amp;IF(COUNTIF($B$5:B1215,B1215)&lt;10,"00"&amp;COUNTIF($B$5:B1215,B1215),IF(COUNTIF($B$5:B1215,B1215)&lt;100,"0"&amp;COUNTIF($B$5:B1215,B1215),COUNTIF($B$5:B1215,B1215))))</f>
        <v>VIS_20290303_001</v>
      </c>
      <c r="B1215" s="42">
        <v>47180</v>
      </c>
      <c r="C1215" s="49" t="str">
        <f t="shared" si="36"/>
        <v>Сб</v>
      </c>
      <c r="I1215" s="46"/>
      <c r="J1215" s="39">
        <f t="shared" si="37"/>
        <v>47177</v>
      </c>
      <c r="K1215" t="str">
        <f ca="1">IF(AND(B1215&gt;='План недели'!$B$4,B1215&lt;'План недели'!$D$4,D1215&lt;&gt;"",G1215&lt;&gt;"Отменён"),COUNTIFS($B$5:B1215,"&gt;="&amp;'План недели'!$B$4,$B$5:B1215,"&lt;"&amp;'План недели'!$D$4,$D$5:D1215,"&lt;&gt;",$G$5:G1215,"&lt;&gt;Отменён"),"")</f>
        <v/>
      </c>
    </row>
    <row r="1216" spans="1:11">
      <c r="A1216" t="str">
        <f>IF(B1216="","","VIS_"&amp;(YEAR(B1216)*10000+MONTH(B1216)*100+DAY(B1216))&amp;"_"&amp;IF(COUNTIF($B$5:B1216,B1216)&lt;10,"00"&amp;COUNTIF($B$5:B1216,B1216),IF(COUNTIF($B$5:B1216,B1216)&lt;100,"0"&amp;COUNTIF($B$5:B1216,B1216),COUNTIF($B$5:B1216,B1216))))</f>
        <v>VIS_20290304_001</v>
      </c>
      <c r="B1216" s="42">
        <v>47181</v>
      </c>
      <c r="C1216" s="49" t="str">
        <f t="shared" si="36"/>
        <v>Вс</v>
      </c>
      <c r="I1216" s="46"/>
      <c r="J1216" s="39">
        <f t="shared" si="37"/>
        <v>47177</v>
      </c>
      <c r="K1216" t="str">
        <f ca="1">IF(AND(B1216&gt;='План недели'!$B$4,B1216&lt;'План недели'!$D$4,D1216&lt;&gt;"",G1216&lt;&gt;"Отменён"),COUNTIFS($B$5:B1216,"&gt;="&amp;'План недели'!$B$4,$B$5:B1216,"&lt;"&amp;'План недели'!$D$4,$D$5:D1216,"&lt;&gt;",$G$5:G1216,"&lt;&gt;Отменён"),"")</f>
        <v/>
      </c>
    </row>
    <row r="1217" spans="1:11">
      <c r="A1217" t="str">
        <f>IF(B1217="","","VIS_"&amp;(YEAR(B1217)*10000+MONTH(B1217)*100+DAY(B1217))&amp;"_"&amp;IF(COUNTIF($B$5:B1217,B1217)&lt;10,"00"&amp;COUNTIF($B$5:B1217,B1217),IF(COUNTIF($B$5:B1217,B1217)&lt;100,"0"&amp;COUNTIF($B$5:B1217,B1217),COUNTIF($B$5:B1217,B1217))))</f>
        <v>VIS_20290305_001</v>
      </c>
      <c r="B1217" s="40">
        <v>47182</v>
      </c>
      <c r="C1217" s="47" t="str">
        <f t="shared" si="36"/>
        <v>Пн</v>
      </c>
      <c r="I1217" s="46"/>
      <c r="J1217" s="39">
        <f t="shared" si="37"/>
        <v>47177</v>
      </c>
      <c r="K1217" t="str">
        <f ca="1">IF(AND(B1217&gt;='План недели'!$B$4,B1217&lt;'План недели'!$D$4,D1217&lt;&gt;"",G1217&lt;&gt;"Отменён"),COUNTIFS($B$5:B1217,"&gt;="&amp;'План недели'!$B$4,$B$5:B1217,"&lt;"&amp;'План недели'!$D$4,$D$5:D1217,"&lt;&gt;",$G$5:G1217,"&lt;&gt;Отменён"),"")</f>
        <v/>
      </c>
    </row>
    <row r="1218" spans="1:11">
      <c r="A1218" t="str">
        <f>IF(B1218="","","VIS_"&amp;(YEAR(B1218)*10000+MONTH(B1218)*100+DAY(B1218))&amp;"_"&amp;IF(COUNTIF($B$5:B1218,B1218)&lt;10,"00"&amp;COUNTIF($B$5:B1218,B1218),IF(COUNTIF($B$5:B1218,B1218)&lt;100,"0"&amp;COUNTIF($B$5:B1218,B1218),COUNTIF($B$5:B1218,B1218))))</f>
        <v>VIS_20290306_001</v>
      </c>
      <c r="B1218" s="40">
        <v>47183</v>
      </c>
      <c r="C1218" s="47" t="str">
        <f t="shared" si="36"/>
        <v>Вт</v>
      </c>
      <c r="I1218" s="46"/>
      <c r="J1218" s="39">
        <f t="shared" si="37"/>
        <v>47177</v>
      </c>
      <c r="K1218" t="str">
        <f ca="1">IF(AND(B1218&gt;='План недели'!$B$4,B1218&lt;'План недели'!$D$4,D1218&lt;&gt;"",G1218&lt;&gt;"Отменён"),COUNTIFS($B$5:B1218,"&gt;="&amp;'План недели'!$B$4,$B$5:B1218,"&lt;"&amp;'План недели'!$D$4,$D$5:D1218,"&lt;&gt;",$G$5:G1218,"&lt;&gt;Отменён"),"")</f>
        <v/>
      </c>
    </row>
    <row r="1219" spans="1:11">
      <c r="A1219" t="str">
        <f>IF(B1219="","","VIS_"&amp;(YEAR(B1219)*10000+MONTH(B1219)*100+DAY(B1219))&amp;"_"&amp;IF(COUNTIF($B$5:B1219,B1219)&lt;10,"00"&amp;COUNTIF($B$5:B1219,B1219),IF(COUNTIF($B$5:B1219,B1219)&lt;100,"0"&amp;COUNTIF($B$5:B1219,B1219),COUNTIF($B$5:B1219,B1219))))</f>
        <v>VIS_20290307_001</v>
      </c>
      <c r="B1219" s="40">
        <v>47184</v>
      </c>
      <c r="C1219" s="47" t="str">
        <f t="shared" si="36"/>
        <v>Ср</v>
      </c>
      <c r="I1219" s="46"/>
      <c r="J1219" s="39">
        <f t="shared" si="37"/>
        <v>47184</v>
      </c>
      <c r="K1219" t="str">
        <f ca="1">IF(AND(B1219&gt;='План недели'!$B$4,B1219&lt;'План недели'!$D$4,D1219&lt;&gt;"",G1219&lt;&gt;"Отменён"),COUNTIFS($B$5:B1219,"&gt;="&amp;'План недели'!$B$4,$B$5:B1219,"&lt;"&amp;'План недели'!$D$4,$D$5:D1219,"&lt;&gt;",$G$5:G1219,"&lt;&gt;Отменён"),"")</f>
        <v/>
      </c>
    </row>
    <row r="1220" spans="1:11">
      <c r="A1220" t="str">
        <f>IF(B1220="","","VIS_"&amp;(YEAR(B1220)*10000+MONTH(B1220)*100+DAY(B1220))&amp;"_"&amp;IF(COUNTIF($B$5:B1220,B1220)&lt;10,"00"&amp;COUNTIF($B$5:B1220,B1220),IF(COUNTIF($B$5:B1220,B1220)&lt;100,"0"&amp;COUNTIF($B$5:B1220,B1220),COUNTIF($B$5:B1220,B1220))))</f>
        <v>VIS_20290308_001</v>
      </c>
      <c r="B1220" s="40">
        <v>47185</v>
      </c>
      <c r="C1220" s="47" t="str">
        <f t="shared" si="36"/>
        <v>Чт</v>
      </c>
      <c r="I1220" s="46"/>
      <c r="J1220" s="39">
        <f t="shared" si="37"/>
        <v>47184</v>
      </c>
      <c r="K1220" t="str">
        <f ca="1">IF(AND(B1220&gt;='План недели'!$B$4,B1220&lt;'План недели'!$D$4,D1220&lt;&gt;"",G1220&lt;&gt;"Отменён"),COUNTIFS($B$5:B1220,"&gt;="&amp;'План недели'!$B$4,$B$5:B1220,"&lt;"&amp;'План недели'!$D$4,$D$5:D1220,"&lt;&gt;",$G$5:G1220,"&lt;&gt;Отменён"),"")</f>
        <v/>
      </c>
    </row>
    <row r="1221" spans="1:11">
      <c r="A1221" t="str">
        <f>IF(B1221="","","VIS_"&amp;(YEAR(B1221)*10000+MONTH(B1221)*100+DAY(B1221))&amp;"_"&amp;IF(COUNTIF($B$5:B1221,B1221)&lt;10,"00"&amp;COUNTIF($B$5:B1221,B1221),IF(COUNTIF($B$5:B1221,B1221)&lt;100,"0"&amp;COUNTIF($B$5:B1221,B1221),COUNTIF($B$5:B1221,B1221))))</f>
        <v>VIS_20290309_001</v>
      </c>
      <c r="B1221" s="40">
        <v>47186</v>
      </c>
      <c r="C1221" s="47" t="str">
        <f t="shared" ref="C1221:C1284" si="38">IF(B1221="","",CHOOSE(WEEKDAY(B1221,2),"Пн","Вт","Ср","Чт","Пт","Сб","Вс"))</f>
        <v>Пт</v>
      </c>
      <c r="I1221" s="46"/>
      <c r="J1221" s="39">
        <f t="shared" ref="J1221:J1284" si="39">IF(B1221="","",B1221-MOD(WEEKDAY(B1221,2)-3,7))</f>
        <v>47184</v>
      </c>
      <c r="K1221" t="str">
        <f ca="1">IF(AND(B1221&gt;='План недели'!$B$4,B1221&lt;'План недели'!$D$4,D1221&lt;&gt;"",G1221&lt;&gt;"Отменён"),COUNTIFS($B$5:B1221,"&gt;="&amp;'План недели'!$B$4,$B$5:B1221,"&lt;"&amp;'План недели'!$D$4,$D$5:D1221,"&lt;&gt;",$G$5:G1221,"&lt;&gt;Отменён"),"")</f>
        <v/>
      </c>
    </row>
    <row r="1222" spans="1:11">
      <c r="A1222" t="str">
        <f>IF(B1222="","","VIS_"&amp;(YEAR(B1222)*10000+MONTH(B1222)*100+DAY(B1222))&amp;"_"&amp;IF(COUNTIF($B$5:B1222,B1222)&lt;10,"00"&amp;COUNTIF($B$5:B1222,B1222),IF(COUNTIF($B$5:B1222,B1222)&lt;100,"0"&amp;COUNTIF($B$5:B1222,B1222),COUNTIF($B$5:B1222,B1222))))</f>
        <v>VIS_20290310_001</v>
      </c>
      <c r="B1222" s="42">
        <v>47187</v>
      </c>
      <c r="C1222" s="49" t="str">
        <f t="shared" si="38"/>
        <v>Сб</v>
      </c>
      <c r="I1222" s="46"/>
      <c r="J1222" s="39">
        <f t="shared" si="39"/>
        <v>47184</v>
      </c>
      <c r="K1222" t="str">
        <f ca="1">IF(AND(B1222&gt;='План недели'!$B$4,B1222&lt;'План недели'!$D$4,D1222&lt;&gt;"",G1222&lt;&gt;"Отменён"),COUNTIFS($B$5:B1222,"&gt;="&amp;'План недели'!$B$4,$B$5:B1222,"&lt;"&amp;'План недели'!$D$4,$D$5:D1222,"&lt;&gt;",$G$5:G1222,"&lt;&gt;Отменён"),"")</f>
        <v/>
      </c>
    </row>
    <row r="1223" spans="1:11">
      <c r="A1223" t="str">
        <f>IF(B1223="","","VIS_"&amp;(YEAR(B1223)*10000+MONTH(B1223)*100+DAY(B1223))&amp;"_"&amp;IF(COUNTIF($B$5:B1223,B1223)&lt;10,"00"&amp;COUNTIF($B$5:B1223,B1223),IF(COUNTIF($B$5:B1223,B1223)&lt;100,"0"&amp;COUNTIF($B$5:B1223,B1223),COUNTIF($B$5:B1223,B1223))))</f>
        <v>VIS_20290311_001</v>
      </c>
      <c r="B1223" s="42">
        <v>47188</v>
      </c>
      <c r="C1223" s="49" t="str">
        <f t="shared" si="38"/>
        <v>Вс</v>
      </c>
      <c r="I1223" s="46"/>
      <c r="J1223" s="39">
        <f t="shared" si="39"/>
        <v>47184</v>
      </c>
      <c r="K1223" t="str">
        <f ca="1">IF(AND(B1223&gt;='План недели'!$B$4,B1223&lt;'План недели'!$D$4,D1223&lt;&gt;"",G1223&lt;&gt;"Отменён"),COUNTIFS($B$5:B1223,"&gt;="&amp;'План недели'!$B$4,$B$5:B1223,"&lt;"&amp;'План недели'!$D$4,$D$5:D1223,"&lt;&gt;",$G$5:G1223,"&lt;&gt;Отменён"),"")</f>
        <v/>
      </c>
    </row>
    <row r="1224" spans="1:11">
      <c r="A1224" t="str">
        <f>IF(B1224="","","VIS_"&amp;(YEAR(B1224)*10000+MONTH(B1224)*100+DAY(B1224))&amp;"_"&amp;IF(COUNTIF($B$5:B1224,B1224)&lt;10,"00"&amp;COUNTIF($B$5:B1224,B1224),IF(COUNTIF($B$5:B1224,B1224)&lt;100,"0"&amp;COUNTIF($B$5:B1224,B1224),COUNTIF($B$5:B1224,B1224))))</f>
        <v>VIS_20290312_001</v>
      </c>
      <c r="B1224" s="40">
        <v>47189</v>
      </c>
      <c r="C1224" s="47" t="str">
        <f t="shared" si="38"/>
        <v>Пн</v>
      </c>
      <c r="I1224" s="46"/>
      <c r="J1224" s="39">
        <f t="shared" si="39"/>
        <v>47184</v>
      </c>
      <c r="K1224" t="str">
        <f ca="1">IF(AND(B1224&gt;='План недели'!$B$4,B1224&lt;'План недели'!$D$4,D1224&lt;&gt;"",G1224&lt;&gt;"Отменён"),COUNTIFS($B$5:B1224,"&gt;="&amp;'План недели'!$B$4,$B$5:B1224,"&lt;"&amp;'План недели'!$D$4,$D$5:D1224,"&lt;&gt;",$G$5:G1224,"&lt;&gt;Отменён"),"")</f>
        <v/>
      </c>
    </row>
    <row r="1225" spans="1:11">
      <c r="A1225" t="str">
        <f>IF(B1225="","","VIS_"&amp;(YEAR(B1225)*10000+MONTH(B1225)*100+DAY(B1225))&amp;"_"&amp;IF(COUNTIF($B$5:B1225,B1225)&lt;10,"00"&amp;COUNTIF($B$5:B1225,B1225),IF(COUNTIF($B$5:B1225,B1225)&lt;100,"0"&amp;COUNTIF($B$5:B1225,B1225),COUNTIF($B$5:B1225,B1225))))</f>
        <v>VIS_20290313_001</v>
      </c>
      <c r="B1225" s="40">
        <v>47190</v>
      </c>
      <c r="C1225" s="47" t="str">
        <f t="shared" si="38"/>
        <v>Вт</v>
      </c>
      <c r="I1225" s="46"/>
      <c r="J1225" s="39">
        <f t="shared" si="39"/>
        <v>47184</v>
      </c>
      <c r="K1225" t="str">
        <f ca="1">IF(AND(B1225&gt;='План недели'!$B$4,B1225&lt;'План недели'!$D$4,D1225&lt;&gt;"",G1225&lt;&gt;"Отменён"),COUNTIFS($B$5:B1225,"&gt;="&amp;'План недели'!$B$4,$B$5:B1225,"&lt;"&amp;'План недели'!$D$4,$D$5:D1225,"&lt;&gt;",$G$5:G1225,"&lt;&gt;Отменён"),"")</f>
        <v/>
      </c>
    </row>
    <row r="1226" spans="1:11">
      <c r="A1226" t="str">
        <f>IF(B1226="","","VIS_"&amp;(YEAR(B1226)*10000+MONTH(B1226)*100+DAY(B1226))&amp;"_"&amp;IF(COUNTIF($B$5:B1226,B1226)&lt;10,"00"&amp;COUNTIF($B$5:B1226,B1226),IF(COUNTIF($B$5:B1226,B1226)&lt;100,"0"&amp;COUNTIF($B$5:B1226,B1226),COUNTIF($B$5:B1226,B1226))))</f>
        <v>VIS_20290314_001</v>
      </c>
      <c r="B1226" s="40">
        <v>47191</v>
      </c>
      <c r="C1226" s="47" t="str">
        <f t="shared" si="38"/>
        <v>Ср</v>
      </c>
      <c r="I1226" s="46"/>
      <c r="J1226" s="39">
        <f t="shared" si="39"/>
        <v>47191</v>
      </c>
      <c r="K1226" t="str">
        <f ca="1">IF(AND(B1226&gt;='План недели'!$B$4,B1226&lt;'План недели'!$D$4,D1226&lt;&gt;"",G1226&lt;&gt;"Отменён"),COUNTIFS($B$5:B1226,"&gt;="&amp;'План недели'!$B$4,$B$5:B1226,"&lt;"&amp;'План недели'!$D$4,$D$5:D1226,"&lt;&gt;",$G$5:G1226,"&lt;&gt;Отменён"),"")</f>
        <v/>
      </c>
    </row>
    <row r="1227" spans="1:11">
      <c r="A1227" t="str">
        <f>IF(B1227="","","VIS_"&amp;(YEAR(B1227)*10000+MONTH(B1227)*100+DAY(B1227))&amp;"_"&amp;IF(COUNTIF($B$5:B1227,B1227)&lt;10,"00"&amp;COUNTIF($B$5:B1227,B1227),IF(COUNTIF($B$5:B1227,B1227)&lt;100,"0"&amp;COUNTIF($B$5:B1227,B1227),COUNTIF($B$5:B1227,B1227))))</f>
        <v>VIS_20290315_001</v>
      </c>
      <c r="B1227" s="40">
        <v>47192</v>
      </c>
      <c r="C1227" s="47" t="str">
        <f t="shared" si="38"/>
        <v>Чт</v>
      </c>
      <c r="I1227" s="46"/>
      <c r="J1227" s="39">
        <f t="shared" si="39"/>
        <v>47191</v>
      </c>
      <c r="K1227" t="str">
        <f ca="1">IF(AND(B1227&gt;='План недели'!$B$4,B1227&lt;'План недели'!$D$4,D1227&lt;&gt;"",G1227&lt;&gt;"Отменён"),COUNTIFS($B$5:B1227,"&gt;="&amp;'План недели'!$B$4,$B$5:B1227,"&lt;"&amp;'План недели'!$D$4,$D$5:D1227,"&lt;&gt;",$G$5:G1227,"&lt;&gt;Отменён"),"")</f>
        <v/>
      </c>
    </row>
    <row r="1228" spans="1:11">
      <c r="A1228" t="str">
        <f>IF(B1228="","","VIS_"&amp;(YEAR(B1228)*10000+MONTH(B1228)*100+DAY(B1228))&amp;"_"&amp;IF(COUNTIF($B$5:B1228,B1228)&lt;10,"00"&amp;COUNTIF($B$5:B1228,B1228),IF(COUNTIF($B$5:B1228,B1228)&lt;100,"0"&amp;COUNTIF($B$5:B1228,B1228),COUNTIF($B$5:B1228,B1228))))</f>
        <v>VIS_20290316_001</v>
      </c>
      <c r="B1228" s="40">
        <v>47193</v>
      </c>
      <c r="C1228" s="47" t="str">
        <f t="shared" si="38"/>
        <v>Пт</v>
      </c>
      <c r="I1228" s="46"/>
      <c r="J1228" s="39">
        <f t="shared" si="39"/>
        <v>47191</v>
      </c>
      <c r="K1228" t="str">
        <f ca="1">IF(AND(B1228&gt;='План недели'!$B$4,B1228&lt;'План недели'!$D$4,D1228&lt;&gt;"",G1228&lt;&gt;"Отменён"),COUNTIFS($B$5:B1228,"&gt;="&amp;'План недели'!$B$4,$B$5:B1228,"&lt;"&amp;'План недели'!$D$4,$D$5:D1228,"&lt;&gt;",$G$5:G1228,"&lt;&gt;Отменён"),"")</f>
        <v/>
      </c>
    </row>
    <row r="1229" spans="1:11">
      <c r="A1229" t="str">
        <f>IF(B1229="","","VIS_"&amp;(YEAR(B1229)*10000+MONTH(B1229)*100+DAY(B1229))&amp;"_"&amp;IF(COUNTIF($B$5:B1229,B1229)&lt;10,"00"&amp;COUNTIF($B$5:B1229,B1229),IF(COUNTIF($B$5:B1229,B1229)&lt;100,"0"&amp;COUNTIF($B$5:B1229,B1229),COUNTIF($B$5:B1229,B1229))))</f>
        <v>VIS_20290317_001</v>
      </c>
      <c r="B1229" s="42">
        <v>47194</v>
      </c>
      <c r="C1229" s="49" t="str">
        <f t="shared" si="38"/>
        <v>Сб</v>
      </c>
      <c r="I1229" s="46"/>
      <c r="J1229" s="39">
        <f t="shared" si="39"/>
        <v>47191</v>
      </c>
      <c r="K1229" t="str">
        <f ca="1">IF(AND(B1229&gt;='План недели'!$B$4,B1229&lt;'План недели'!$D$4,D1229&lt;&gt;"",G1229&lt;&gt;"Отменён"),COUNTIFS($B$5:B1229,"&gt;="&amp;'План недели'!$B$4,$B$5:B1229,"&lt;"&amp;'План недели'!$D$4,$D$5:D1229,"&lt;&gt;",$G$5:G1229,"&lt;&gt;Отменён"),"")</f>
        <v/>
      </c>
    </row>
    <row r="1230" spans="1:11">
      <c r="A1230" t="str">
        <f>IF(B1230="","","VIS_"&amp;(YEAR(B1230)*10000+MONTH(B1230)*100+DAY(B1230))&amp;"_"&amp;IF(COUNTIF($B$5:B1230,B1230)&lt;10,"00"&amp;COUNTIF($B$5:B1230,B1230),IF(COUNTIF($B$5:B1230,B1230)&lt;100,"0"&amp;COUNTIF($B$5:B1230,B1230),COUNTIF($B$5:B1230,B1230))))</f>
        <v>VIS_20290318_001</v>
      </c>
      <c r="B1230" s="42">
        <v>47195</v>
      </c>
      <c r="C1230" s="49" t="str">
        <f t="shared" si="38"/>
        <v>Вс</v>
      </c>
      <c r="I1230" s="46"/>
      <c r="J1230" s="39">
        <f t="shared" si="39"/>
        <v>47191</v>
      </c>
      <c r="K1230" t="str">
        <f ca="1">IF(AND(B1230&gt;='План недели'!$B$4,B1230&lt;'План недели'!$D$4,D1230&lt;&gt;"",G1230&lt;&gt;"Отменён"),COUNTIFS($B$5:B1230,"&gt;="&amp;'План недели'!$B$4,$B$5:B1230,"&lt;"&amp;'План недели'!$D$4,$D$5:D1230,"&lt;&gt;",$G$5:G1230,"&lt;&gt;Отменён"),"")</f>
        <v/>
      </c>
    </row>
    <row r="1231" spans="1:11">
      <c r="A1231" t="str">
        <f>IF(B1231="","","VIS_"&amp;(YEAR(B1231)*10000+MONTH(B1231)*100+DAY(B1231))&amp;"_"&amp;IF(COUNTIF($B$5:B1231,B1231)&lt;10,"00"&amp;COUNTIF($B$5:B1231,B1231),IF(COUNTIF($B$5:B1231,B1231)&lt;100,"0"&amp;COUNTIF($B$5:B1231,B1231),COUNTIF($B$5:B1231,B1231))))</f>
        <v>VIS_20290319_001</v>
      </c>
      <c r="B1231" s="40">
        <v>47196</v>
      </c>
      <c r="C1231" s="47" t="str">
        <f t="shared" si="38"/>
        <v>Пн</v>
      </c>
      <c r="I1231" s="46"/>
      <c r="J1231" s="39">
        <f t="shared" si="39"/>
        <v>47191</v>
      </c>
      <c r="K1231" t="str">
        <f ca="1">IF(AND(B1231&gt;='План недели'!$B$4,B1231&lt;'План недели'!$D$4,D1231&lt;&gt;"",G1231&lt;&gt;"Отменён"),COUNTIFS($B$5:B1231,"&gt;="&amp;'План недели'!$B$4,$B$5:B1231,"&lt;"&amp;'План недели'!$D$4,$D$5:D1231,"&lt;&gt;",$G$5:G1231,"&lt;&gt;Отменён"),"")</f>
        <v/>
      </c>
    </row>
    <row r="1232" spans="1:11">
      <c r="A1232" t="str">
        <f>IF(B1232="","","VIS_"&amp;(YEAR(B1232)*10000+MONTH(B1232)*100+DAY(B1232))&amp;"_"&amp;IF(COUNTIF($B$5:B1232,B1232)&lt;10,"00"&amp;COUNTIF($B$5:B1232,B1232),IF(COUNTIF($B$5:B1232,B1232)&lt;100,"0"&amp;COUNTIF($B$5:B1232,B1232),COUNTIF($B$5:B1232,B1232))))</f>
        <v>VIS_20290320_001</v>
      </c>
      <c r="B1232" s="40">
        <v>47197</v>
      </c>
      <c r="C1232" s="47" t="str">
        <f t="shared" si="38"/>
        <v>Вт</v>
      </c>
      <c r="I1232" s="46"/>
      <c r="J1232" s="39">
        <f t="shared" si="39"/>
        <v>47191</v>
      </c>
      <c r="K1232" t="str">
        <f ca="1">IF(AND(B1232&gt;='План недели'!$B$4,B1232&lt;'План недели'!$D$4,D1232&lt;&gt;"",G1232&lt;&gt;"Отменён"),COUNTIFS($B$5:B1232,"&gt;="&amp;'План недели'!$B$4,$B$5:B1232,"&lt;"&amp;'План недели'!$D$4,$D$5:D1232,"&lt;&gt;",$G$5:G1232,"&lt;&gt;Отменён"),"")</f>
        <v/>
      </c>
    </row>
    <row r="1233" spans="1:11">
      <c r="A1233" t="str">
        <f>IF(B1233="","","VIS_"&amp;(YEAR(B1233)*10000+MONTH(B1233)*100+DAY(B1233))&amp;"_"&amp;IF(COUNTIF($B$5:B1233,B1233)&lt;10,"00"&amp;COUNTIF($B$5:B1233,B1233),IF(COUNTIF($B$5:B1233,B1233)&lt;100,"0"&amp;COUNTIF($B$5:B1233,B1233),COUNTIF($B$5:B1233,B1233))))</f>
        <v>VIS_20290321_001</v>
      </c>
      <c r="B1233" s="40">
        <v>47198</v>
      </c>
      <c r="C1233" s="47" t="str">
        <f t="shared" si="38"/>
        <v>Ср</v>
      </c>
      <c r="I1233" s="46"/>
      <c r="J1233" s="39">
        <f t="shared" si="39"/>
        <v>47198</v>
      </c>
      <c r="K1233" t="str">
        <f ca="1">IF(AND(B1233&gt;='План недели'!$B$4,B1233&lt;'План недели'!$D$4,D1233&lt;&gt;"",G1233&lt;&gt;"Отменён"),COUNTIFS($B$5:B1233,"&gt;="&amp;'План недели'!$B$4,$B$5:B1233,"&lt;"&amp;'План недели'!$D$4,$D$5:D1233,"&lt;&gt;",$G$5:G1233,"&lt;&gt;Отменён"),"")</f>
        <v/>
      </c>
    </row>
    <row r="1234" spans="1:11">
      <c r="A1234" t="str">
        <f>IF(B1234="","","VIS_"&amp;(YEAR(B1234)*10000+MONTH(B1234)*100+DAY(B1234))&amp;"_"&amp;IF(COUNTIF($B$5:B1234,B1234)&lt;10,"00"&amp;COUNTIF($B$5:B1234,B1234),IF(COUNTIF($B$5:B1234,B1234)&lt;100,"0"&amp;COUNTIF($B$5:B1234,B1234),COUNTIF($B$5:B1234,B1234))))</f>
        <v>VIS_20290322_001</v>
      </c>
      <c r="B1234" s="40">
        <v>47199</v>
      </c>
      <c r="C1234" s="47" t="str">
        <f t="shared" si="38"/>
        <v>Чт</v>
      </c>
      <c r="I1234" s="46"/>
      <c r="J1234" s="39">
        <f t="shared" si="39"/>
        <v>47198</v>
      </c>
      <c r="K1234" t="str">
        <f ca="1">IF(AND(B1234&gt;='План недели'!$B$4,B1234&lt;'План недели'!$D$4,D1234&lt;&gt;"",G1234&lt;&gt;"Отменён"),COUNTIFS($B$5:B1234,"&gt;="&amp;'План недели'!$B$4,$B$5:B1234,"&lt;"&amp;'План недели'!$D$4,$D$5:D1234,"&lt;&gt;",$G$5:G1234,"&lt;&gt;Отменён"),"")</f>
        <v/>
      </c>
    </row>
    <row r="1235" spans="1:11">
      <c r="A1235" t="str">
        <f>IF(B1235="","","VIS_"&amp;(YEAR(B1235)*10000+MONTH(B1235)*100+DAY(B1235))&amp;"_"&amp;IF(COUNTIF($B$5:B1235,B1235)&lt;10,"00"&amp;COUNTIF($B$5:B1235,B1235),IF(COUNTIF($B$5:B1235,B1235)&lt;100,"0"&amp;COUNTIF($B$5:B1235,B1235),COUNTIF($B$5:B1235,B1235))))</f>
        <v>VIS_20290323_001</v>
      </c>
      <c r="B1235" s="40">
        <v>47200</v>
      </c>
      <c r="C1235" s="47" t="str">
        <f t="shared" si="38"/>
        <v>Пт</v>
      </c>
      <c r="I1235" s="46"/>
      <c r="J1235" s="39">
        <f t="shared" si="39"/>
        <v>47198</v>
      </c>
      <c r="K1235" t="str">
        <f ca="1">IF(AND(B1235&gt;='План недели'!$B$4,B1235&lt;'План недели'!$D$4,D1235&lt;&gt;"",G1235&lt;&gt;"Отменён"),COUNTIFS($B$5:B1235,"&gt;="&amp;'План недели'!$B$4,$B$5:B1235,"&lt;"&amp;'План недели'!$D$4,$D$5:D1235,"&lt;&gt;",$G$5:G1235,"&lt;&gt;Отменён"),"")</f>
        <v/>
      </c>
    </row>
    <row r="1236" spans="1:11">
      <c r="A1236" t="str">
        <f>IF(B1236="","","VIS_"&amp;(YEAR(B1236)*10000+MONTH(B1236)*100+DAY(B1236))&amp;"_"&amp;IF(COUNTIF($B$5:B1236,B1236)&lt;10,"00"&amp;COUNTIF($B$5:B1236,B1236),IF(COUNTIF($B$5:B1236,B1236)&lt;100,"0"&amp;COUNTIF($B$5:B1236,B1236),COUNTIF($B$5:B1236,B1236))))</f>
        <v>VIS_20290324_001</v>
      </c>
      <c r="B1236" s="42">
        <v>47201</v>
      </c>
      <c r="C1236" s="49" t="str">
        <f t="shared" si="38"/>
        <v>Сб</v>
      </c>
      <c r="I1236" s="46"/>
      <c r="J1236" s="39">
        <f t="shared" si="39"/>
        <v>47198</v>
      </c>
      <c r="K1236" t="str">
        <f ca="1">IF(AND(B1236&gt;='План недели'!$B$4,B1236&lt;'План недели'!$D$4,D1236&lt;&gt;"",G1236&lt;&gt;"Отменён"),COUNTIFS($B$5:B1236,"&gt;="&amp;'План недели'!$B$4,$B$5:B1236,"&lt;"&amp;'План недели'!$D$4,$D$5:D1236,"&lt;&gt;",$G$5:G1236,"&lt;&gt;Отменён"),"")</f>
        <v/>
      </c>
    </row>
    <row r="1237" spans="1:11">
      <c r="A1237" t="str">
        <f>IF(B1237="","","VIS_"&amp;(YEAR(B1237)*10000+MONTH(B1237)*100+DAY(B1237))&amp;"_"&amp;IF(COUNTIF($B$5:B1237,B1237)&lt;10,"00"&amp;COUNTIF($B$5:B1237,B1237),IF(COUNTIF($B$5:B1237,B1237)&lt;100,"0"&amp;COUNTIF($B$5:B1237,B1237),COUNTIF($B$5:B1237,B1237))))</f>
        <v>VIS_20290325_001</v>
      </c>
      <c r="B1237" s="42">
        <v>47202</v>
      </c>
      <c r="C1237" s="49" t="str">
        <f t="shared" si="38"/>
        <v>Вс</v>
      </c>
      <c r="I1237" s="46"/>
      <c r="J1237" s="39">
        <f t="shared" si="39"/>
        <v>47198</v>
      </c>
      <c r="K1237" t="str">
        <f ca="1">IF(AND(B1237&gt;='План недели'!$B$4,B1237&lt;'План недели'!$D$4,D1237&lt;&gt;"",G1237&lt;&gt;"Отменён"),COUNTIFS($B$5:B1237,"&gt;="&amp;'План недели'!$B$4,$B$5:B1237,"&lt;"&amp;'План недели'!$D$4,$D$5:D1237,"&lt;&gt;",$G$5:G1237,"&lt;&gt;Отменён"),"")</f>
        <v/>
      </c>
    </row>
    <row r="1238" spans="1:11">
      <c r="A1238" t="str">
        <f>IF(B1238="","","VIS_"&amp;(YEAR(B1238)*10000+MONTH(B1238)*100+DAY(B1238))&amp;"_"&amp;IF(COUNTIF($B$5:B1238,B1238)&lt;10,"00"&amp;COUNTIF($B$5:B1238,B1238),IF(COUNTIF($B$5:B1238,B1238)&lt;100,"0"&amp;COUNTIF($B$5:B1238,B1238),COUNTIF($B$5:B1238,B1238))))</f>
        <v>VIS_20290326_001</v>
      </c>
      <c r="B1238" s="40">
        <v>47203</v>
      </c>
      <c r="C1238" s="47" t="str">
        <f t="shared" si="38"/>
        <v>Пн</v>
      </c>
      <c r="I1238" s="46"/>
      <c r="J1238" s="39">
        <f t="shared" si="39"/>
        <v>47198</v>
      </c>
      <c r="K1238" t="str">
        <f ca="1">IF(AND(B1238&gt;='План недели'!$B$4,B1238&lt;'План недели'!$D$4,D1238&lt;&gt;"",G1238&lt;&gt;"Отменён"),COUNTIFS($B$5:B1238,"&gt;="&amp;'План недели'!$B$4,$B$5:B1238,"&lt;"&amp;'План недели'!$D$4,$D$5:D1238,"&lt;&gt;",$G$5:G1238,"&lt;&gt;Отменён"),"")</f>
        <v/>
      </c>
    </row>
    <row r="1239" spans="1:11">
      <c r="A1239" t="str">
        <f>IF(B1239="","","VIS_"&amp;(YEAR(B1239)*10000+MONTH(B1239)*100+DAY(B1239))&amp;"_"&amp;IF(COUNTIF($B$5:B1239,B1239)&lt;10,"00"&amp;COUNTIF($B$5:B1239,B1239),IF(COUNTIF($B$5:B1239,B1239)&lt;100,"0"&amp;COUNTIF($B$5:B1239,B1239),COUNTIF($B$5:B1239,B1239))))</f>
        <v>VIS_20290327_001</v>
      </c>
      <c r="B1239" s="40">
        <v>47204</v>
      </c>
      <c r="C1239" s="47" t="str">
        <f t="shared" si="38"/>
        <v>Вт</v>
      </c>
      <c r="I1239" s="46"/>
      <c r="J1239" s="39">
        <f t="shared" si="39"/>
        <v>47198</v>
      </c>
      <c r="K1239" t="str">
        <f ca="1">IF(AND(B1239&gt;='План недели'!$B$4,B1239&lt;'План недели'!$D$4,D1239&lt;&gt;"",G1239&lt;&gt;"Отменён"),COUNTIFS($B$5:B1239,"&gt;="&amp;'План недели'!$B$4,$B$5:B1239,"&lt;"&amp;'План недели'!$D$4,$D$5:D1239,"&lt;&gt;",$G$5:G1239,"&lt;&gt;Отменён"),"")</f>
        <v/>
      </c>
    </row>
    <row r="1240" spans="1:11">
      <c r="A1240" t="str">
        <f>IF(B1240="","","VIS_"&amp;(YEAR(B1240)*10000+MONTH(B1240)*100+DAY(B1240))&amp;"_"&amp;IF(COUNTIF($B$5:B1240,B1240)&lt;10,"00"&amp;COUNTIF($B$5:B1240,B1240),IF(COUNTIF($B$5:B1240,B1240)&lt;100,"0"&amp;COUNTIF($B$5:B1240,B1240),COUNTIF($B$5:B1240,B1240))))</f>
        <v>VIS_20290328_001</v>
      </c>
      <c r="B1240" s="40">
        <v>47205</v>
      </c>
      <c r="C1240" s="47" t="str">
        <f t="shared" si="38"/>
        <v>Ср</v>
      </c>
      <c r="I1240" s="46"/>
      <c r="J1240" s="39">
        <f t="shared" si="39"/>
        <v>47205</v>
      </c>
      <c r="K1240" t="str">
        <f ca="1">IF(AND(B1240&gt;='План недели'!$B$4,B1240&lt;'План недели'!$D$4,D1240&lt;&gt;"",G1240&lt;&gt;"Отменён"),COUNTIFS($B$5:B1240,"&gt;="&amp;'План недели'!$B$4,$B$5:B1240,"&lt;"&amp;'План недели'!$D$4,$D$5:D1240,"&lt;&gt;",$G$5:G1240,"&lt;&gt;Отменён"),"")</f>
        <v/>
      </c>
    </row>
    <row r="1241" spans="1:11">
      <c r="A1241" t="str">
        <f>IF(B1241="","","VIS_"&amp;(YEAR(B1241)*10000+MONTH(B1241)*100+DAY(B1241))&amp;"_"&amp;IF(COUNTIF($B$5:B1241,B1241)&lt;10,"00"&amp;COUNTIF($B$5:B1241,B1241),IF(COUNTIF($B$5:B1241,B1241)&lt;100,"0"&amp;COUNTIF($B$5:B1241,B1241),COUNTIF($B$5:B1241,B1241))))</f>
        <v>VIS_20290329_001</v>
      </c>
      <c r="B1241" s="40">
        <v>47206</v>
      </c>
      <c r="C1241" s="47" t="str">
        <f t="shared" si="38"/>
        <v>Чт</v>
      </c>
      <c r="I1241" s="46"/>
      <c r="J1241" s="39">
        <f t="shared" si="39"/>
        <v>47205</v>
      </c>
      <c r="K1241" t="str">
        <f ca="1">IF(AND(B1241&gt;='План недели'!$B$4,B1241&lt;'План недели'!$D$4,D1241&lt;&gt;"",G1241&lt;&gt;"Отменён"),COUNTIFS($B$5:B1241,"&gt;="&amp;'План недели'!$B$4,$B$5:B1241,"&lt;"&amp;'План недели'!$D$4,$D$5:D1241,"&lt;&gt;",$G$5:G1241,"&lt;&gt;Отменён"),"")</f>
        <v/>
      </c>
    </row>
    <row r="1242" spans="1:11">
      <c r="A1242" t="str">
        <f>IF(B1242="","","VIS_"&amp;(YEAR(B1242)*10000+MONTH(B1242)*100+DAY(B1242))&amp;"_"&amp;IF(COUNTIF($B$5:B1242,B1242)&lt;10,"00"&amp;COUNTIF($B$5:B1242,B1242),IF(COUNTIF($B$5:B1242,B1242)&lt;100,"0"&amp;COUNTIF($B$5:B1242,B1242),COUNTIF($B$5:B1242,B1242))))</f>
        <v>VIS_20290330_001</v>
      </c>
      <c r="B1242" s="40">
        <v>47207</v>
      </c>
      <c r="C1242" s="47" t="str">
        <f t="shared" si="38"/>
        <v>Пт</v>
      </c>
      <c r="I1242" s="46"/>
      <c r="J1242" s="39">
        <f t="shared" si="39"/>
        <v>47205</v>
      </c>
      <c r="K1242" t="str">
        <f ca="1">IF(AND(B1242&gt;='План недели'!$B$4,B1242&lt;'План недели'!$D$4,D1242&lt;&gt;"",G1242&lt;&gt;"Отменён"),COUNTIFS($B$5:B1242,"&gt;="&amp;'План недели'!$B$4,$B$5:B1242,"&lt;"&amp;'План недели'!$D$4,$D$5:D1242,"&lt;&gt;",$G$5:G1242,"&lt;&gt;Отменён"),"")</f>
        <v/>
      </c>
    </row>
    <row r="1243" spans="1:11">
      <c r="A1243" t="str">
        <f>IF(B1243="","","VIS_"&amp;(YEAR(B1243)*10000+MONTH(B1243)*100+DAY(B1243))&amp;"_"&amp;IF(COUNTIF($B$5:B1243,B1243)&lt;10,"00"&amp;COUNTIF($B$5:B1243,B1243),IF(COUNTIF($B$5:B1243,B1243)&lt;100,"0"&amp;COUNTIF($B$5:B1243,B1243),COUNTIF($B$5:B1243,B1243))))</f>
        <v>VIS_20290331_001</v>
      </c>
      <c r="B1243" s="42">
        <v>47208</v>
      </c>
      <c r="C1243" s="49" t="str">
        <f t="shared" si="38"/>
        <v>Сб</v>
      </c>
      <c r="I1243" s="46"/>
      <c r="J1243" s="39">
        <f t="shared" si="39"/>
        <v>47205</v>
      </c>
      <c r="K1243" t="str">
        <f ca="1">IF(AND(B1243&gt;='План недели'!$B$4,B1243&lt;'План недели'!$D$4,D1243&lt;&gt;"",G1243&lt;&gt;"Отменён"),COUNTIFS($B$5:B1243,"&gt;="&amp;'План недели'!$B$4,$B$5:B1243,"&lt;"&amp;'План недели'!$D$4,$D$5:D1243,"&lt;&gt;",$G$5:G1243,"&lt;&gt;Отменён"),"")</f>
        <v/>
      </c>
    </row>
    <row r="1244" spans="1:11">
      <c r="A1244" t="str">
        <f>IF(B1244="","","VIS_"&amp;(YEAR(B1244)*10000+MONTH(B1244)*100+DAY(B1244))&amp;"_"&amp;IF(COUNTIF($B$5:B1244,B1244)&lt;10,"00"&amp;COUNTIF($B$5:B1244,B1244),IF(COUNTIF($B$5:B1244,B1244)&lt;100,"0"&amp;COUNTIF($B$5:B1244,B1244),COUNTIF($B$5:B1244,B1244))))</f>
        <v>VIS_20290401_001</v>
      </c>
      <c r="B1244" s="42">
        <v>47209</v>
      </c>
      <c r="C1244" s="49" t="str">
        <f t="shared" si="38"/>
        <v>Вс</v>
      </c>
      <c r="I1244" s="46"/>
      <c r="J1244" s="39">
        <f t="shared" si="39"/>
        <v>47205</v>
      </c>
      <c r="K1244" t="str">
        <f ca="1">IF(AND(B1244&gt;='План недели'!$B$4,B1244&lt;'План недели'!$D$4,D1244&lt;&gt;"",G1244&lt;&gt;"Отменён"),COUNTIFS($B$5:B1244,"&gt;="&amp;'План недели'!$B$4,$B$5:B1244,"&lt;"&amp;'План недели'!$D$4,$D$5:D1244,"&lt;&gt;",$G$5:G1244,"&lt;&gt;Отменён"),"")</f>
        <v/>
      </c>
    </row>
    <row r="1245" spans="1:11">
      <c r="A1245" t="str">
        <f>IF(B1245="","","VIS_"&amp;(YEAR(B1245)*10000+MONTH(B1245)*100+DAY(B1245))&amp;"_"&amp;IF(COUNTIF($B$5:B1245,B1245)&lt;10,"00"&amp;COUNTIF($B$5:B1245,B1245),IF(COUNTIF($B$5:B1245,B1245)&lt;100,"0"&amp;COUNTIF($B$5:B1245,B1245),COUNTIF($B$5:B1245,B1245))))</f>
        <v>VIS_20290402_001</v>
      </c>
      <c r="B1245" s="40">
        <v>47210</v>
      </c>
      <c r="C1245" s="47" t="str">
        <f t="shared" si="38"/>
        <v>Пн</v>
      </c>
      <c r="I1245" s="46"/>
      <c r="J1245" s="39">
        <f t="shared" si="39"/>
        <v>47205</v>
      </c>
      <c r="K1245" t="str">
        <f ca="1">IF(AND(B1245&gt;='План недели'!$B$4,B1245&lt;'План недели'!$D$4,D1245&lt;&gt;"",G1245&lt;&gt;"Отменён"),COUNTIFS($B$5:B1245,"&gt;="&amp;'План недели'!$B$4,$B$5:B1245,"&lt;"&amp;'План недели'!$D$4,$D$5:D1245,"&lt;&gt;",$G$5:G1245,"&lt;&gt;Отменён"),"")</f>
        <v/>
      </c>
    </row>
    <row r="1246" spans="1:11">
      <c r="A1246" t="str">
        <f>IF(B1246="","","VIS_"&amp;(YEAR(B1246)*10000+MONTH(B1246)*100+DAY(B1246))&amp;"_"&amp;IF(COUNTIF($B$5:B1246,B1246)&lt;10,"00"&amp;COUNTIF($B$5:B1246,B1246),IF(COUNTIF($B$5:B1246,B1246)&lt;100,"0"&amp;COUNTIF($B$5:B1246,B1246),COUNTIF($B$5:B1246,B1246))))</f>
        <v>VIS_20290403_001</v>
      </c>
      <c r="B1246" s="40">
        <v>47211</v>
      </c>
      <c r="C1246" s="47" t="str">
        <f t="shared" si="38"/>
        <v>Вт</v>
      </c>
      <c r="I1246" s="46"/>
      <c r="J1246" s="39">
        <f t="shared" si="39"/>
        <v>47205</v>
      </c>
      <c r="K1246" t="str">
        <f ca="1">IF(AND(B1246&gt;='План недели'!$B$4,B1246&lt;'План недели'!$D$4,D1246&lt;&gt;"",G1246&lt;&gt;"Отменён"),COUNTIFS($B$5:B1246,"&gt;="&amp;'План недели'!$B$4,$B$5:B1246,"&lt;"&amp;'План недели'!$D$4,$D$5:D1246,"&lt;&gt;",$G$5:G1246,"&lt;&gt;Отменён"),"")</f>
        <v/>
      </c>
    </row>
    <row r="1247" spans="1:11">
      <c r="A1247" t="str">
        <f>IF(B1247="","","VIS_"&amp;(YEAR(B1247)*10000+MONTH(B1247)*100+DAY(B1247))&amp;"_"&amp;IF(COUNTIF($B$5:B1247,B1247)&lt;10,"00"&amp;COUNTIF($B$5:B1247,B1247),IF(COUNTIF($B$5:B1247,B1247)&lt;100,"0"&amp;COUNTIF($B$5:B1247,B1247),COUNTIF($B$5:B1247,B1247))))</f>
        <v>VIS_20290404_001</v>
      </c>
      <c r="B1247" s="40">
        <v>47212</v>
      </c>
      <c r="C1247" s="47" t="str">
        <f t="shared" si="38"/>
        <v>Ср</v>
      </c>
      <c r="I1247" s="46"/>
      <c r="J1247" s="39">
        <f t="shared" si="39"/>
        <v>47212</v>
      </c>
      <c r="K1247" t="str">
        <f ca="1">IF(AND(B1247&gt;='План недели'!$B$4,B1247&lt;'План недели'!$D$4,D1247&lt;&gt;"",G1247&lt;&gt;"Отменён"),COUNTIFS($B$5:B1247,"&gt;="&amp;'План недели'!$B$4,$B$5:B1247,"&lt;"&amp;'План недели'!$D$4,$D$5:D1247,"&lt;&gt;",$G$5:G1247,"&lt;&gt;Отменён"),"")</f>
        <v/>
      </c>
    </row>
    <row r="1248" spans="1:11">
      <c r="A1248" t="str">
        <f>IF(B1248="","","VIS_"&amp;(YEAR(B1248)*10000+MONTH(B1248)*100+DAY(B1248))&amp;"_"&amp;IF(COUNTIF($B$5:B1248,B1248)&lt;10,"00"&amp;COUNTIF($B$5:B1248,B1248),IF(COUNTIF($B$5:B1248,B1248)&lt;100,"0"&amp;COUNTIF($B$5:B1248,B1248),COUNTIF($B$5:B1248,B1248))))</f>
        <v>VIS_20290405_001</v>
      </c>
      <c r="B1248" s="40">
        <v>47213</v>
      </c>
      <c r="C1248" s="47" t="str">
        <f t="shared" si="38"/>
        <v>Чт</v>
      </c>
      <c r="I1248" s="46"/>
      <c r="J1248" s="39">
        <f t="shared" si="39"/>
        <v>47212</v>
      </c>
      <c r="K1248" t="str">
        <f ca="1">IF(AND(B1248&gt;='План недели'!$B$4,B1248&lt;'План недели'!$D$4,D1248&lt;&gt;"",G1248&lt;&gt;"Отменён"),COUNTIFS($B$5:B1248,"&gt;="&amp;'План недели'!$B$4,$B$5:B1248,"&lt;"&amp;'План недели'!$D$4,$D$5:D1248,"&lt;&gt;",$G$5:G1248,"&lt;&gt;Отменён"),"")</f>
        <v/>
      </c>
    </row>
    <row r="1249" spans="1:11">
      <c r="A1249" t="str">
        <f>IF(B1249="","","VIS_"&amp;(YEAR(B1249)*10000+MONTH(B1249)*100+DAY(B1249))&amp;"_"&amp;IF(COUNTIF($B$5:B1249,B1249)&lt;10,"00"&amp;COUNTIF($B$5:B1249,B1249),IF(COUNTIF($B$5:B1249,B1249)&lt;100,"0"&amp;COUNTIF($B$5:B1249,B1249),COUNTIF($B$5:B1249,B1249))))</f>
        <v>VIS_20290406_001</v>
      </c>
      <c r="B1249" s="40">
        <v>47214</v>
      </c>
      <c r="C1249" s="47" t="str">
        <f t="shared" si="38"/>
        <v>Пт</v>
      </c>
      <c r="I1249" s="46"/>
      <c r="J1249" s="39">
        <f t="shared" si="39"/>
        <v>47212</v>
      </c>
      <c r="K1249" t="str">
        <f ca="1">IF(AND(B1249&gt;='План недели'!$B$4,B1249&lt;'План недели'!$D$4,D1249&lt;&gt;"",G1249&lt;&gt;"Отменён"),COUNTIFS($B$5:B1249,"&gt;="&amp;'План недели'!$B$4,$B$5:B1249,"&lt;"&amp;'План недели'!$D$4,$D$5:D1249,"&lt;&gt;",$G$5:G1249,"&lt;&gt;Отменён"),"")</f>
        <v/>
      </c>
    </row>
    <row r="1250" spans="1:11">
      <c r="A1250" t="str">
        <f>IF(B1250="","","VIS_"&amp;(YEAR(B1250)*10000+MONTH(B1250)*100+DAY(B1250))&amp;"_"&amp;IF(COUNTIF($B$5:B1250,B1250)&lt;10,"00"&amp;COUNTIF($B$5:B1250,B1250),IF(COUNTIF($B$5:B1250,B1250)&lt;100,"0"&amp;COUNTIF($B$5:B1250,B1250),COUNTIF($B$5:B1250,B1250))))</f>
        <v>VIS_20290407_001</v>
      </c>
      <c r="B1250" s="42">
        <v>47215</v>
      </c>
      <c r="C1250" s="49" t="str">
        <f t="shared" si="38"/>
        <v>Сб</v>
      </c>
      <c r="I1250" s="46"/>
      <c r="J1250" s="39">
        <f t="shared" si="39"/>
        <v>47212</v>
      </c>
      <c r="K1250" t="str">
        <f ca="1">IF(AND(B1250&gt;='План недели'!$B$4,B1250&lt;'План недели'!$D$4,D1250&lt;&gt;"",G1250&lt;&gt;"Отменён"),COUNTIFS($B$5:B1250,"&gt;="&amp;'План недели'!$B$4,$B$5:B1250,"&lt;"&amp;'План недели'!$D$4,$D$5:D1250,"&lt;&gt;",$G$5:G1250,"&lt;&gt;Отменён"),"")</f>
        <v/>
      </c>
    </row>
    <row r="1251" spans="1:11">
      <c r="A1251" t="str">
        <f>IF(B1251="","","VIS_"&amp;(YEAR(B1251)*10000+MONTH(B1251)*100+DAY(B1251))&amp;"_"&amp;IF(COUNTIF($B$5:B1251,B1251)&lt;10,"00"&amp;COUNTIF($B$5:B1251,B1251),IF(COUNTIF($B$5:B1251,B1251)&lt;100,"0"&amp;COUNTIF($B$5:B1251,B1251),COUNTIF($B$5:B1251,B1251))))</f>
        <v>VIS_20290408_001</v>
      </c>
      <c r="B1251" s="42">
        <v>47216</v>
      </c>
      <c r="C1251" s="49" t="str">
        <f t="shared" si="38"/>
        <v>Вс</v>
      </c>
      <c r="I1251" s="46"/>
      <c r="J1251" s="39">
        <f t="shared" si="39"/>
        <v>47212</v>
      </c>
      <c r="K1251" t="str">
        <f ca="1">IF(AND(B1251&gt;='План недели'!$B$4,B1251&lt;'План недели'!$D$4,D1251&lt;&gt;"",G1251&lt;&gt;"Отменён"),COUNTIFS($B$5:B1251,"&gt;="&amp;'План недели'!$B$4,$B$5:B1251,"&lt;"&amp;'План недели'!$D$4,$D$5:D1251,"&lt;&gt;",$G$5:G1251,"&lt;&gt;Отменён"),"")</f>
        <v/>
      </c>
    </row>
    <row r="1252" spans="1:11">
      <c r="A1252" t="str">
        <f>IF(B1252="","","VIS_"&amp;(YEAR(B1252)*10000+MONTH(B1252)*100+DAY(B1252))&amp;"_"&amp;IF(COUNTIF($B$5:B1252,B1252)&lt;10,"00"&amp;COUNTIF($B$5:B1252,B1252),IF(COUNTIF($B$5:B1252,B1252)&lt;100,"0"&amp;COUNTIF($B$5:B1252,B1252),COUNTIF($B$5:B1252,B1252))))</f>
        <v>VIS_20290409_001</v>
      </c>
      <c r="B1252" s="40">
        <v>47217</v>
      </c>
      <c r="C1252" s="47" t="str">
        <f t="shared" si="38"/>
        <v>Пн</v>
      </c>
      <c r="I1252" s="46"/>
      <c r="J1252" s="39">
        <f t="shared" si="39"/>
        <v>47212</v>
      </c>
      <c r="K1252" t="str">
        <f ca="1">IF(AND(B1252&gt;='План недели'!$B$4,B1252&lt;'План недели'!$D$4,D1252&lt;&gt;"",G1252&lt;&gt;"Отменён"),COUNTIFS($B$5:B1252,"&gt;="&amp;'План недели'!$B$4,$B$5:B1252,"&lt;"&amp;'План недели'!$D$4,$D$5:D1252,"&lt;&gt;",$G$5:G1252,"&lt;&gt;Отменён"),"")</f>
        <v/>
      </c>
    </row>
    <row r="1253" spans="1:11">
      <c r="A1253" t="str">
        <f>IF(B1253="","","VIS_"&amp;(YEAR(B1253)*10000+MONTH(B1253)*100+DAY(B1253))&amp;"_"&amp;IF(COUNTIF($B$5:B1253,B1253)&lt;10,"00"&amp;COUNTIF($B$5:B1253,B1253),IF(COUNTIF($B$5:B1253,B1253)&lt;100,"0"&amp;COUNTIF($B$5:B1253,B1253),COUNTIF($B$5:B1253,B1253))))</f>
        <v>VIS_20290410_001</v>
      </c>
      <c r="B1253" s="40">
        <v>47218</v>
      </c>
      <c r="C1253" s="47" t="str">
        <f t="shared" si="38"/>
        <v>Вт</v>
      </c>
      <c r="I1253" s="46"/>
      <c r="J1253" s="39">
        <f t="shared" si="39"/>
        <v>47212</v>
      </c>
      <c r="K1253" t="str">
        <f ca="1">IF(AND(B1253&gt;='План недели'!$B$4,B1253&lt;'План недели'!$D$4,D1253&lt;&gt;"",G1253&lt;&gt;"Отменён"),COUNTIFS($B$5:B1253,"&gt;="&amp;'План недели'!$B$4,$B$5:B1253,"&lt;"&amp;'План недели'!$D$4,$D$5:D1253,"&lt;&gt;",$G$5:G1253,"&lt;&gt;Отменён"),"")</f>
        <v/>
      </c>
    </row>
    <row r="1254" spans="1:11">
      <c r="A1254" t="str">
        <f>IF(B1254="","","VIS_"&amp;(YEAR(B1254)*10000+MONTH(B1254)*100+DAY(B1254))&amp;"_"&amp;IF(COUNTIF($B$5:B1254,B1254)&lt;10,"00"&amp;COUNTIF($B$5:B1254,B1254),IF(COUNTIF($B$5:B1254,B1254)&lt;100,"0"&amp;COUNTIF($B$5:B1254,B1254),COUNTIF($B$5:B1254,B1254))))</f>
        <v>VIS_20290411_001</v>
      </c>
      <c r="B1254" s="40">
        <v>47219</v>
      </c>
      <c r="C1254" s="47" t="str">
        <f t="shared" si="38"/>
        <v>Ср</v>
      </c>
      <c r="I1254" s="46"/>
      <c r="J1254" s="39">
        <f t="shared" si="39"/>
        <v>47219</v>
      </c>
      <c r="K1254" t="str">
        <f ca="1">IF(AND(B1254&gt;='План недели'!$B$4,B1254&lt;'План недели'!$D$4,D1254&lt;&gt;"",G1254&lt;&gt;"Отменён"),COUNTIFS($B$5:B1254,"&gt;="&amp;'План недели'!$B$4,$B$5:B1254,"&lt;"&amp;'План недели'!$D$4,$D$5:D1254,"&lt;&gt;",$G$5:G1254,"&lt;&gt;Отменён"),"")</f>
        <v/>
      </c>
    </row>
    <row r="1255" spans="1:11">
      <c r="A1255" t="str">
        <f>IF(B1255="","","VIS_"&amp;(YEAR(B1255)*10000+MONTH(B1255)*100+DAY(B1255))&amp;"_"&amp;IF(COUNTIF($B$5:B1255,B1255)&lt;10,"00"&amp;COUNTIF($B$5:B1255,B1255),IF(COUNTIF($B$5:B1255,B1255)&lt;100,"0"&amp;COUNTIF($B$5:B1255,B1255),COUNTIF($B$5:B1255,B1255))))</f>
        <v>VIS_20290412_001</v>
      </c>
      <c r="B1255" s="40">
        <v>47220</v>
      </c>
      <c r="C1255" s="47" t="str">
        <f t="shared" si="38"/>
        <v>Чт</v>
      </c>
      <c r="I1255" s="46"/>
      <c r="J1255" s="39">
        <f t="shared" si="39"/>
        <v>47219</v>
      </c>
      <c r="K1255" t="str">
        <f ca="1">IF(AND(B1255&gt;='План недели'!$B$4,B1255&lt;'План недели'!$D$4,D1255&lt;&gt;"",G1255&lt;&gt;"Отменён"),COUNTIFS($B$5:B1255,"&gt;="&amp;'План недели'!$B$4,$B$5:B1255,"&lt;"&amp;'План недели'!$D$4,$D$5:D1255,"&lt;&gt;",$G$5:G1255,"&lt;&gt;Отменён"),"")</f>
        <v/>
      </c>
    </row>
    <row r="1256" spans="1:11">
      <c r="A1256" t="str">
        <f>IF(B1256="","","VIS_"&amp;(YEAR(B1256)*10000+MONTH(B1256)*100+DAY(B1256))&amp;"_"&amp;IF(COUNTIF($B$5:B1256,B1256)&lt;10,"00"&amp;COUNTIF($B$5:B1256,B1256),IF(COUNTIF($B$5:B1256,B1256)&lt;100,"0"&amp;COUNTIF($B$5:B1256,B1256),COUNTIF($B$5:B1256,B1256))))</f>
        <v>VIS_20290413_001</v>
      </c>
      <c r="B1256" s="40">
        <v>47221</v>
      </c>
      <c r="C1256" s="47" t="str">
        <f t="shared" si="38"/>
        <v>Пт</v>
      </c>
      <c r="I1256" s="46"/>
      <c r="J1256" s="39">
        <f t="shared" si="39"/>
        <v>47219</v>
      </c>
      <c r="K1256" t="str">
        <f ca="1">IF(AND(B1256&gt;='План недели'!$B$4,B1256&lt;'План недели'!$D$4,D1256&lt;&gt;"",G1256&lt;&gt;"Отменён"),COUNTIFS($B$5:B1256,"&gt;="&amp;'План недели'!$B$4,$B$5:B1256,"&lt;"&amp;'План недели'!$D$4,$D$5:D1256,"&lt;&gt;",$G$5:G1256,"&lt;&gt;Отменён"),"")</f>
        <v/>
      </c>
    </row>
    <row r="1257" spans="1:11">
      <c r="A1257" t="str">
        <f>IF(B1257="","","VIS_"&amp;(YEAR(B1257)*10000+MONTH(B1257)*100+DAY(B1257))&amp;"_"&amp;IF(COUNTIF($B$5:B1257,B1257)&lt;10,"00"&amp;COUNTIF($B$5:B1257,B1257),IF(COUNTIF($B$5:B1257,B1257)&lt;100,"0"&amp;COUNTIF($B$5:B1257,B1257),COUNTIF($B$5:B1257,B1257))))</f>
        <v>VIS_20290414_001</v>
      </c>
      <c r="B1257" s="42">
        <v>47222</v>
      </c>
      <c r="C1257" s="49" t="str">
        <f t="shared" si="38"/>
        <v>Сб</v>
      </c>
      <c r="I1257" s="46"/>
      <c r="J1257" s="39">
        <f t="shared" si="39"/>
        <v>47219</v>
      </c>
      <c r="K1257" t="str">
        <f ca="1">IF(AND(B1257&gt;='План недели'!$B$4,B1257&lt;'План недели'!$D$4,D1257&lt;&gt;"",G1257&lt;&gt;"Отменён"),COUNTIFS($B$5:B1257,"&gt;="&amp;'План недели'!$B$4,$B$5:B1257,"&lt;"&amp;'План недели'!$D$4,$D$5:D1257,"&lt;&gt;",$G$5:G1257,"&lt;&gt;Отменён"),"")</f>
        <v/>
      </c>
    </row>
    <row r="1258" spans="1:11">
      <c r="A1258" t="str">
        <f>IF(B1258="","","VIS_"&amp;(YEAR(B1258)*10000+MONTH(B1258)*100+DAY(B1258))&amp;"_"&amp;IF(COUNTIF($B$5:B1258,B1258)&lt;10,"00"&amp;COUNTIF($B$5:B1258,B1258),IF(COUNTIF($B$5:B1258,B1258)&lt;100,"0"&amp;COUNTIF($B$5:B1258,B1258),COUNTIF($B$5:B1258,B1258))))</f>
        <v>VIS_20290415_001</v>
      </c>
      <c r="B1258" s="42">
        <v>47223</v>
      </c>
      <c r="C1258" s="49" t="str">
        <f t="shared" si="38"/>
        <v>Вс</v>
      </c>
      <c r="I1258" s="46"/>
      <c r="J1258" s="39">
        <f t="shared" si="39"/>
        <v>47219</v>
      </c>
      <c r="K1258" t="str">
        <f ca="1">IF(AND(B1258&gt;='План недели'!$B$4,B1258&lt;'План недели'!$D$4,D1258&lt;&gt;"",G1258&lt;&gt;"Отменён"),COUNTIFS($B$5:B1258,"&gt;="&amp;'План недели'!$B$4,$B$5:B1258,"&lt;"&amp;'План недели'!$D$4,$D$5:D1258,"&lt;&gt;",$G$5:G1258,"&lt;&gt;Отменён"),"")</f>
        <v/>
      </c>
    </row>
    <row r="1259" spans="1:11">
      <c r="A1259" t="str">
        <f>IF(B1259="","","VIS_"&amp;(YEAR(B1259)*10000+MONTH(B1259)*100+DAY(B1259))&amp;"_"&amp;IF(COUNTIF($B$5:B1259,B1259)&lt;10,"00"&amp;COUNTIF($B$5:B1259,B1259),IF(COUNTIF($B$5:B1259,B1259)&lt;100,"0"&amp;COUNTIF($B$5:B1259,B1259),COUNTIF($B$5:B1259,B1259))))</f>
        <v>VIS_20290416_001</v>
      </c>
      <c r="B1259" s="40">
        <v>47224</v>
      </c>
      <c r="C1259" s="47" t="str">
        <f t="shared" si="38"/>
        <v>Пн</v>
      </c>
      <c r="I1259" s="46"/>
      <c r="J1259" s="39">
        <f t="shared" si="39"/>
        <v>47219</v>
      </c>
      <c r="K1259" t="str">
        <f ca="1">IF(AND(B1259&gt;='План недели'!$B$4,B1259&lt;'План недели'!$D$4,D1259&lt;&gt;"",G1259&lt;&gt;"Отменён"),COUNTIFS($B$5:B1259,"&gt;="&amp;'План недели'!$B$4,$B$5:B1259,"&lt;"&amp;'План недели'!$D$4,$D$5:D1259,"&lt;&gt;",$G$5:G1259,"&lt;&gt;Отменён"),"")</f>
        <v/>
      </c>
    </row>
    <row r="1260" spans="1:11">
      <c r="A1260" t="str">
        <f>IF(B1260="","","VIS_"&amp;(YEAR(B1260)*10000+MONTH(B1260)*100+DAY(B1260))&amp;"_"&amp;IF(COUNTIF($B$5:B1260,B1260)&lt;10,"00"&amp;COUNTIF($B$5:B1260,B1260),IF(COUNTIF($B$5:B1260,B1260)&lt;100,"0"&amp;COUNTIF($B$5:B1260,B1260),COUNTIF($B$5:B1260,B1260))))</f>
        <v>VIS_20290417_001</v>
      </c>
      <c r="B1260" s="40">
        <v>47225</v>
      </c>
      <c r="C1260" s="47" t="str">
        <f t="shared" si="38"/>
        <v>Вт</v>
      </c>
      <c r="I1260" s="46"/>
      <c r="J1260" s="39">
        <f t="shared" si="39"/>
        <v>47219</v>
      </c>
      <c r="K1260" t="str">
        <f ca="1">IF(AND(B1260&gt;='План недели'!$B$4,B1260&lt;'План недели'!$D$4,D1260&lt;&gt;"",G1260&lt;&gt;"Отменён"),COUNTIFS($B$5:B1260,"&gt;="&amp;'План недели'!$B$4,$B$5:B1260,"&lt;"&amp;'План недели'!$D$4,$D$5:D1260,"&lt;&gt;",$G$5:G1260,"&lt;&gt;Отменён"),"")</f>
        <v/>
      </c>
    </row>
    <row r="1261" spans="1:11">
      <c r="A1261" t="str">
        <f>IF(B1261="","","VIS_"&amp;(YEAR(B1261)*10000+MONTH(B1261)*100+DAY(B1261))&amp;"_"&amp;IF(COUNTIF($B$5:B1261,B1261)&lt;10,"00"&amp;COUNTIF($B$5:B1261,B1261),IF(COUNTIF($B$5:B1261,B1261)&lt;100,"0"&amp;COUNTIF($B$5:B1261,B1261),COUNTIF($B$5:B1261,B1261))))</f>
        <v>VIS_20290418_001</v>
      </c>
      <c r="B1261" s="40">
        <v>47226</v>
      </c>
      <c r="C1261" s="47" t="str">
        <f t="shared" si="38"/>
        <v>Ср</v>
      </c>
      <c r="I1261" s="46"/>
      <c r="J1261" s="39">
        <f t="shared" si="39"/>
        <v>47226</v>
      </c>
      <c r="K1261" t="str">
        <f ca="1">IF(AND(B1261&gt;='План недели'!$B$4,B1261&lt;'План недели'!$D$4,D1261&lt;&gt;"",G1261&lt;&gt;"Отменён"),COUNTIFS($B$5:B1261,"&gt;="&amp;'План недели'!$B$4,$B$5:B1261,"&lt;"&amp;'План недели'!$D$4,$D$5:D1261,"&lt;&gt;",$G$5:G1261,"&lt;&gt;Отменён"),"")</f>
        <v/>
      </c>
    </row>
    <row r="1262" spans="1:11">
      <c r="A1262" t="str">
        <f>IF(B1262="","","VIS_"&amp;(YEAR(B1262)*10000+MONTH(B1262)*100+DAY(B1262))&amp;"_"&amp;IF(COUNTIF($B$5:B1262,B1262)&lt;10,"00"&amp;COUNTIF($B$5:B1262,B1262),IF(COUNTIF($B$5:B1262,B1262)&lt;100,"0"&amp;COUNTIF($B$5:B1262,B1262),COUNTIF($B$5:B1262,B1262))))</f>
        <v>VIS_20290419_001</v>
      </c>
      <c r="B1262" s="40">
        <v>47227</v>
      </c>
      <c r="C1262" s="47" t="str">
        <f t="shared" si="38"/>
        <v>Чт</v>
      </c>
      <c r="I1262" s="46"/>
      <c r="J1262" s="39">
        <f t="shared" si="39"/>
        <v>47226</v>
      </c>
      <c r="K1262" t="str">
        <f ca="1">IF(AND(B1262&gt;='План недели'!$B$4,B1262&lt;'План недели'!$D$4,D1262&lt;&gt;"",G1262&lt;&gt;"Отменён"),COUNTIFS($B$5:B1262,"&gt;="&amp;'План недели'!$B$4,$B$5:B1262,"&lt;"&amp;'План недели'!$D$4,$D$5:D1262,"&lt;&gt;",$G$5:G1262,"&lt;&gt;Отменён"),"")</f>
        <v/>
      </c>
    </row>
    <row r="1263" spans="1:11">
      <c r="A1263" t="str">
        <f>IF(B1263="","","VIS_"&amp;(YEAR(B1263)*10000+MONTH(B1263)*100+DAY(B1263))&amp;"_"&amp;IF(COUNTIF($B$5:B1263,B1263)&lt;10,"00"&amp;COUNTIF($B$5:B1263,B1263),IF(COUNTIF($B$5:B1263,B1263)&lt;100,"0"&amp;COUNTIF($B$5:B1263,B1263),COUNTIF($B$5:B1263,B1263))))</f>
        <v>VIS_20290420_001</v>
      </c>
      <c r="B1263" s="40">
        <v>47228</v>
      </c>
      <c r="C1263" s="47" t="str">
        <f t="shared" si="38"/>
        <v>Пт</v>
      </c>
      <c r="I1263" s="46"/>
      <c r="J1263" s="39">
        <f t="shared" si="39"/>
        <v>47226</v>
      </c>
      <c r="K1263" t="str">
        <f ca="1">IF(AND(B1263&gt;='План недели'!$B$4,B1263&lt;'План недели'!$D$4,D1263&lt;&gt;"",G1263&lt;&gt;"Отменён"),COUNTIFS($B$5:B1263,"&gt;="&amp;'План недели'!$B$4,$B$5:B1263,"&lt;"&amp;'План недели'!$D$4,$D$5:D1263,"&lt;&gt;",$G$5:G1263,"&lt;&gt;Отменён"),"")</f>
        <v/>
      </c>
    </row>
    <row r="1264" spans="1:11">
      <c r="A1264" t="str">
        <f>IF(B1264="","","VIS_"&amp;(YEAR(B1264)*10000+MONTH(B1264)*100+DAY(B1264))&amp;"_"&amp;IF(COUNTIF($B$5:B1264,B1264)&lt;10,"00"&amp;COUNTIF($B$5:B1264,B1264),IF(COUNTIF($B$5:B1264,B1264)&lt;100,"0"&amp;COUNTIF($B$5:B1264,B1264),COUNTIF($B$5:B1264,B1264))))</f>
        <v>VIS_20290421_001</v>
      </c>
      <c r="B1264" s="42">
        <v>47229</v>
      </c>
      <c r="C1264" s="49" t="str">
        <f t="shared" si="38"/>
        <v>Сб</v>
      </c>
      <c r="I1264" s="46"/>
      <c r="J1264" s="39">
        <f t="shared" si="39"/>
        <v>47226</v>
      </c>
      <c r="K1264" t="str">
        <f ca="1">IF(AND(B1264&gt;='План недели'!$B$4,B1264&lt;'План недели'!$D$4,D1264&lt;&gt;"",G1264&lt;&gt;"Отменён"),COUNTIFS($B$5:B1264,"&gt;="&amp;'План недели'!$B$4,$B$5:B1264,"&lt;"&amp;'План недели'!$D$4,$D$5:D1264,"&lt;&gt;",$G$5:G1264,"&lt;&gt;Отменён"),"")</f>
        <v/>
      </c>
    </row>
    <row r="1265" spans="1:11">
      <c r="A1265" t="str">
        <f>IF(B1265="","","VIS_"&amp;(YEAR(B1265)*10000+MONTH(B1265)*100+DAY(B1265))&amp;"_"&amp;IF(COUNTIF($B$5:B1265,B1265)&lt;10,"00"&amp;COUNTIF($B$5:B1265,B1265),IF(COUNTIF($B$5:B1265,B1265)&lt;100,"0"&amp;COUNTIF($B$5:B1265,B1265),COUNTIF($B$5:B1265,B1265))))</f>
        <v>VIS_20290422_001</v>
      </c>
      <c r="B1265" s="42">
        <v>47230</v>
      </c>
      <c r="C1265" s="49" t="str">
        <f t="shared" si="38"/>
        <v>Вс</v>
      </c>
      <c r="I1265" s="46"/>
      <c r="J1265" s="39">
        <f t="shared" si="39"/>
        <v>47226</v>
      </c>
      <c r="K1265" t="str">
        <f ca="1">IF(AND(B1265&gt;='План недели'!$B$4,B1265&lt;'План недели'!$D$4,D1265&lt;&gt;"",G1265&lt;&gt;"Отменён"),COUNTIFS($B$5:B1265,"&gt;="&amp;'План недели'!$B$4,$B$5:B1265,"&lt;"&amp;'План недели'!$D$4,$D$5:D1265,"&lt;&gt;",$G$5:G1265,"&lt;&gt;Отменён"),"")</f>
        <v/>
      </c>
    </row>
    <row r="1266" spans="1:11">
      <c r="A1266" t="str">
        <f>IF(B1266="","","VIS_"&amp;(YEAR(B1266)*10000+MONTH(B1266)*100+DAY(B1266))&amp;"_"&amp;IF(COUNTIF($B$5:B1266,B1266)&lt;10,"00"&amp;COUNTIF($B$5:B1266,B1266),IF(COUNTIF($B$5:B1266,B1266)&lt;100,"0"&amp;COUNTIF($B$5:B1266,B1266),COUNTIF($B$5:B1266,B1266))))</f>
        <v>VIS_20290423_001</v>
      </c>
      <c r="B1266" s="40">
        <v>47231</v>
      </c>
      <c r="C1266" s="47" t="str">
        <f t="shared" si="38"/>
        <v>Пн</v>
      </c>
      <c r="I1266" s="46"/>
      <c r="J1266" s="39">
        <f t="shared" si="39"/>
        <v>47226</v>
      </c>
      <c r="K1266" t="str">
        <f ca="1">IF(AND(B1266&gt;='План недели'!$B$4,B1266&lt;'План недели'!$D$4,D1266&lt;&gt;"",G1266&lt;&gt;"Отменён"),COUNTIFS($B$5:B1266,"&gt;="&amp;'План недели'!$B$4,$B$5:B1266,"&lt;"&amp;'План недели'!$D$4,$D$5:D1266,"&lt;&gt;",$G$5:G1266,"&lt;&gt;Отменён"),"")</f>
        <v/>
      </c>
    </row>
    <row r="1267" spans="1:11">
      <c r="A1267" t="str">
        <f>IF(B1267="","","VIS_"&amp;(YEAR(B1267)*10000+MONTH(B1267)*100+DAY(B1267))&amp;"_"&amp;IF(COUNTIF($B$5:B1267,B1267)&lt;10,"00"&amp;COUNTIF($B$5:B1267,B1267),IF(COUNTIF($B$5:B1267,B1267)&lt;100,"0"&amp;COUNTIF($B$5:B1267,B1267),COUNTIF($B$5:B1267,B1267))))</f>
        <v>VIS_20290424_001</v>
      </c>
      <c r="B1267" s="40">
        <v>47232</v>
      </c>
      <c r="C1267" s="47" t="str">
        <f t="shared" si="38"/>
        <v>Вт</v>
      </c>
      <c r="I1267" s="46"/>
      <c r="J1267" s="39">
        <f t="shared" si="39"/>
        <v>47226</v>
      </c>
      <c r="K1267" t="str">
        <f ca="1">IF(AND(B1267&gt;='План недели'!$B$4,B1267&lt;'План недели'!$D$4,D1267&lt;&gt;"",G1267&lt;&gt;"Отменён"),COUNTIFS($B$5:B1267,"&gt;="&amp;'План недели'!$B$4,$B$5:B1267,"&lt;"&amp;'План недели'!$D$4,$D$5:D1267,"&lt;&gt;",$G$5:G1267,"&lt;&gt;Отменён"),"")</f>
        <v/>
      </c>
    </row>
    <row r="1268" spans="1:11">
      <c r="A1268" t="str">
        <f>IF(B1268="","","VIS_"&amp;(YEAR(B1268)*10000+MONTH(B1268)*100+DAY(B1268))&amp;"_"&amp;IF(COUNTIF($B$5:B1268,B1268)&lt;10,"00"&amp;COUNTIF($B$5:B1268,B1268),IF(COUNTIF($B$5:B1268,B1268)&lt;100,"0"&amp;COUNTIF($B$5:B1268,B1268),COUNTIF($B$5:B1268,B1268))))</f>
        <v>VIS_20290425_001</v>
      </c>
      <c r="B1268" s="40">
        <v>47233</v>
      </c>
      <c r="C1268" s="47" t="str">
        <f t="shared" si="38"/>
        <v>Ср</v>
      </c>
      <c r="I1268" s="46"/>
      <c r="J1268" s="39">
        <f t="shared" si="39"/>
        <v>47233</v>
      </c>
      <c r="K1268" t="str">
        <f ca="1">IF(AND(B1268&gt;='План недели'!$B$4,B1268&lt;'План недели'!$D$4,D1268&lt;&gt;"",G1268&lt;&gt;"Отменён"),COUNTIFS($B$5:B1268,"&gt;="&amp;'План недели'!$B$4,$B$5:B1268,"&lt;"&amp;'План недели'!$D$4,$D$5:D1268,"&lt;&gt;",$G$5:G1268,"&lt;&gt;Отменён"),"")</f>
        <v/>
      </c>
    </row>
    <row r="1269" spans="1:11">
      <c r="A1269" t="str">
        <f>IF(B1269="","","VIS_"&amp;(YEAR(B1269)*10000+MONTH(B1269)*100+DAY(B1269))&amp;"_"&amp;IF(COUNTIF($B$5:B1269,B1269)&lt;10,"00"&amp;COUNTIF($B$5:B1269,B1269),IF(COUNTIF($B$5:B1269,B1269)&lt;100,"0"&amp;COUNTIF($B$5:B1269,B1269),COUNTIF($B$5:B1269,B1269))))</f>
        <v>VIS_20290426_001</v>
      </c>
      <c r="B1269" s="40">
        <v>47234</v>
      </c>
      <c r="C1269" s="47" t="str">
        <f t="shared" si="38"/>
        <v>Чт</v>
      </c>
      <c r="I1269" s="46"/>
      <c r="J1269" s="39">
        <f t="shared" si="39"/>
        <v>47233</v>
      </c>
      <c r="K1269" t="str">
        <f ca="1">IF(AND(B1269&gt;='План недели'!$B$4,B1269&lt;'План недели'!$D$4,D1269&lt;&gt;"",G1269&lt;&gt;"Отменён"),COUNTIFS($B$5:B1269,"&gt;="&amp;'План недели'!$B$4,$B$5:B1269,"&lt;"&amp;'План недели'!$D$4,$D$5:D1269,"&lt;&gt;",$G$5:G1269,"&lt;&gt;Отменён"),"")</f>
        <v/>
      </c>
    </row>
    <row r="1270" spans="1:11">
      <c r="A1270" t="str">
        <f>IF(B1270="","","VIS_"&amp;(YEAR(B1270)*10000+MONTH(B1270)*100+DAY(B1270))&amp;"_"&amp;IF(COUNTIF($B$5:B1270,B1270)&lt;10,"00"&amp;COUNTIF($B$5:B1270,B1270),IF(COUNTIF($B$5:B1270,B1270)&lt;100,"0"&amp;COUNTIF($B$5:B1270,B1270),COUNTIF($B$5:B1270,B1270))))</f>
        <v>VIS_20290427_001</v>
      </c>
      <c r="B1270" s="40">
        <v>47235</v>
      </c>
      <c r="C1270" s="47" t="str">
        <f t="shared" si="38"/>
        <v>Пт</v>
      </c>
      <c r="I1270" s="46"/>
      <c r="J1270" s="39">
        <f t="shared" si="39"/>
        <v>47233</v>
      </c>
      <c r="K1270" t="str">
        <f ca="1">IF(AND(B1270&gt;='План недели'!$B$4,B1270&lt;'План недели'!$D$4,D1270&lt;&gt;"",G1270&lt;&gt;"Отменён"),COUNTIFS($B$5:B1270,"&gt;="&amp;'План недели'!$B$4,$B$5:B1270,"&lt;"&amp;'План недели'!$D$4,$D$5:D1270,"&lt;&gt;",$G$5:G1270,"&lt;&gt;Отменён"),"")</f>
        <v/>
      </c>
    </row>
    <row r="1271" spans="1:11">
      <c r="A1271" t="str">
        <f>IF(B1271="","","VIS_"&amp;(YEAR(B1271)*10000+MONTH(B1271)*100+DAY(B1271))&amp;"_"&amp;IF(COUNTIF($B$5:B1271,B1271)&lt;10,"00"&amp;COUNTIF($B$5:B1271,B1271),IF(COUNTIF($B$5:B1271,B1271)&lt;100,"0"&amp;COUNTIF($B$5:B1271,B1271),COUNTIF($B$5:B1271,B1271))))</f>
        <v>VIS_20290428_001</v>
      </c>
      <c r="B1271" s="42">
        <v>47236</v>
      </c>
      <c r="C1271" s="49" t="str">
        <f t="shared" si="38"/>
        <v>Сб</v>
      </c>
      <c r="I1271" s="46"/>
      <c r="J1271" s="39">
        <f t="shared" si="39"/>
        <v>47233</v>
      </c>
      <c r="K1271" t="str">
        <f ca="1">IF(AND(B1271&gt;='План недели'!$B$4,B1271&lt;'План недели'!$D$4,D1271&lt;&gt;"",G1271&lt;&gt;"Отменён"),COUNTIFS($B$5:B1271,"&gt;="&amp;'План недели'!$B$4,$B$5:B1271,"&lt;"&amp;'План недели'!$D$4,$D$5:D1271,"&lt;&gt;",$G$5:G1271,"&lt;&gt;Отменён"),"")</f>
        <v/>
      </c>
    </row>
    <row r="1272" spans="1:11">
      <c r="A1272" t="str">
        <f>IF(B1272="","","VIS_"&amp;(YEAR(B1272)*10000+MONTH(B1272)*100+DAY(B1272))&amp;"_"&amp;IF(COUNTIF($B$5:B1272,B1272)&lt;10,"00"&amp;COUNTIF($B$5:B1272,B1272),IF(COUNTIF($B$5:B1272,B1272)&lt;100,"0"&amp;COUNTIF($B$5:B1272,B1272),COUNTIF($B$5:B1272,B1272))))</f>
        <v>VIS_20290429_001</v>
      </c>
      <c r="B1272" s="42">
        <v>47237</v>
      </c>
      <c r="C1272" s="49" t="str">
        <f t="shared" si="38"/>
        <v>Вс</v>
      </c>
      <c r="I1272" s="46"/>
      <c r="J1272" s="39">
        <f t="shared" si="39"/>
        <v>47233</v>
      </c>
      <c r="K1272" t="str">
        <f ca="1">IF(AND(B1272&gt;='План недели'!$B$4,B1272&lt;'План недели'!$D$4,D1272&lt;&gt;"",G1272&lt;&gt;"Отменён"),COUNTIFS($B$5:B1272,"&gt;="&amp;'План недели'!$B$4,$B$5:B1272,"&lt;"&amp;'План недели'!$D$4,$D$5:D1272,"&lt;&gt;",$G$5:G1272,"&lt;&gt;Отменён"),"")</f>
        <v/>
      </c>
    </row>
    <row r="1273" spans="1:11">
      <c r="A1273" t="str">
        <f>IF(B1273="","","VIS_"&amp;(YEAR(B1273)*10000+MONTH(B1273)*100+DAY(B1273))&amp;"_"&amp;IF(COUNTIF($B$5:B1273,B1273)&lt;10,"00"&amp;COUNTIF($B$5:B1273,B1273),IF(COUNTIF($B$5:B1273,B1273)&lt;100,"0"&amp;COUNTIF($B$5:B1273,B1273),COUNTIF($B$5:B1273,B1273))))</f>
        <v>VIS_20290430_001</v>
      </c>
      <c r="B1273" s="40">
        <v>47238</v>
      </c>
      <c r="C1273" s="47" t="str">
        <f t="shared" si="38"/>
        <v>Пн</v>
      </c>
      <c r="I1273" s="46"/>
      <c r="J1273" s="39">
        <f t="shared" si="39"/>
        <v>47233</v>
      </c>
      <c r="K1273" t="str">
        <f ca="1">IF(AND(B1273&gt;='План недели'!$B$4,B1273&lt;'План недели'!$D$4,D1273&lt;&gt;"",G1273&lt;&gt;"Отменён"),COUNTIFS($B$5:B1273,"&gt;="&amp;'План недели'!$B$4,$B$5:B1273,"&lt;"&amp;'План недели'!$D$4,$D$5:D1273,"&lt;&gt;",$G$5:G1273,"&lt;&gt;Отменён"),"")</f>
        <v/>
      </c>
    </row>
    <row r="1274" spans="1:11">
      <c r="A1274" t="str">
        <f>IF(B1274="","","VIS_"&amp;(YEAR(B1274)*10000+MONTH(B1274)*100+DAY(B1274))&amp;"_"&amp;IF(COUNTIF($B$5:B1274,B1274)&lt;10,"00"&amp;COUNTIF($B$5:B1274,B1274),IF(COUNTIF($B$5:B1274,B1274)&lt;100,"0"&amp;COUNTIF($B$5:B1274,B1274),COUNTIF($B$5:B1274,B1274))))</f>
        <v>VIS_20290501_001</v>
      </c>
      <c r="B1274" s="40">
        <v>47239</v>
      </c>
      <c r="C1274" s="47" t="str">
        <f t="shared" si="38"/>
        <v>Вт</v>
      </c>
      <c r="I1274" s="46"/>
      <c r="J1274" s="39">
        <f t="shared" si="39"/>
        <v>47233</v>
      </c>
      <c r="K1274" t="str">
        <f ca="1">IF(AND(B1274&gt;='План недели'!$B$4,B1274&lt;'План недели'!$D$4,D1274&lt;&gt;"",G1274&lt;&gt;"Отменён"),COUNTIFS($B$5:B1274,"&gt;="&amp;'План недели'!$B$4,$B$5:B1274,"&lt;"&amp;'План недели'!$D$4,$D$5:D1274,"&lt;&gt;",$G$5:G1274,"&lt;&gt;Отменён"),"")</f>
        <v/>
      </c>
    </row>
    <row r="1275" spans="1:11">
      <c r="A1275" t="str">
        <f>IF(B1275="","","VIS_"&amp;(YEAR(B1275)*10000+MONTH(B1275)*100+DAY(B1275))&amp;"_"&amp;IF(COUNTIF($B$5:B1275,B1275)&lt;10,"00"&amp;COUNTIF($B$5:B1275,B1275),IF(COUNTIF($B$5:B1275,B1275)&lt;100,"0"&amp;COUNTIF($B$5:B1275,B1275),COUNTIF($B$5:B1275,B1275))))</f>
        <v>VIS_20290502_001</v>
      </c>
      <c r="B1275" s="40">
        <v>47240</v>
      </c>
      <c r="C1275" s="47" t="str">
        <f t="shared" si="38"/>
        <v>Ср</v>
      </c>
      <c r="I1275" s="46"/>
      <c r="J1275" s="39">
        <f t="shared" si="39"/>
        <v>47240</v>
      </c>
      <c r="K1275" t="str">
        <f ca="1">IF(AND(B1275&gt;='План недели'!$B$4,B1275&lt;'План недели'!$D$4,D1275&lt;&gt;"",G1275&lt;&gt;"Отменён"),COUNTIFS($B$5:B1275,"&gt;="&amp;'План недели'!$B$4,$B$5:B1275,"&lt;"&amp;'План недели'!$D$4,$D$5:D1275,"&lt;&gt;",$G$5:G1275,"&lt;&gt;Отменён"),"")</f>
        <v/>
      </c>
    </row>
    <row r="1276" spans="1:11">
      <c r="A1276" t="str">
        <f>IF(B1276="","","VIS_"&amp;(YEAR(B1276)*10000+MONTH(B1276)*100+DAY(B1276))&amp;"_"&amp;IF(COUNTIF($B$5:B1276,B1276)&lt;10,"00"&amp;COUNTIF($B$5:B1276,B1276),IF(COUNTIF($B$5:B1276,B1276)&lt;100,"0"&amp;COUNTIF($B$5:B1276,B1276),COUNTIF($B$5:B1276,B1276))))</f>
        <v>VIS_20290503_001</v>
      </c>
      <c r="B1276" s="40">
        <v>47241</v>
      </c>
      <c r="C1276" s="47" t="str">
        <f t="shared" si="38"/>
        <v>Чт</v>
      </c>
      <c r="I1276" s="46"/>
      <c r="J1276" s="39">
        <f t="shared" si="39"/>
        <v>47240</v>
      </c>
      <c r="K1276" t="str">
        <f ca="1">IF(AND(B1276&gt;='План недели'!$B$4,B1276&lt;'План недели'!$D$4,D1276&lt;&gt;"",G1276&lt;&gt;"Отменён"),COUNTIFS($B$5:B1276,"&gt;="&amp;'План недели'!$B$4,$B$5:B1276,"&lt;"&amp;'План недели'!$D$4,$D$5:D1276,"&lt;&gt;",$G$5:G1276,"&lt;&gt;Отменён"),"")</f>
        <v/>
      </c>
    </row>
    <row r="1277" spans="1:11">
      <c r="A1277" t="str">
        <f>IF(B1277="","","VIS_"&amp;(YEAR(B1277)*10000+MONTH(B1277)*100+DAY(B1277))&amp;"_"&amp;IF(COUNTIF($B$5:B1277,B1277)&lt;10,"00"&amp;COUNTIF($B$5:B1277,B1277),IF(COUNTIF($B$5:B1277,B1277)&lt;100,"0"&amp;COUNTIF($B$5:B1277,B1277),COUNTIF($B$5:B1277,B1277))))</f>
        <v>VIS_20290504_001</v>
      </c>
      <c r="B1277" s="40">
        <v>47242</v>
      </c>
      <c r="C1277" s="47" t="str">
        <f t="shared" si="38"/>
        <v>Пт</v>
      </c>
      <c r="I1277" s="46"/>
      <c r="J1277" s="39">
        <f t="shared" si="39"/>
        <v>47240</v>
      </c>
      <c r="K1277" t="str">
        <f ca="1">IF(AND(B1277&gt;='План недели'!$B$4,B1277&lt;'План недели'!$D$4,D1277&lt;&gt;"",G1277&lt;&gt;"Отменён"),COUNTIFS($B$5:B1277,"&gt;="&amp;'План недели'!$B$4,$B$5:B1277,"&lt;"&amp;'План недели'!$D$4,$D$5:D1277,"&lt;&gt;",$G$5:G1277,"&lt;&gt;Отменён"),"")</f>
        <v/>
      </c>
    </row>
    <row r="1278" spans="1:11">
      <c r="A1278" t="str">
        <f>IF(B1278="","","VIS_"&amp;(YEAR(B1278)*10000+MONTH(B1278)*100+DAY(B1278))&amp;"_"&amp;IF(COUNTIF($B$5:B1278,B1278)&lt;10,"00"&amp;COUNTIF($B$5:B1278,B1278),IF(COUNTIF($B$5:B1278,B1278)&lt;100,"0"&amp;COUNTIF($B$5:B1278,B1278),COUNTIF($B$5:B1278,B1278))))</f>
        <v>VIS_20290505_001</v>
      </c>
      <c r="B1278" s="42">
        <v>47243</v>
      </c>
      <c r="C1278" s="49" t="str">
        <f t="shared" si="38"/>
        <v>Сб</v>
      </c>
      <c r="I1278" s="46"/>
      <c r="J1278" s="39">
        <f t="shared" si="39"/>
        <v>47240</v>
      </c>
      <c r="K1278" t="str">
        <f ca="1">IF(AND(B1278&gt;='План недели'!$B$4,B1278&lt;'План недели'!$D$4,D1278&lt;&gt;"",G1278&lt;&gt;"Отменён"),COUNTIFS($B$5:B1278,"&gt;="&amp;'План недели'!$B$4,$B$5:B1278,"&lt;"&amp;'План недели'!$D$4,$D$5:D1278,"&lt;&gt;",$G$5:G1278,"&lt;&gt;Отменён"),"")</f>
        <v/>
      </c>
    </row>
    <row r="1279" spans="1:11">
      <c r="A1279" t="str">
        <f>IF(B1279="","","VIS_"&amp;(YEAR(B1279)*10000+MONTH(B1279)*100+DAY(B1279))&amp;"_"&amp;IF(COUNTIF($B$5:B1279,B1279)&lt;10,"00"&amp;COUNTIF($B$5:B1279,B1279),IF(COUNTIF($B$5:B1279,B1279)&lt;100,"0"&amp;COUNTIF($B$5:B1279,B1279),COUNTIF($B$5:B1279,B1279))))</f>
        <v>VIS_20290506_001</v>
      </c>
      <c r="B1279" s="42">
        <v>47244</v>
      </c>
      <c r="C1279" s="49" t="str">
        <f t="shared" si="38"/>
        <v>Вс</v>
      </c>
      <c r="I1279" s="46"/>
      <c r="J1279" s="39">
        <f t="shared" si="39"/>
        <v>47240</v>
      </c>
      <c r="K1279" t="str">
        <f ca="1">IF(AND(B1279&gt;='План недели'!$B$4,B1279&lt;'План недели'!$D$4,D1279&lt;&gt;"",G1279&lt;&gt;"Отменён"),COUNTIFS($B$5:B1279,"&gt;="&amp;'План недели'!$B$4,$B$5:B1279,"&lt;"&amp;'План недели'!$D$4,$D$5:D1279,"&lt;&gt;",$G$5:G1279,"&lt;&gt;Отменён"),"")</f>
        <v/>
      </c>
    </row>
    <row r="1280" spans="1:11">
      <c r="A1280" t="str">
        <f>IF(B1280="","","VIS_"&amp;(YEAR(B1280)*10000+MONTH(B1280)*100+DAY(B1280))&amp;"_"&amp;IF(COUNTIF($B$5:B1280,B1280)&lt;10,"00"&amp;COUNTIF($B$5:B1280,B1280),IF(COUNTIF($B$5:B1280,B1280)&lt;100,"0"&amp;COUNTIF($B$5:B1280,B1280),COUNTIF($B$5:B1280,B1280))))</f>
        <v>VIS_20290507_001</v>
      </c>
      <c r="B1280" s="40">
        <v>47245</v>
      </c>
      <c r="C1280" s="47" t="str">
        <f t="shared" si="38"/>
        <v>Пн</v>
      </c>
      <c r="I1280" s="46"/>
      <c r="J1280" s="39">
        <f t="shared" si="39"/>
        <v>47240</v>
      </c>
      <c r="K1280" t="str">
        <f ca="1">IF(AND(B1280&gt;='План недели'!$B$4,B1280&lt;'План недели'!$D$4,D1280&lt;&gt;"",G1280&lt;&gt;"Отменён"),COUNTIFS($B$5:B1280,"&gt;="&amp;'План недели'!$B$4,$B$5:B1280,"&lt;"&amp;'План недели'!$D$4,$D$5:D1280,"&lt;&gt;",$G$5:G1280,"&lt;&gt;Отменён"),"")</f>
        <v/>
      </c>
    </row>
    <row r="1281" spans="1:11">
      <c r="A1281" t="str">
        <f>IF(B1281="","","VIS_"&amp;(YEAR(B1281)*10000+MONTH(B1281)*100+DAY(B1281))&amp;"_"&amp;IF(COUNTIF($B$5:B1281,B1281)&lt;10,"00"&amp;COUNTIF($B$5:B1281,B1281),IF(COUNTIF($B$5:B1281,B1281)&lt;100,"0"&amp;COUNTIF($B$5:B1281,B1281),COUNTIF($B$5:B1281,B1281))))</f>
        <v>VIS_20290508_001</v>
      </c>
      <c r="B1281" s="40">
        <v>47246</v>
      </c>
      <c r="C1281" s="47" t="str">
        <f t="shared" si="38"/>
        <v>Вт</v>
      </c>
      <c r="I1281" s="46"/>
      <c r="J1281" s="39">
        <f t="shared" si="39"/>
        <v>47240</v>
      </c>
      <c r="K1281" t="str">
        <f ca="1">IF(AND(B1281&gt;='План недели'!$B$4,B1281&lt;'План недели'!$D$4,D1281&lt;&gt;"",G1281&lt;&gt;"Отменён"),COUNTIFS($B$5:B1281,"&gt;="&amp;'План недели'!$B$4,$B$5:B1281,"&lt;"&amp;'План недели'!$D$4,$D$5:D1281,"&lt;&gt;",$G$5:G1281,"&lt;&gt;Отменён"),"")</f>
        <v/>
      </c>
    </row>
    <row r="1282" spans="1:11">
      <c r="A1282" t="str">
        <f>IF(B1282="","","VIS_"&amp;(YEAR(B1282)*10000+MONTH(B1282)*100+DAY(B1282))&amp;"_"&amp;IF(COUNTIF($B$5:B1282,B1282)&lt;10,"00"&amp;COUNTIF($B$5:B1282,B1282),IF(COUNTIF($B$5:B1282,B1282)&lt;100,"0"&amp;COUNTIF($B$5:B1282,B1282),COUNTIF($B$5:B1282,B1282))))</f>
        <v>VIS_20290509_001</v>
      </c>
      <c r="B1282" s="40">
        <v>47247</v>
      </c>
      <c r="C1282" s="47" t="str">
        <f t="shared" si="38"/>
        <v>Ср</v>
      </c>
      <c r="I1282" s="46"/>
      <c r="J1282" s="39">
        <f t="shared" si="39"/>
        <v>47247</v>
      </c>
      <c r="K1282" t="str">
        <f ca="1">IF(AND(B1282&gt;='План недели'!$B$4,B1282&lt;'План недели'!$D$4,D1282&lt;&gt;"",G1282&lt;&gt;"Отменён"),COUNTIFS($B$5:B1282,"&gt;="&amp;'План недели'!$B$4,$B$5:B1282,"&lt;"&amp;'План недели'!$D$4,$D$5:D1282,"&lt;&gt;",$G$5:G1282,"&lt;&gt;Отменён"),"")</f>
        <v/>
      </c>
    </row>
    <row r="1283" spans="1:11">
      <c r="A1283" t="str">
        <f>IF(B1283="","","VIS_"&amp;(YEAR(B1283)*10000+MONTH(B1283)*100+DAY(B1283))&amp;"_"&amp;IF(COUNTIF($B$5:B1283,B1283)&lt;10,"00"&amp;COUNTIF($B$5:B1283,B1283),IF(COUNTIF($B$5:B1283,B1283)&lt;100,"0"&amp;COUNTIF($B$5:B1283,B1283),COUNTIF($B$5:B1283,B1283))))</f>
        <v>VIS_20290510_001</v>
      </c>
      <c r="B1283" s="40">
        <v>47248</v>
      </c>
      <c r="C1283" s="47" t="str">
        <f t="shared" si="38"/>
        <v>Чт</v>
      </c>
      <c r="I1283" s="46"/>
      <c r="J1283" s="39">
        <f t="shared" si="39"/>
        <v>47247</v>
      </c>
      <c r="K1283" t="str">
        <f ca="1">IF(AND(B1283&gt;='План недели'!$B$4,B1283&lt;'План недели'!$D$4,D1283&lt;&gt;"",G1283&lt;&gt;"Отменён"),COUNTIFS($B$5:B1283,"&gt;="&amp;'План недели'!$B$4,$B$5:B1283,"&lt;"&amp;'План недели'!$D$4,$D$5:D1283,"&lt;&gt;",$G$5:G1283,"&lt;&gt;Отменён"),"")</f>
        <v/>
      </c>
    </row>
    <row r="1284" spans="1:11">
      <c r="A1284" t="str">
        <f>IF(B1284="","","VIS_"&amp;(YEAR(B1284)*10000+MONTH(B1284)*100+DAY(B1284))&amp;"_"&amp;IF(COUNTIF($B$5:B1284,B1284)&lt;10,"00"&amp;COUNTIF($B$5:B1284,B1284),IF(COUNTIF($B$5:B1284,B1284)&lt;100,"0"&amp;COUNTIF($B$5:B1284,B1284),COUNTIF($B$5:B1284,B1284))))</f>
        <v>VIS_20290511_001</v>
      </c>
      <c r="B1284" s="40">
        <v>47249</v>
      </c>
      <c r="C1284" s="47" t="str">
        <f t="shared" si="38"/>
        <v>Пт</v>
      </c>
      <c r="I1284" s="46"/>
      <c r="J1284" s="39">
        <f t="shared" si="39"/>
        <v>47247</v>
      </c>
      <c r="K1284" t="str">
        <f ca="1">IF(AND(B1284&gt;='План недели'!$B$4,B1284&lt;'План недели'!$D$4,D1284&lt;&gt;"",G1284&lt;&gt;"Отменён"),COUNTIFS($B$5:B1284,"&gt;="&amp;'План недели'!$B$4,$B$5:B1284,"&lt;"&amp;'План недели'!$D$4,$D$5:D1284,"&lt;&gt;",$G$5:G1284,"&lt;&gt;Отменён"),"")</f>
        <v/>
      </c>
    </row>
    <row r="1285" spans="1:11">
      <c r="A1285" t="str">
        <f>IF(B1285="","","VIS_"&amp;(YEAR(B1285)*10000+MONTH(B1285)*100+DAY(B1285))&amp;"_"&amp;IF(COUNTIF($B$5:B1285,B1285)&lt;10,"00"&amp;COUNTIF($B$5:B1285,B1285),IF(COUNTIF($B$5:B1285,B1285)&lt;100,"0"&amp;COUNTIF($B$5:B1285,B1285),COUNTIF($B$5:B1285,B1285))))</f>
        <v>VIS_20290512_001</v>
      </c>
      <c r="B1285" s="42">
        <v>47250</v>
      </c>
      <c r="C1285" s="49" t="str">
        <f t="shared" ref="C1285:C1348" si="40">IF(B1285="","",CHOOSE(WEEKDAY(B1285,2),"Пн","Вт","Ср","Чт","Пт","Сб","Вс"))</f>
        <v>Сб</v>
      </c>
      <c r="I1285" s="46"/>
      <c r="J1285" s="39">
        <f t="shared" ref="J1285:J1348" si="41">IF(B1285="","",B1285-MOD(WEEKDAY(B1285,2)-3,7))</f>
        <v>47247</v>
      </c>
      <c r="K1285" t="str">
        <f ca="1">IF(AND(B1285&gt;='План недели'!$B$4,B1285&lt;'План недели'!$D$4,D1285&lt;&gt;"",G1285&lt;&gt;"Отменён"),COUNTIFS($B$5:B1285,"&gt;="&amp;'План недели'!$B$4,$B$5:B1285,"&lt;"&amp;'План недели'!$D$4,$D$5:D1285,"&lt;&gt;",$G$5:G1285,"&lt;&gt;Отменён"),"")</f>
        <v/>
      </c>
    </row>
    <row r="1286" spans="1:11">
      <c r="A1286" t="str">
        <f>IF(B1286="","","VIS_"&amp;(YEAR(B1286)*10000+MONTH(B1286)*100+DAY(B1286))&amp;"_"&amp;IF(COUNTIF($B$5:B1286,B1286)&lt;10,"00"&amp;COUNTIF($B$5:B1286,B1286),IF(COUNTIF($B$5:B1286,B1286)&lt;100,"0"&amp;COUNTIF($B$5:B1286,B1286),COUNTIF($B$5:B1286,B1286))))</f>
        <v>VIS_20290513_001</v>
      </c>
      <c r="B1286" s="42">
        <v>47251</v>
      </c>
      <c r="C1286" s="49" t="str">
        <f t="shared" si="40"/>
        <v>Вс</v>
      </c>
      <c r="I1286" s="46"/>
      <c r="J1286" s="39">
        <f t="shared" si="41"/>
        <v>47247</v>
      </c>
      <c r="K1286" t="str">
        <f ca="1">IF(AND(B1286&gt;='План недели'!$B$4,B1286&lt;'План недели'!$D$4,D1286&lt;&gt;"",G1286&lt;&gt;"Отменён"),COUNTIFS($B$5:B1286,"&gt;="&amp;'План недели'!$B$4,$B$5:B1286,"&lt;"&amp;'План недели'!$D$4,$D$5:D1286,"&lt;&gt;",$G$5:G1286,"&lt;&gt;Отменён"),"")</f>
        <v/>
      </c>
    </row>
    <row r="1287" spans="1:11">
      <c r="A1287" t="str">
        <f>IF(B1287="","","VIS_"&amp;(YEAR(B1287)*10000+MONTH(B1287)*100+DAY(B1287))&amp;"_"&amp;IF(COUNTIF($B$5:B1287,B1287)&lt;10,"00"&amp;COUNTIF($B$5:B1287,B1287),IF(COUNTIF($B$5:B1287,B1287)&lt;100,"0"&amp;COUNTIF($B$5:B1287,B1287),COUNTIF($B$5:B1287,B1287))))</f>
        <v>VIS_20290514_001</v>
      </c>
      <c r="B1287" s="40">
        <v>47252</v>
      </c>
      <c r="C1287" s="47" t="str">
        <f t="shared" si="40"/>
        <v>Пн</v>
      </c>
      <c r="I1287" s="46"/>
      <c r="J1287" s="39">
        <f t="shared" si="41"/>
        <v>47247</v>
      </c>
      <c r="K1287" t="str">
        <f ca="1">IF(AND(B1287&gt;='План недели'!$B$4,B1287&lt;'План недели'!$D$4,D1287&lt;&gt;"",G1287&lt;&gt;"Отменён"),COUNTIFS($B$5:B1287,"&gt;="&amp;'План недели'!$B$4,$B$5:B1287,"&lt;"&amp;'План недели'!$D$4,$D$5:D1287,"&lt;&gt;",$G$5:G1287,"&lt;&gt;Отменён"),"")</f>
        <v/>
      </c>
    </row>
    <row r="1288" spans="1:11">
      <c r="A1288" t="str">
        <f>IF(B1288="","","VIS_"&amp;(YEAR(B1288)*10000+MONTH(B1288)*100+DAY(B1288))&amp;"_"&amp;IF(COUNTIF($B$5:B1288,B1288)&lt;10,"00"&amp;COUNTIF($B$5:B1288,B1288),IF(COUNTIF($B$5:B1288,B1288)&lt;100,"0"&amp;COUNTIF($B$5:B1288,B1288),COUNTIF($B$5:B1288,B1288))))</f>
        <v>VIS_20290515_001</v>
      </c>
      <c r="B1288" s="40">
        <v>47253</v>
      </c>
      <c r="C1288" s="47" t="str">
        <f t="shared" si="40"/>
        <v>Вт</v>
      </c>
      <c r="I1288" s="46"/>
      <c r="J1288" s="39">
        <f t="shared" si="41"/>
        <v>47247</v>
      </c>
      <c r="K1288" t="str">
        <f ca="1">IF(AND(B1288&gt;='План недели'!$B$4,B1288&lt;'План недели'!$D$4,D1288&lt;&gt;"",G1288&lt;&gt;"Отменён"),COUNTIFS($B$5:B1288,"&gt;="&amp;'План недели'!$B$4,$B$5:B1288,"&lt;"&amp;'План недели'!$D$4,$D$5:D1288,"&lt;&gt;",$G$5:G1288,"&lt;&gt;Отменён"),"")</f>
        <v/>
      </c>
    </row>
    <row r="1289" spans="1:11">
      <c r="A1289" t="str">
        <f>IF(B1289="","","VIS_"&amp;(YEAR(B1289)*10000+MONTH(B1289)*100+DAY(B1289))&amp;"_"&amp;IF(COUNTIF($B$5:B1289,B1289)&lt;10,"00"&amp;COUNTIF($B$5:B1289,B1289),IF(COUNTIF($B$5:B1289,B1289)&lt;100,"0"&amp;COUNTIF($B$5:B1289,B1289),COUNTIF($B$5:B1289,B1289))))</f>
        <v>VIS_20290516_001</v>
      </c>
      <c r="B1289" s="40">
        <v>47254</v>
      </c>
      <c r="C1289" s="47" t="str">
        <f t="shared" si="40"/>
        <v>Ср</v>
      </c>
      <c r="I1289" s="46"/>
      <c r="J1289" s="39">
        <f t="shared" si="41"/>
        <v>47254</v>
      </c>
      <c r="K1289" t="str">
        <f ca="1">IF(AND(B1289&gt;='План недели'!$B$4,B1289&lt;'План недели'!$D$4,D1289&lt;&gt;"",G1289&lt;&gt;"Отменён"),COUNTIFS($B$5:B1289,"&gt;="&amp;'План недели'!$B$4,$B$5:B1289,"&lt;"&amp;'План недели'!$D$4,$D$5:D1289,"&lt;&gt;",$G$5:G1289,"&lt;&gt;Отменён"),"")</f>
        <v/>
      </c>
    </row>
    <row r="1290" spans="1:11">
      <c r="A1290" t="str">
        <f>IF(B1290="","","VIS_"&amp;(YEAR(B1290)*10000+MONTH(B1290)*100+DAY(B1290))&amp;"_"&amp;IF(COUNTIF($B$5:B1290,B1290)&lt;10,"00"&amp;COUNTIF($B$5:B1290,B1290),IF(COUNTIF($B$5:B1290,B1290)&lt;100,"0"&amp;COUNTIF($B$5:B1290,B1290),COUNTIF($B$5:B1290,B1290))))</f>
        <v>VIS_20290517_001</v>
      </c>
      <c r="B1290" s="40">
        <v>47255</v>
      </c>
      <c r="C1290" s="47" t="str">
        <f t="shared" si="40"/>
        <v>Чт</v>
      </c>
      <c r="I1290" s="46"/>
      <c r="J1290" s="39">
        <f t="shared" si="41"/>
        <v>47254</v>
      </c>
      <c r="K1290" t="str">
        <f ca="1">IF(AND(B1290&gt;='План недели'!$B$4,B1290&lt;'План недели'!$D$4,D1290&lt;&gt;"",G1290&lt;&gt;"Отменён"),COUNTIFS($B$5:B1290,"&gt;="&amp;'План недели'!$B$4,$B$5:B1290,"&lt;"&amp;'План недели'!$D$4,$D$5:D1290,"&lt;&gt;",$G$5:G1290,"&lt;&gt;Отменён"),"")</f>
        <v/>
      </c>
    </row>
    <row r="1291" spans="1:11">
      <c r="A1291" t="str">
        <f>IF(B1291="","","VIS_"&amp;(YEAR(B1291)*10000+MONTH(B1291)*100+DAY(B1291))&amp;"_"&amp;IF(COUNTIF($B$5:B1291,B1291)&lt;10,"00"&amp;COUNTIF($B$5:B1291,B1291),IF(COUNTIF($B$5:B1291,B1291)&lt;100,"0"&amp;COUNTIF($B$5:B1291,B1291),COUNTIF($B$5:B1291,B1291))))</f>
        <v>VIS_20290518_001</v>
      </c>
      <c r="B1291" s="40">
        <v>47256</v>
      </c>
      <c r="C1291" s="47" t="str">
        <f t="shared" si="40"/>
        <v>Пт</v>
      </c>
      <c r="I1291" s="46"/>
      <c r="J1291" s="39">
        <f t="shared" si="41"/>
        <v>47254</v>
      </c>
      <c r="K1291" t="str">
        <f ca="1">IF(AND(B1291&gt;='План недели'!$B$4,B1291&lt;'План недели'!$D$4,D1291&lt;&gt;"",G1291&lt;&gt;"Отменён"),COUNTIFS($B$5:B1291,"&gt;="&amp;'План недели'!$B$4,$B$5:B1291,"&lt;"&amp;'План недели'!$D$4,$D$5:D1291,"&lt;&gt;",$G$5:G1291,"&lt;&gt;Отменён"),"")</f>
        <v/>
      </c>
    </row>
    <row r="1292" spans="1:11">
      <c r="A1292" t="str">
        <f>IF(B1292="","","VIS_"&amp;(YEAR(B1292)*10000+MONTH(B1292)*100+DAY(B1292))&amp;"_"&amp;IF(COUNTIF($B$5:B1292,B1292)&lt;10,"00"&amp;COUNTIF($B$5:B1292,B1292),IF(COUNTIF($B$5:B1292,B1292)&lt;100,"0"&amp;COUNTIF($B$5:B1292,B1292),COUNTIF($B$5:B1292,B1292))))</f>
        <v>VIS_20290519_001</v>
      </c>
      <c r="B1292" s="42">
        <v>47257</v>
      </c>
      <c r="C1292" s="49" t="str">
        <f t="shared" si="40"/>
        <v>Сб</v>
      </c>
      <c r="I1292" s="46"/>
      <c r="J1292" s="39">
        <f t="shared" si="41"/>
        <v>47254</v>
      </c>
      <c r="K1292" t="str">
        <f ca="1">IF(AND(B1292&gt;='План недели'!$B$4,B1292&lt;'План недели'!$D$4,D1292&lt;&gt;"",G1292&lt;&gt;"Отменён"),COUNTIFS($B$5:B1292,"&gt;="&amp;'План недели'!$B$4,$B$5:B1292,"&lt;"&amp;'План недели'!$D$4,$D$5:D1292,"&lt;&gt;",$G$5:G1292,"&lt;&gt;Отменён"),"")</f>
        <v/>
      </c>
    </row>
    <row r="1293" spans="1:11">
      <c r="A1293" t="str">
        <f>IF(B1293="","","VIS_"&amp;(YEAR(B1293)*10000+MONTH(B1293)*100+DAY(B1293))&amp;"_"&amp;IF(COUNTIF($B$5:B1293,B1293)&lt;10,"00"&amp;COUNTIF($B$5:B1293,B1293),IF(COUNTIF($B$5:B1293,B1293)&lt;100,"0"&amp;COUNTIF($B$5:B1293,B1293),COUNTIF($B$5:B1293,B1293))))</f>
        <v>VIS_20290520_001</v>
      </c>
      <c r="B1293" s="42">
        <v>47258</v>
      </c>
      <c r="C1293" s="49" t="str">
        <f t="shared" si="40"/>
        <v>Вс</v>
      </c>
      <c r="I1293" s="46"/>
      <c r="J1293" s="39">
        <f t="shared" si="41"/>
        <v>47254</v>
      </c>
      <c r="K1293" t="str">
        <f ca="1">IF(AND(B1293&gt;='План недели'!$B$4,B1293&lt;'План недели'!$D$4,D1293&lt;&gt;"",G1293&lt;&gt;"Отменён"),COUNTIFS($B$5:B1293,"&gt;="&amp;'План недели'!$B$4,$B$5:B1293,"&lt;"&amp;'План недели'!$D$4,$D$5:D1293,"&lt;&gt;",$G$5:G1293,"&lt;&gt;Отменён"),"")</f>
        <v/>
      </c>
    </row>
    <row r="1294" spans="1:11">
      <c r="A1294" t="str">
        <f>IF(B1294="","","VIS_"&amp;(YEAR(B1294)*10000+MONTH(B1294)*100+DAY(B1294))&amp;"_"&amp;IF(COUNTIF($B$5:B1294,B1294)&lt;10,"00"&amp;COUNTIF($B$5:B1294,B1294),IF(COUNTIF($B$5:B1294,B1294)&lt;100,"0"&amp;COUNTIF($B$5:B1294,B1294),COUNTIF($B$5:B1294,B1294))))</f>
        <v>VIS_20290521_001</v>
      </c>
      <c r="B1294" s="40">
        <v>47259</v>
      </c>
      <c r="C1294" s="47" t="str">
        <f t="shared" si="40"/>
        <v>Пн</v>
      </c>
      <c r="I1294" s="46"/>
      <c r="J1294" s="39">
        <f t="shared" si="41"/>
        <v>47254</v>
      </c>
      <c r="K1294" t="str">
        <f ca="1">IF(AND(B1294&gt;='План недели'!$B$4,B1294&lt;'План недели'!$D$4,D1294&lt;&gt;"",G1294&lt;&gt;"Отменён"),COUNTIFS($B$5:B1294,"&gt;="&amp;'План недели'!$B$4,$B$5:B1294,"&lt;"&amp;'План недели'!$D$4,$D$5:D1294,"&lt;&gt;",$G$5:G1294,"&lt;&gt;Отменён"),"")</f>
        <v/>
      </c>
    </row>
    <row r="1295" spans="1:11">
      <c r="A1295" t="str">
        <f>IF(B1295="","","VIS_"&amp;(YEAR(B1295)*10000+MONTH(B1295)*100+DAY(B1295))&amp;"_"&amp;IF(COUNTIF($B$5:B1295,B1295)&lt;10,"00"&amp;COUNTIF($B$5:B1295,B1295),IF(COUNTIF($B$5:B1295,B1295)&lt;100,"0"&amp;COUNTIF($B$5:B1295,B1295),COUNTIF($B$5:B1295,B1295))))</f>
        <v>VIS_20290522_001</v>
      </c>
      <c r="B1295" s="40">
        <v>47260</v>
      </c>
      <c r="C1295" s="47" t="str">
        <f t="shared" si="40"/>
        <v>Вт</v>
      </c>
      <c r="I1295" s="46"/>
      <c r="J1295" s="39">
        <f t="shared" si="41"/>
        <v>47254</v>
      </c>
      <c r="K1295" t="str">
        <f ca="1">IF(AND(B1295&gt;='План недели'!$B$4,B1295&lt;'План недели'!$D$4,D1295&lt;&gt;"",G1295&lt;&gt;"Отменён"),COUNTIFS($B$5:B1295,"&gt;="&amp;'План недели'!$B$4,$B$5:B1295,"&lt;"&amp;'План недели'!$D$4,$D$5:D1295,"&lt;&gt;",$G$5:G1295,"&lt;&gt;Отменён"),"")</f>
        <v/>
      </c>
    </row>
    <row r="1296" spans="1:11">
      <c r="A1296" t="str">
        <f>IF(B1296="","","VIS_"&amp;(YEAR(B1296)*10000+MONTH(B1296)*100+DAY(B1296))&amp;"_"&amp;IF(COUNTIF($B$5:B1296,B1296)&lt;10,"00"&amp;COUNTIF($B$5:B1296,B1296),IF(COUNTIF($B$5:B1296,B1296)&lt;100,"0"&amp;COUNTIF($B$5:B1296,B1296),COUNTIF($B$5:B1296,B1296))))</f>
        <v>VIS_20290523_001</v>
      </c>
      <c r="B1296" s="40">
        <v>47261</v>
      </c>
      <c r="C1296" s="47" t="str">
        <f t="shared" si="40"/>
        <v>Ср</v>
      </c>
      <c r="I1296" s="46"/>
      <c r="J1296" s="39">
        <f t="shared" si="41"/>
        <v>47261</v>
      </c>
      <c r="K1296" t="str">
        <f ca="1">IF(AND(B1296&gt;='План недели'!$B$4,B1296&lt;'План недели'!$D$4,D1296&lt;&gt;"",G1296&lt;&gt;"Отменён"),COUNTIFS($B$5:B1296,"&gt;="&amp;'План недели'!$B$4,$B$5:B1296,"&lt;"&amp;'План недели'!$D$4,$D$5:D1296,"&lt;&gt;",$G$5:G1296,"&lt;&gt;Отменён"),"")</f>
        <v/>
      </c>
    </row>
    <row r="1297" spans="1:11">
      <c r="A1297" t="str">
        <f>IF(B1297="","","VIS_"&amp;(YEAR(B1297)*10000+MONTH(B1297)*100+DAY(B1297))&amp;"_"&amp;IF(COUNTIF($B$5:B1297,B1297)&lt;10,"00"&amp;COUNTIF($B$5:B1297,B1297),IF(COUNTIF($B$5:B1297,B1297)&lt;100,"0"&amp;COUNTIF($B$5:B1297,B1297),COUNTIF($B$5:B1297,B1297))))</f>
        <v>VIS_20290524_001</v>
      </c>
      <c r="B1297" s="40">
        <v>47262</v>
      </c>
      <c r="C1297" s="47" t="str">
        <f t="shared" si="40"/>
        <v>Чт</v>
      </c>
      <c r="I1297" s="46"/>
      <c r="J1297" s="39">
        <f t="shared" si="41"/>
        <v>47261</v>
      </c>
      <c r="K1297" t="str">
        <f ca="1">IF(AND(B1297&gt;='План недели'!$B$4,B1297&lt;'План недели'!$D$4,D1297&lt;&gt;"",G1297&lt;&gt;"Отменён"),COUNTIFS($B$5:B1297,"&gt;="&amp;'План недели'!$B$4,$B$5:B1297,"&lt;"&amp;'План недели'!$D$4,$D$5:D1297,"&lt;&gt;",$G$5:G1297,"&lt;&gt;Отменён"),"")</f>
        <v/>
      </c>
    </row>
    <row r="1298" spans="1:11">
      <c r="A1298" t="str">
        <f>IF(B1298="","","VIS_"&amp;(YEAR(B1298)*10000+MONTH(B1298)*100+DAY(B1298))&amp;"_"&amp;IF(COUNTIF($B$5:B1298,B1298)&lt;10,"00"&amp;COUNTIF($B$5:B1298,B1298),IF(COUNTIF($B$5:B1298,B1298)&lt;100,"0"&amp;COUNTIF($B$5:B1298,B1298),COUNTIF($B$5:B1298,B1298))))</f>
        <v>VIS_20290525_001</v>
      </c>
      <c r="B1298" s="40">
        <v>47263</v>
      </c>
      <c r="C1298" s="47" t="str">
        <f t="shared" si="40"/>
        <v>Пт</v>
      </c>
      <c r="I1298" s="46"/>
      <c r="J1298" s="39">
        <f t="shared" si="41"/>
        <v>47261</v>
      </c>
      <c r="K1298" t="str">
        <f ca="1">IF(AND(B1298&gt;='План недели'!$B$4,B1298&lt;'План недели'!$D$4,D1298&lt;&gt;"",G1298&lt;&gt;"Отменён"),COUNTIFS($B$5:B1298,"&gt;="&amp;'План недели'!$B$4,$B$5:B1298,"&lt;"&amp;'План недели'!$D$4,$D$5:D1298,"&lt;&gt;",$G$5:G1298,"&lt;&gt;Отменён"),"")</f>
        <v/>
      </c>
    </row>
    <row r="1299" spans="1:11">
      <c r="A1299" t="str">
        <f>IF(B1299="","","VIS_"&amp;(YEAR(B1299)*10000+MONTH(B1299)*100+DAY(B1299))&amp;"_"&amp;IF(COUNTIF($B$5:B1299,B1299)&lt;10,"00"&amp;COUNTIF($B$5:B1299,B1299),IF(COUNTIF($B$5:B1299,B1299)&lt;100,"0"&amp;COUNTIF($B$5:B1299,B1299),COUNTIF($B$5:B1299,B1299))))</f>
        <v>VIS_20290526_001</v>
      </c>
      <c r="B1299" s="42">
        <v>47264</v>
      </c>
      <c r="C1299" s="49" t="str">
        <f t="shared" si="40"/>
        <v>Сб</v>
      </c>
      <c r="I1299" s="46"/>
      <c r="J1299" s="39">
        <f t="shared" si="41"/>
        <v>47261</v>
      </c>
      <c r="K1299" t="str">
        <f ca="1">IF(AND(B1299&gt;='План недели'!$B$4,B1299&lt;'План недели'!$D$4,D1299&lt;&gt;"",G1299&lt;&gt;"Отменён"),COUNTIFS($B$5:B1299,"&gt;="&amp;'План недели'!$B$4,$B$5:B1299,"&lt;"&amp;'План недели'!$D$4,$D$5:D1299,"&lt;&gt;",$G$5:G1299,"&lt;&gt;Отменён"),"")</f>
        <v/>
      </c>
    </row>
    <row r="1300" spans="1:11">
      <c r="A1300" t="str">
        <f>IF(B1300="","","VIS_"&amp;(YEAR(B1300)*10000+MONTH(B1300)*100+DAY(B1300))&amp;"_"&amp;IF(COUNTIF($B$5:B1300,B1300)&lt;10,"00"&amp;COUNTIF($B$5:B1300,B1300),IF(COUNTIF($B$5:B1300,B1300)&lt;100,"0"&amp;COUNTIF($B$5:B1300,B1300),COUNTIF($B$5:B1300,B1300))))</f>
        <v>VIS_20290527_001</v>
      </c>
      <c r="B1300" s="42">
        <v>47265</v>
      </c>
      <c r="C1300" s="49" t="str">
        <f t="shared" si="40"/>
        <v>Вс</v>
      </c>
      <c r="I1300" s="46"/>
      <c r="J1300" s="39">
        <f t="shared" si="41"/>
        <v>47261</v>
      </c>
      <c r="K1300" t="str">
        <f ca="1">IF(AND(B1300&gt;='План недели'!$B$4,B1300&lt;'План недели'!$D$4,D1300&lt;&gt;"",G1300&lt;&gt;"Отменён"),COUNTIFS($B$5:B1300,"&gt;="&amp;'План недели'!$B$4,$B$5:B1300,"&lt;"&amp;'План недели'!$D$4,$D$5:D1300,"&lt;&gt;",$G$5:G1300,"&lt;&gt;Отменён"),"")</f>
        <v/>
      </c>
    </row>
    <row r="1301" spans="1:11">
      <c r="A1301" t="str">
        <f>IF(B1301="","","VIS_"&amp;(YEAR(B1301)*10000+MONTH(B1301)*100+DAY(B1301))&amp;"_"&amp;IF(COUNTIF($B$5:B1301,B1301)&lt;10,"00"&amp;COUNTIF($B$5:B1301,B1301),IF(COUNTIF($B$5:B1301,B1301)&lt;100,"0"&amp;COUNTIF($B$5:B1301,B1301),COUNTIF($B$5:B1301,B1301))))</f>
        <v>VIS_20290528_001</v>
      </c>
      <c r="B1301" s="40">
        <v>47266</v>
      </c>
      <c r="C1301" s="47" t="str">
        <f t="shared" si="40"/>
        <v>Пн</v>
      </c>
      <c r="I1301" s="46"/>
      <c r="J1301" s="39">
        <f t="shared" si="41"/>
        <v>47261</v>
      </c>
      <c r="K1301" t="str">
        <f ca="1">IF(AND(B1301&gt;='План недели'!$B$4,B1301&lt;'План недели'!$D$4,D1301&lt;&gt;"",G1301&lt;&gt;"Отменён"),COUNTIFS($B$5:B1301,"&gt;="&amp;'План недели'!$B$4,$B$5:B1301,"&lt;"&amp;'План недели'!$D$4,$D$5:D1301,"&lt;&gt;",$G$5:G1301,"&lt;&gt;Отменён"),"")</f>
        <v/>
      </c>
    </row>
    <row r="1302" spans="1:11">
      <c r="A1302" t="str">
        <f>IF(B1302="","","VIS_"&amp;(YEAR(B1302)*10000+MONTH(B1302)*100+DAY(B1302))&amp;"_"&amp;IF(COUNTIF($B$5:B1302,B1302)&lt;10,"00"&amp;COUNTIF($B$5:B1302,B1302),IF(COUNTIF($B$5:B1302,B1302)&lt;100,"0"&amp;COUNTIF($B$5:B1302,B1302),COUNTIF($B$5:B1302,B1302))))</f>
        <v>VIS_20290529_001</v>
      </c>
      <c r="B1302" s="40">
        <v>47267</v>
      </c>
      <c r="C1302" s="47" t="str">
        <f t="shared" si="40"/>
        <v>Вт</v>
      </c>
      <c r="I1302" s="46"/>
      <c r="J1302" s="39">
        <f t="shared" si="41"/>
        <v>47261</v>
      </c>
      <c r="K1302" t="str">
        <f ca="1">IF(AND(B1302&gt;='План недели'!$B$4,B1302&lt;'План недели'!$D$4,D1302&lt;&gt;"",G1302&lt;&gt;"Отменён"),COUNTIFS($B$5:B1302,"&gt;="&amp;'План недели'!$B$4,$B$5:B1302,"&lt;"&amp;'План недели'!$D$4,$D$5:D1302,"&lt;&gt;",$G$5:G1302,"&lt;&gt;Отменён"),"")</f>
        <v/>
      </c>
    </row>
    <row r="1303" spans="1:11">
      <c r="A1303" t="str">
        <f>IF(B1303="","","VIS_"&amp;(YEAR(B1303)*10000+MONTH(B1303)*100+DAY(B1303))&amp;"_"&amp;IF(COUNTIF($B$5:B1303,B1303)&lt;10,"00"&amp;COUNTIF($B$5:B1303,B1303),IF(COUNTIF($B$5:B1303,B1303)&lt;100,"0"&amp;COUNTIF($B$5:B1303,B1303),COUNTIF($B$5:B1303,B1303))))</f>
        <v>VIS_20290530_001</v>
      </c>
      <c r="B1303" s="40">
        <v>47268</v>
      </c>
      <c r="C1303" s="47" t="str">
        <f t="shared" si="40"/>
        <v>Ср</v>
      </c>
      <c r="I1303" s="46"/>
      <c r="J1303" s="39">
        <f t="shared" si="41"/>
        <v>47268</v>
      </c>
      <c r="K1303" t="str">
        <f ca="1">IF(AND(B1303&gt;='План недели'!$B$4,B1303&lt;'План недели'!$D$4,D1303&lt;&gt;"",G1303&lt;&gt;"Отменён"),COUNTIFS($B$5:B1303,"&gt;="&amp;'План недели'!$B$4,$B$5:B1303,"&lt;"&amp;'План недели'!$D$4,$D$5:D1303,"&lt;&gt;",$G$5:G1303,"&lt;&gt;Отменён"),"")</f>
        <v/>
      </c>
    </row>
    <row r="1304" spans="1:11">
      <c r="A1304" t="str">
        <f>IF(B1304="","","VIS_"&amp;(YEAR(B1304)*10000+MONTH(B1304)*100+DAY(B1304))&amp;"_"&amp;IF(COUNTIF($B$5:B1304,B1304)&lt;10,"00"&amp;COUNTIF($B$5:B1304,B1304),IF(COUNTIF($B$5:B1304,B1304)&lt;100,"0"&amp;COUNTIF($B$5:B1304,B1304),COUNTIF($B$5:B1304,B1304))))</f>
        <v>VIS_20290531_001</v>
      </c>
      <c r="B1304" s="40">
        <v>47269</v>
      </c>
      <c r="C1304" s="47" t="str">
        <f t="shared" si="40"/>
        <v>Чт</v>
      </c>
      <c r="I1304" s="46"/>
      <c r="J1304" s="39">
        <f t="shared" si="41"/>
        <v>47268</v>
      </c>
      <c r="K1304" t="str">
        <f ca="1">IF(AND(B1304&gt;='План недели'!$B$4,B1304&lt;'План недели'!$D$4,D1304&lt;&gt;"",G1304&lt;&gt;"Отменён"),COUNTIFS($B$5:B1304,"&gt;="&amp;'План недели'!$B$4,$B$5:B1304,"&lt;"&amp;'План недели'!$D$4,$D$5:D1304,"&lt;&gt;",$G$5:G1304,"&lt;&gt;Отменён"),"")</f>
        <v/>
      </c>
    </row>
    <row r="1305" spans="1:11">
      <c r="A1305" t="str">
        <f>IF(B1305="","","VIS_"&amp;(YEAR(B1305)*10000+MONTH(B1305)*100+DAY(B1305))&amp;"_"&amp;IF(COUNTIF($B$5:B1305,B1305)&lt;10,"00"&amp;COUNTIF($B$5:B1305,B1305),IF(COUNTIF($B$5:B1305,B1305)&lt;100,"0"&amp;COUNTIF($B$5:B1305,B1305),COUNTIF($B$5:B1305,B1305))))</f>
        <v>VIS_20290601_001</v>
      </c>
      <c r="B1305" s="40">
        <v>47270</v>
      </c>
      <c r="C1305" s="47" t="str">
        <f t="shared" si="40"/>
        <v>Пт</v>
      </c>
      <c r="I1305" s="46"/>
      <c r="J1305" s="39">
        <f t="shared" si="41"/>
        <v>47268</v>
      </c>
      <c r="K1305" t="str">
        <f ca="1">IF(AND(B1305&gt;='План недели'!$B$4,B1305&lt;'План недели'!$D$4,D1305&lt;&gt;"",G1305&lt;&gt;"Отменён"),COUNTIFS($B$5:B1305,"&gt;="&amp;'План недели'!$B$4,$B$5:B1305,"&lt;"&amp;'План недели'!$D$4,$D$5:D1305,"&lt;&gt;",$G$5:G1305,"&lt;&gt;Отменён"),"")</f>
        <v/>
      </c>
    </row>
    <row r="1306" spans="1:11">
      <c r="A1306" t="str">
        <f>IF(B1306="","","VIS_"&amp;(YEAR(B1306)*10000+MONTH(B1306)*100+DAY(B1306))&amp;"_"&amp;IF(COUNTIF($B$5:B1306,B1306)&lt;10,"00"&amp;COUNTIF($B$5:B1306,B1306),IF(COUNTIF($B$5:B1306,B1306)&lt;100,"0"&amp;COUNTIF($B$5:B1306,B1306),COUNTIF($B$5:B1306,B1306))))</f>
        <v>VIS_20290602_001</v>
      </c>
      <c r="B1306" s="42">
        <v>47271</v>
      </c>
      <c r="C1306" s="49" t="str">
        <f t="shared" si="40"/>
        <v>Сб</v>
      </c>
      <c r="I1306" s="46"/>
      <c r="J1306" s="39">
        <f t="shared" si="41"/>
        <v>47268</v>
      </c>
      <c r="K1306" t="str">
        <f ca="1">IF(AND(B1306&gt;='План недели'!$B$4,B1306&lt;'План недели'!$D$4,D1306&lt;&gt;"",G1306&lt;&gt;"Отменён"),COUNTIFS($B$5:B1306,"&gt;="&amp;'План недели'!$B$4,$B$5:B1306,"&lt;"&amp;'План недели'!$D$4,$D$5:D1306,"&lt;&gt;",$G$5:G1306,"&lt;&gt;Отменён"),"")</f>
        <v/>
      </c>
    </row>
    <row r="1307" spans="1:11">
      <c r="A1307" t="str">
        <f>IF(B1307="","","VIS_"&amp;(YEAR(B1307)*10000+MONTH(B1307)*100+DAY(B1307))&amp;"_"&amp;IF(COUNTIF($B$5:B1307,B1307)&lt;10,"00"&amp;COUNTIF($B$5:B1307,B1307),IF(COUNTIF($B$5:B1307,B1307)&lt;100,"0"&amp;COUNTIF($B$5:B1307,B1307),COUNTIF($B$5:B1307,B1307))))</f>
        <v>VIS_20290603_001</v>
      </c>
      <c r="B1307" s="42">
        <v>47272</v>
      </c>
      <c r="C1307" s="49" t="str">
        <f t="shared" si="40"/>
        <v>Вс</v>
      </c>
      <c r="I1307" s="46"/>
      <c r="J1307" s="39">
        <f t="shared" si="41"/>
        <v>47268</v>
      </c>
      <c r="K1307" t="str">
        <f ca="1">IF(AND(B1307&gt;='План недели'!$B$4,B1307&lt;'План недели'!$D$4,D1307&lt;&gt;"",G1307&lt;&gt;"Отменён"),COUNTIFS($B$5:B1307,"&gt;="&amp;'План недели'!$B$4,$B$5:B1307,"&lt;"&amp;'План недели'!$D$4,$D$5:D1307,"&lt;&gt;",$G$5:G1307,"&lt;&gt;Отменён"),"")</f>
        <v/>
      </c>
    </row>
    <row r="1308" spans="1:11">
      <c r="A1308" t="str">
        <f>IF(B1308="","","VIS_"&amp;(YEAR(B1308)*10000+MONTH(B1308)*100+DAY(B1308))&amp;"_"&amp;IF(COUNTIF($B$5:B1308,B1308)&lt;10,"00"&amp;COUNTIF($B$5:B1308,B1308),IF(COUNTIF($B$5:B1308,B1308)&lt;100,"0"&amp;COUNTIF($B$5:B1308,B1308),COUNTIF($B$5:B1308,B1308))))</f>
        <v>VIS_20290604_001</v>
      </c>
      <c r="B1308" s="40">
        <v>47273</v>
      </c>
      <c r="C1308" s="47" t="str">
        <f t="shared" si="40"/>
        <v>Пн</v>
      </c>
      <c r="I1308" s="46"/>
      <c r="J1308" s="39">
        <f t="shared" si="41"/>
        <v>47268</v>
      </c>
      <c r="K1308" t="str">
        <f ca="1">IF(AND(B1308&gt;='План недели'!$B$4,B1308&lt;'План недели'!$D$4,D1308&lt;&gt;"",G1308&lt;&gt;"Отменён"),COUNTIFS($B$5:B1308,"&gt;="&amp;'План недели'!$B$4,$B$5:B1308,"&lt;"&amp;'План недели'!$D$4,$D$5:D1308,"&lt;&gt;",$G$5:G1308,"&lt;&gt;Отменён"),"")</f>
        <v/>
      </c>
    </row>
    <row r="1309" spans="1:11">
      <c r="A1309" t="str">
        <f>IF(B1309="","","VIS_"&amp;(YEAR(B1309)*10000+MONTH(B1309)*100+DAY(B1309))&amp;"_"&amp;IF(COUNTIF($B$5:B1309,B1309)&lt;10,"00"&amp;COUNTIF($B$5:B1309,B1309),IF(COUNTIF($B$5:B1309,B1309)&lt;100,"0"&amp;COUNTIF($B$5:B1309,B1309),COUNTIF($B$5:B1309,B1309))))</f>
        <v>VIS_20290605_001</v>
      </c>
      <c r="B1309" s="40">
        <v>47274</v>
      </c>
      <c r="C1309" s="47" t="str">
        <f t="shared" si="40"/>
        <v>Вт</v>
      </c>
      <c r="I1309" s="46"/>
      <c r="J1309" s="39">
        <f t="shared" si="41"/>
        <v>47268</v>
      </c>
      <c r="K1309" t="str">
        <f ca="1">IF(AND(B1309&gt;='План недели'!$B$4,B1309&lt;'План недели'!$D$4,D1309&lt;&gt;"",G1309&lt;&gt;"Отменён"),COUNTIFS($B$5:B1309,"&gt;="&amp;'План недели'!$B$4,$B$5:B1309,"&lt;"&amp;'План недели'!$D$4,$D$5:D1309,"&lt;&gt;",$G$5:G1309,"&lt;&gt;Отменён"),"")</f>
        <v/>
      </c>
    </row>
    <row r="1310" spans="1:11">
      <c r="A1310" t="str">
        <f>IF(B1310="","","VIS_"&amp;(YEAR(B1310)*10000+MONTH(B1310)*100+DAY(B1310))&amp;"_"&amp;IF(COUNTIF($B$5:B1310,B1310)&lt;10,"00"&amp;COUNTIF($B$5:B1310,B1310),IF(COUNTIF($B$5:B1310,B1310)&lt;100,"0"&amp;COUNTIF($B$5:B1310,B1310),COUNTIF($B$5:B1310,B1310))))</f>
        <v>VIS_20290606_001</v>
      </c>
      <c r="B1310" s="40">
        <v>47275</v>
      </c>
      <c r="C1310" s="47" t="str">
        <f t="shared" si="40"/>
        <v>Ср</v>
      </c>
      <c r="I1310" s="46"/>
      <c r="J1310" s="39">
        <f t="shared" si="41"/>
        <v>47275</v>
      </c>
      <c r="K1310" t="str">
        <f ca="1">IF(AND(B1310&gt;='План недели'!$B$4,B1310&lt;'План недели'!$D$4,D1310&lt;&gt;"",G1310&lt;&gt;"Отменён"),COUNTIFS($B$5:B1310,"&gt;="&amp;'План недели'!$B$4,$B$5:B1310,"&lt;"&amp;'План недели'!$D$4,$D$5:D1310,"&lt;&gt;",$G$5:G1310,"&lt;&gt;Отменён"),"")</f>
        <v/>
      </c>
    </row>
    <row r="1311" spans="1:11">
      <c r="A1311" t="str">
        <f>IF(B1311="","","VIS_"&amp;(YEAR(B1311)*10000+MONTH(B1311)*100+DAY(B1311))&amp;"_"&amp;IF(COUNTIF($B$5:B1311,B1311)&lt;10,"00"&amp;COUNTIF($B$5:B1311,B1311),IF(COUNTIF($B$5:B1311,B1311)&lt;100,"0"&amp;COUNTIF($B$5:B1311,B1311),COUNTIF($B$5:B1311,B1311))))</f>
        <v>VIS_20290607_001</v>
      </c>
      <c r="B1311" s="40">
        <v>47276</v>
      </c>
      <c r="C1311" s="47" t="str">
        <f t="shared" si="40"/>
        <v>Чт</v>
      </c>
      <c r="I1311" s="46"/>
      <c r="J1311" s="39">
        <f t="shared" si="41"/>
        <v>47275</v>
      </c>
      <c r="K1311" t="str">
        <f ca="1">IF(AND(B1311&gt;='План недели'!$B$4,B1311&lt;'План недели'!$D$4,D1311&lt;&gt;"",G1311&lt;&gt;"Отменён"),COUNTIFS($B$5:B1311,"&gt;="&amp;'План недели'!$B$4,$B$5:B1311,"&lt;"&amp;'План недели'!$D$4,$D$5:D1311,"&lt;&gt;",$G$5:G1311,"&lt;&gt;Отменён"),"")</f>
        <v/>
      </c>
    </row>
    <row r="1312" spans="1:11">
      <c r="A1312" t="str">
        <f>IF(B1312="","","VIS_"&amp;(YEAR(B1312)*10000+MONTH(B1312)*100+DAY(B1312))&amp;"_"&amp;IF(COUNTIF($B$5:B1312,B1312)&lt;10,"00"&amp;COUNTIF($B$5:B1312,B1312),IF(COUNTIF($B$5:B1312,B1312)&lt;100,"0"&amp;COUNTIF($B$5:B1312,B1312),COUNTIF($B$5:B1312,B1312))))</f>
        <v>VIS_20290608_001</v>
      </c>
      <c r="B1312" s="40">
        <v>47277</v>
      </c>
      <c r="C1312" s="47" t="str">
        <f t="shared" si="40"/>
        <v>Пт</v>
      </c>
      <c r="I1312" s="46"/>
      <c r="J1312" s="39">
        <f t="shared" si="41"/>
        <v>47275</v>
      </c>
      <c r="K1312" t="str">
        <f ca="1">IF(AND(B1312&gt;='План недели'!$B$4,B1312&lt;'План недели'!$D$4,D1312&lt;&gt;"",G1312&lt;&gt;"Отменён"),COUNTIFS($B$5:B1312,"&gt;="&amp;'План недели'!$B$4,$B$5:B1312,"&lt;"&amp;'План недели'!$D$4,$D$5:D1312,"&lt;&gt;",$G$5:G1312,"&lt;&gt;Отменён"),"")</f>
        <v/>
      </c>
    </row>
    <row r="1313" spans="1:11">
      <c r="A1313" t="str">
        <f>IF(B1313="","","VIS_"&amp;(YEAR(B1313)*10000+MONTH(B1313)*100+DAY(B1313))&amp;"_"&amp;IF(COUNTIF($B$5:B1313,B1313)&lt;10,"00"&amp;COUNTIF($B$5:B1313,B1313),IF(COUNTIF($B$5:B1313,B1313)&lt;100,"0"&amp;COUNTIF($B$5:B1313,B1313),COUNTIF($B$5:B1313,B1313))))</f>
        <v>VIS_20290609_001</v>
      </c>
      <c r="B1313" s="42">
        <v>47278</v>
      </c>
      <c r="C1313" s="49" t="str">
        <f t="shared" si="40"/>
        <v>Сб</v>
      </c>
      <c r="I1313" s="46"/>
      <c r="J1313" s="39">
        <f t="shared" si="41"/>
        <v>47275</v>
      </c>
      <c r="K1313" t="str">
        <f ca="1">IF(AND(B1313&gt;='План недели'!$B$4,B1313&lt;'План недели'!$D$4,D1313&lt;&gt;"",G1313&lt;&gt;"Отменён"),COUNTIFS($B$5:B1313,"&gt;="&amp;'План недели'!$B$4,$B$5:B1313,"&lt;"&amp;'План недели'!$D$4,$D$5:D1313,"&lt;&gt;",$G$5:G1313,"&lt;&gt;Отменён"),"")</f>
        <v/>
      </c>
    </row>
    <row r="1314" spans="1:11">
      <c r="A1314" t="str">
        <f>IF(B1314="","","VIS_"&amp;(YEAR(B1314)*10000+MONTH(B1314)*100+DAY(B1314))&amp;"_"&amp;IF(COUNTIF($B$5:B1314,B1314)&lt;10,"00"&amp;COUNTIF($B$5:B1314,B1314),IF(COUNTIF($B$5:B1314,B1314)&lt;100,"0"&amp;COUNTIF($B$5:B1314,B1314),COUNTIF($B$5:B1314,B1314))))</f>
        <v>VIS_20290610_001</v>
      </c>
      <c r="B1314" s="42">
        <v>47279</v>
      </c>
      <c r="C1314" s="49" t="str">
        <f t="shared" si="40"/>
        <v>Вс</v>
      </c>
      <c r="I1314" s="46"/>
      <c r="J1314" s="39">
        <f t="shared" si="41"/>
        <v>47275</v>
      </c>
      <c r="K1314" t="str">
        <f ca="1">IF(AND(B1314&gt;='План недели'!$B$4,B1314&lt;'План недели'!$D$4,D1314&lt;&gt;"",G1314&lt;&gt;"Отменён"),COUNTIFS($B$5:B1314,"&gt;="&amp;'План недели'!$B$4,$B$5:B1314,"&lt;"&amp;'План недели'!$D$4,$D$5:D1314,"&lt;&gt;",$G$5:G1314,"&lt;&gt;Отменён"),"")</f>
        <v/>
      </c>
    </row>
    <row r="1315" spans="1:11">
      <c r="A1315" t="str">
        <f>IF(B1315="","","VIS_"&amp;(YEAR(B1315)*10000+MONTH(B1315)*100+DAY(B1315))&amp;"_"&amp;IF(COUNTIF($B$5:B1315,B1315)&lt;10,"00"&amp;COUNTIF($B$5:B1315,B1315),IF(COUNTIF($B$5:B1315,B1315)&lt;100,"0"&amp;COUNTIF($B$5:B1315,B1315),COUNTIF($B$5:B1315,B1315))))</f>
        <v>VIS_20290611_001</v>
      </c>
      <c r="B1315" s="40">
        <v>47280</v>
      </c>
      <c r="C1315" s="47" t="str">
        <f t="shared" si="40"/>
        <v>Пн</v>
      </c>
      <c r="I1315" s="46"/>
      <c r="J1315" s="39">
        <f t="shared" si="41"/>
        <v>47275</v>
      </c>
      <c r="K1315" t="str">
        <f ca="1">IF(AND(B1315&gt;='План недели'!$B$4,B1315&lt;'План недели'!$D$4,D1315&lt;&gt;"",G1315&lt;&gt;"Отменён"),COUNTIFS($B$5:B1315,"&gt;="&amp;'План недели'!$B$4,$B$5:B1315,"&lt;"&amp;'План недели'!$D$4,$D$5:D1315,"&lt;&gt;",$G$5:G1315,"&lt;&gt;Отменён"),"")</f>
        <v/>
      </c>
    </row>
    <row r="1316" spans="1:11">
      <c r="A1316" t="str">
        <f>IF(B1316="","","VIS_"&amp;(YEAR(B1316)*10000+MONTH(B1316)*100+DAY(B1316))&amp;"_"&amp;IF(COUNTIF($B$5:B1316,B1316)&lt;10,"00"&amp;COUNTIF($B$5:B1316,B1316),IF(COUNTIF($B$5:B1316,B1316)&lt;100,"0"&amp;COUNTIF($B$5:B1316,B1316),COUNTIF($B$5:B1316,B1316))))</f>
        <v>VIS_20290612_001</v>
      </c>
      <c r="B1316" s="40">
        <v>47281</v>
      </c>
      <c r="C1316" s="47" t="str">
        <f t="shared" si="40"/>
        <v>Вт</v>
      </c>
      <c r="I1316" s="46"/>
      <c r="J1316" s="39">
        <f t="shared" si="41"/>
        <v>47275</v>
      </c>
      <c r="K1316" t="str">
        <f ca="1">IF(AND(B1316&gt;='План недели'!$B$4,B1316&lt;'План недели'!$D$4,D1316&lt;&gt;"",G1316&lt;&gt;"Отменён"),COUNTIFS($B$5:B1316,"&gt;="&amp;'План недели'!$B$4,$B$5:B1316,"&lt;"&amp;'План недели'!$D$4,$D$5:D1316,"&lt;&gt;",$G$5:G1316,"&lt;&gt;Отменён"),"")</f>
        <v/>
      </c>
    </row>
    <row r="1317" spans="1:11">
      <c r="A1317" t="str">
        <f>IF(B1317="","","VIS_"&amp;(YEAR(B1317)*10000+MONTH(B1317)*100+DAY(B1317))&amp;"_"&amp;IF(COUNTIF($B$5:B1317,B1317)&lt;10,"00"&amp;COUNTIF($B$5:B1317,B1317),IF(COUNTIF($B$5:B1317,B1317)&lt;100,"0"&amp;COUNTIF($B$5:B1317,B1317),COUNTIF($B$5:B1317,B1317))))</f>
        <v>VIS_20290613_001</v>
      </c>
      <c r="B1317" s="40">
        <v>47282</v>
      </c>
      <c r="C1317" s="47" t="str">
        <f t="shared" si="40"/>
        <v>Ср</v>
      </c>
      <c r="I1317" s="46"/>
      <c r="J1317" s="39">
        <f t="shared" si="41"/>
        <v>47282</v>
      </c>
      <c r="K1317" t="str">
        <f ca="1">IF(AND(B1317&gt;='План недели'!$B$4,B1317&lt;'План недели'!$D$4,D1317&lt;&gt;"",G1317&lt;&gt;"Отменён"),COUNTIFS($B$5:B1317,"&gt;="&amp;'План недели'!$B$4,$B$5:B1317,"&lt;"&amp;'План недели'!$D$4,$D$5:D1317,"&lt;&gt;",$G$5:G1317,"&lt;&gt;Отменён"),"")</f>
        <v/>
      </c>
    </row>
    <row r="1318" spans="1:11">
      <c r="A1318" t="str">
        <f>IF(B1318="","","VIS_"&amp;(YEAR(B1318)*10000+MONTH(B1318)*100+DAY(B1318))&amp;"_"&amp;IF(COUNTIF($B$5:B1318,B1318)&lt;10,"00"&amp;COUNTIF($B$5:B1318,B1318),IF(COUNTIF($B$5:B1318,B1318)&lt;100,"0"&amp;COUNTIF($B$5:B1318,B1318),COUNTIF($B$5:B1318,B1318))))</f>
        <v>VIS_20290614_001</v>
      </c>
      <c r="B1318" s="40">
        <v>47283</v>
      </c>
      <c r="C1318" s="47" t="str">
        <f t="shared" si="40"/>
        <v>Чт</v>
      </c>
      <c r="I1318" s="46"/>
      <c r="J1318" s="39">
        <f t="shared" si="41"/>
        <v>47282</v>
      </c>
      <c r="K1318" t="str">
        <f ca="1">IF(AND(B1318&gt;='План недели'!$B$4,B1318&lt;'План недели'!$D$4,D1318&lt;&gt;"",G1318&lt;&gt;"Отменён"),COUNTIFS($B$5:B1318,"&gt;="&amp;'План недели'!$B$4,$B$5:B1318,"&lt;"&amp;'План недели'!$D$4,$D$5:D1318,"&lt;&gt;",$G$5:G1318,"&lt;&gt;Отменён"),"")</f>
        <v/>
      </c>
    </row>
    <row r="1319" spans="1:11">
      <c r="A1319" t="str">
        <f>IF(B1319="","","VIS_"&amp;(YEAR(B1319)*10000+MONTH(B1319)*100+DAY(B1319))&amp;"_"&amp;IF(COUNTIF($B$5:B1319,B1319)&lt;10,"00"&amp;COUNTIF($B$5:B1319,B1319),IF(COUNTIF($B$5:B1319,B1319)&lt;100,"0"&amp;COUNTIF($B$5:B1319,B1319),COUNTIF($B$5:B1319,B1319))))</f>
        <v>VIS_20290615_001</v>
      </c>
      <c r="B1319" s="40">
        <v>47284</v>
      </c>
      <c r="C1319" s="47" t="str">
        <f t="shared" si="40"/>
        <v>Пт</v>
      </c>
      <c r="I1319" s="46"/>
      <c r="J1319" s="39">
        <f t="shared" si="41"/>
        <v>47282</v>
      </c>
      <c r="K1319" t="str">
        <f ca="1">IF(AND(B1319&gt;='План недели'!$B$4,B1319&lt;'План недели'!$D$4,D1319&lt;&gt;"",G1319&lt;&gt;"Отменён"),COUNTIFS($B$5:B1319,"&gt;="&amp;'План недели'!$B$4,$B$5:B1319,"&lt;"&amp;'План недели'!$D$4,$D$5:D1319,"&lt;&gt;",$G$5:G1319,"&lt;&gt;Отменён"),"")</f>
        <v/>
      </c>
    </row>
    <row r="1320" spans="1:11">
      <c r="A1320" t="str">
        <f>IF(B1320="","","VIS_"&amp;(YEAR(B1320)*10000+MONTH(B1320)*100+DAY(B1320))&amp;"_"&amp;IF(COUNTIF($B$5:B1320,B1320)&lt;10,"00"&amp;COUNTIF($B$5:B1320,B1320),IF(COUNTIF($B$5:B1320,B1320)&lt;100,"0"&amp;COUNTIF($B$5:B1320,B1320),COUNTIF($B$5:B1320,B1320))))</f>
        <v>VIS_20290616_001</v>
      </c>
      <c r="B1320" s="42">
        <v>47285</v>
      </c>
      <c r="C1320" s="49" t="str">
        <f t="shared" si="40"/>
        <v>Сб</v>
      </c>
      <c r="I1320" s="46"/>
      <c r="J1320" s="39">
        <f t="shared" si="41"/>
        <v>47282</v>
      </c>
      <c r="K1320" t="str">
        <f ca="1">IF(AND(B1320&gt;='План недели'!$B$4,B1320&lt;'План недели'!$D$4,D1320&lt;&gt;"",G1320&lt;&gt;"Отменён"),COUNTIFS($B$5:B1320,"&gt;="&amp;'План недели'!$B$4,$B$5:B1320,"&lt;"&amp;'План недели'!$D$4,$D$5:D1320,"&lt;&gt;",$G$5:G1320,"&lt;&gt;Отменён"),"")</f>
        <v/>
      </c>
    </row>
    <row r="1321" spans="1:11">
      <c r="A1321" t="str">
        <f>IF(B1321="","","VIS_"&amp;(YEAR(B1321)*10000+MONTH(B1321)*100+DAY(B1321))&amp;"_"&amp;IF(COUNTIF($B$5:B1321,B1321)&lt;10,"00"&amp;COUNTIF($B$5:B1321,B1321),IF(COUNTIF($B$5:B1321,B1321)&lt;100,"0"&amp;COUNTIF($B$5:B1321,B1321),COUNTIF($B$5:B1321,B1321))))</f>
        <v>VIS_20290617_001</v>
      </c>
      <c r="B1321" s="42">
        <v>47286</v>
      </c>
      <c r="C1321" s="49" t="str">
        <f t="shared" si="40"/>
        <v>Вс</v>
      </c>
      <c r="I1321" s="46"/>
      <c r="J1321" s="39">
        <f t="shared" si="41"/>
        <v>47282</v>
      </c>
      <c r="K1321" t="str">
        <f ca="1">IF(AND(B1321&gt;='План недели'!$B$4,B1321&lt;'План недели'!$D$4,D1321&lt;&gt;"",G1321&lt;&gt;"Отменён"),COUNTIFS($B$5:B1321,"&gt;="&amp;'План недели'!$B$4,$B$5:B1321,"&lt;"&amp;'План недели'!$D$4,$D$5:D1321,"&lt;&gt;",$G$5:G1321,"&lt;&gt;Отменён"),"")</f>
        <v/>
      </c>
    </row>
    <row r="1322" spans="1:11">
      <c r="A1322" t="str">
        <f>IF(B1322="","","VIS_"&amp;(YEAR(B1322)*10000+MONTH(B1322)*100+DAY(B1322))&amp;"_"&amp;IF(COUNTIF($B$5:B1322,B1322)&lt;10,"00"&amp;COUNTIF($B$5:B1322,B1322),IF(COUNTIF($B$5:B1322,B1322)&lt;100,"0"&amp;COUNTIF($B$5:B1322,B1322),COUNTIF($B$5:B1322,B1322))))</f>
        <v>VIS_20290618_001</v>
      </c>
      <c r="B1322" s="40">
        <v>47287</v>
      </c>
      <c r="C1322" s="47" t="str">
        <f t="shared" si="40"/>
        <v>Пн</v>
      </c>
      <c r="I1322" s="46"/>
      <c r="J1322" s="39">
        <f t="shared" si="41"/>
        <v>47282</v>
      </c>
      <c r="K1322" t="str">
        <f ca="1">IF(AND(B1322&gt;='План недели'!$B$4,B1322&lt;'План недели'!$D$4,D1322&lt;&gt;"",G1322&lt;&gt;"Отменён"),COUNTIFS($B$5:B1322,"&gt;="&amp;'План недели'!$B$4,$B$5:B1322,"&lt;"&amp;'План недели'!$D$4,$D$5:D1322,"&lt;&gt;",$G$5:G1322,"&lt;&gt;Отменён"),"")</f>
        <v/>
      </c>
    </row>
    <row r="1323" spans="1:11">
      <c r="A1323" t="str">
        <f>IF(B1323="","","VIS_"&amp;(YEAR(B1323)*10000+MONTH(B1323)*100+DAY(B1323))&amp;"_"&amp;IF(COUNTIF($B$5:B1323,B1323)&lt;10,"00"&amp;COUNTIF($B$5:B1323,B1323),IF(COUNTIF($B$5:B1323,B1323)&lt;100,"0"&amp;COUNTIF($B$5:B1323,B1323),COUNTIF($B$5:B1323,B1323))))</f>
        <v>VIS_20290619_001</v>
      </c>
      <c r="B1323" s="40">
        <v>47288</v>
      </c>
      <c r="C1323" s="47" t="str">
        <f t="shared" si="40"/>
        <v>Вт</v>
      </c>
      <c r="I1323" s="46"/>
      <c r="J1323" s="39">
        <f t="shared" si="41"/>
        <v>47282</v>
      </c>
      <c r="K1323" t="str">
        <f ca="1">IF(AND(B1323&gt;='План недели'!$B$4,B1323&lt;'План недели'!$D$4,D1323&lt;&gt;"",G1323&lt;&gt;"Отменён"),COUNTIFS($B$5:B1323,"&gt;="&amp;'План недели'!$B$4,$B$5:B1323,"&lt;"&amp;'План недели'!$D$4,$D$5:D1323,"&lt;&gt;",$G$5:G1323,"&lt;&gt;Отменён"),"")</f>
        <v/>
      </c>
    </row>
    <row r="1324" spans="1:11">
      <c r="A1324" t="str">
        <f>IF(B1324="","","VIS_"&amp;(YEAR(B1324)*10000+MONTH(B1324)*100+DAY(B1324))&amp;"_"&amp;IF(COUNTIF($B$5:B1324,B1324)&lt;10,"00"&amp;COUNTIF($B$5:B1324,B1324),IF(COUNTIF($B$5:B1324,B1324)&lt;100,"0"&amp;COUNTIF($B$5:B1324,B1324),COUNTIF($B$5:B1324,B1324))))</f>
        <v>VIS_20290620_001</v>
      </c>
      <c r="B1324" s="40">
        <v>47289</v>
      </c>
      <c r="C1324" s="47" t="str">
        <f t="shared" si="40"/>
        <v>Ср</v>
      </c>
      <c r="I1324" s="46"/>
      <c r="J1324" s="39">
        <f t="shared" si="41"/>
        <v>47289</v>
      </c>
      <c r="K1324" t="str">
        <f ca="1">IF(AND(B1324&gt;='План недели'!$B$4,B1324&lt;'План недели'!$D$4,D1324&lt;&gt;"",G1324&lt;&gt;"Отменён"),COUNTIFS($B$5:B1324,"&gt;="&amp;'План недели'!$B$4,$B$5:B1324,"&lt;"&amp;'План недели'!$D$4,$D$5:D1324,"&lt;&gt;",$G$5:G1324,"&lt;&gt;Отменён"),"")</f>
        <v/>
      </c>
    </row>
    <row r="1325" spans="1:11">
      <c r="A1325" t="str">
        <f>IF(B1325="","","VIS_"&amp;(YEAR(B1325)*10000+MONTH(B1325)*100+DAY(B1325))&amp;"_"&amp;IF(COUNTIF($B$5:B1325,B1325)&lt;10,"00"&amp;COUNTIF($B$5:B1325,B1325),IF(COUNTIF($B$5:B1325,B1325)&lt;100,"0"&amp;COUNTIF($B$5:B1325,B1325),COUNTIF($B$5:B1325,B1325))))</f>
        <v>VIS_20290621_001</v>
      </c>
      <c r="B1325" s="40">
        <v>47290</v>
      </c>
      <c r="C1325" s="47" t="str">
        <f t="shared" si="40"/>
        <v>Чт</v>
      </c>
      <c r="I1325" s="46"/>
      <c r="J1325" s="39">
        <f t="shared" si="41"/>
        <v>47289</v>
      </c>
      <c r="K1325" t="str">
        <f ca="1">IF(AND(B1325&gt;='План недели'!$B$4,B1325&lt;'План недели'!$D$4,D1325&lt;&gt;"",G1325&lt;&gt;"Отменён"),COUNTIFS($B$5:B1325,"&gt;="&amp;'План недели'!$B$4,$B$5:B1325,"&lt;"&amp;'План недели'!$D$4,$D$5:D1325,"&lt;&gt;",$G$5:G1325,"&lt;&gt;Отменён"),"")</f>
        <v/>
      </c>
    </row>
    <row r="1326" spans="1:11">
      <c r="A1326" t="str">
        <f>IF(B1326="","","VIS_"&amp;(YEAR(B1326)*10000+MONTH(B1326)*100+DAY(B1326))&amp;"_"&amp;IF(COUNTIF($B$5:B1326,B1326)&lt;10,"00"&amp;COUNTIF($B$5:B1326,B1326),IF(COUNTIF($B$5:B1326,B1326)&lt;100,"0"&amp;COUNTIF($B$5:B1326,B1326),COUNTIF($B$5:B1326,B1326))))</f>
        <v>VIS_20290622_001</v>
      </c>
      <c r="B1326" s="40">
        <v>47291</v>
      </c>
      <c r="C1326" s="47" t="str">
        <f t="shared" si="40"/>
        <v>Пт</v>
      </c>
      <c r="I1326" s="46"/>
      <c r="J1326" s="39">
        <f t="shared" si="41"/>
        <v>47289</v>
      </c>
      <c r="K1326" t="str">
        <f ca="1">IF(AND(B1326&gt;='План недели'!$B$4,B1326&lt;'План недели'!$D$4,D1326&lt;&gt;"",G1326&lt;&gt;"Отменён"),COUNTIFS($B$5:B1326,"&gt;="&amp;'План недели'!$B$4,$B$5:B1326,"&lt;"&amp;'План недели'!$D$4,$D$5:D1326,"&lt;&gt;",$G$5:G1326,"&lt;&gt;Отменён"),"")</f>
        <v/>
      </c>
    </row>
    <row r="1327" spans="1:11">
      <c r="A1327" t="str">
        <f>IF(B1327="","","VIS_"&amp;(YEAR(B1327)*10000+MONTH(B1327)*100+DAY(B1327))&amp;"_"&amp;IF(COUNTIF($B$5:B1327,B1327)&lt;10,"00"&amp;COUNTIF($B$5:B1327,B1327),IF(COUNTIF($B$5:B1327,B1327)&lt;100,"0"&amp;COUNTIF($B$5:B1327,B1327),COUNTIF($B$5:B1327,B1327))))</f>
        <v>VIS_20290623_001</v>
      </c>
      <c r="B1327" s="42">
        <v>47292</v>
      </c>
      <c r="C1327" s="49" t="str">
        <f t="shared" si="40"/>
        <v>Сб</v>
      </c>
      <c r="I1327" s="46"/>
      <c r="J1327" s="39">
        <f t="shared" si="41"/>
        <v>47289</v>
      </c>
      <c r="K1327" t="str">
        <f ca="1">IF(AND(B1327&gt;='План недели'!$B$4,B1327&lt;'План недели'!$D$4,D1327&lt;&gt;"",G1327&lt;&gt;"Отменён"),COUNTIFS($B$5:B1327,"&gt;="&amp;'План недели'!$B$4,$B$5:B1327,"&lt;"&amp;'План недели'!$D$4,$D$5:D1327,"&lt;&gt;",$G$5:G1327,"&lt;&gt;Отменён"),"")</f>
        <v/>
      </c>
    </row>
    <row r="1328" spans="1:11">
      <c r="A1328" t="str">
        <f>IF(B1328="","","VIS_"&amp;(YEAR(B1328)*10000+MONTH(B1328)*100+DAY(B1328))&amp;"_"&amp;IF(COUNTIF($B$5:B1328,B1328)&lt;10,"00"&amp;COUNTIF($B$5:B1328,B1328),IF(COUNTIF($B$5:B1328,B1328)&lt;100,"0"&amp;COUNTIF($B$5:B1328,B1328),COUNTIF($B$5:B1328,B1328))))</f>
        <v>VIS_20290624_001</v>
      </c>
      <c r="B1328" s="42">
        <v>47293</v>
      </c>
      <c r="C1328" s="49" t="str">
        <f t="shared" si="40"/>
        <v>Вс</v>
      </c>
      <c r="I1328" s="46"/>
      <c r="J1328" s="39">
        <f t="shared" si="41"/>
        <v>47289</v>
      </c>
      <c r="K1328" t="str">
        <f ca="1">IF(AND(B1328&gt;='План недели'!$B$4,B1328&lt;'План недели'!$D$4,D1328&lt;&gt;"",G1328&lt;&gt;"Отменён"),COUNTIFS($B$5:B1328,"&gt;="&amp;'План недели'!$B$4,$B$5:B1328,"&lt;"&amp;'План недели'!$D$4,$D$5:D1328,"&lt;&gt;",$G$5:G1328,"&lt;&gt;Отменён"),"")</f>
        <v/>
      </c>
    </row>
    <row r="1329" spans="1:11">
      <c r="A1329" t="str">
        <f>IF(B1329="","","VIS_"&amp;(YEAR(B1329)*10000+MONTH(B1329)*100+DAY(B1329))&amp;"_"&amp;IF(COUNTIF($B$5:B1329,B1329)&lt;10,"00"&amp;COUNTIF($B$5:B1329,B1329),IF(COUNTIF($B$5:B1329,B1329)&lt;100,"0"&amp;COUNTIF($B$5:B1329,B1329),COUNTIF($B$5:B1329,B1329))))</f>
        <v>VIS_20290625_001</v>
      </c>
      <c r="B1329" s="40">
        <v>47294</v>
      </c>
      <c r="C1329" s="47" t="str">
        <f t="shared" si="40"/>
        <v>Пн</v>
      </c>
      <c r="I1329" s="46"/>
      <c r="J1329" s="39">
        <f t="shared" si="41"/>
        <v>47289</v>
      </c>
      <c r="K1329" t="str">
        <f ca="1">IF(AND(B1329&gt;='План недели'!$B$4,B1329&lt;'План недели'!$D$4,D1329&lt;&gt;"",G1329&lt;&gt;"Отменён"),COUNTIFS($B$5:B1329,"&gt;="&amp;'План недели'!$B$4,$B$5:B1329,"&lt;"&amp;'План недели'!$D$4,$D$5:D1329,"&lt;&gt;",$G$5:G1329,"&lt;&gt;Отменён"),"")</f>
        <v/>
      </c>
    </row>
    <row r="1330" spans="1:11">
      <c r="A1330" t="str">
        <f>IF(B1330="","","VIS_"&amp;(YEAR(B1330)*10000+MONTH(B1330)*100+DAY(B1330))&amp;"_"&amp;IF(COUNTIF($B$5:B1330,B1330)&lt;10,"00"&amp;COUNTIF($B$5:B1330,B1330),IF(COUNTIF($B$5:B1330,B1330)&lt;100,"0"&amp;COUNTIF($B$5:B1330,B1330),COUNTIF($B$5:B1330,B1330))))</f>
        <v>VIS_20290626_001</v>
      </c>
      <c r="B1330" s="40">
        <v>47295</v>
      </c>
      <c r="C1330" s="47" t="str">
        <f t="shared" si="40"/>
        <v>Вт</v>
      </c>
      <c r="I1330" s="46"/>
      <c r="J1330" s="39">
        <f t="shared" si="41"/>
        <v>47289</v>
      </c>
      <c r="K1330" t="str">
        <f ca="1">IF(AND(B1330&gt;='План недели'!$B$4,B1330&lt;'План недели'!$D$4,D1330&lt;&gt;"",G1330&lt;&gt;"Отменён"),COUNTIFS($B$5:B1330,"&gt;="&amp;'План недели'!$B$4,$B$5:B1330,"&lt;"&amp;'План недели'!$D$4,$D$5:D1330,"&lt;&gt;",$G$5:G1330,"&lt;&gt;Отменён"),"")</f>
        <v/>
      </c>
    </row>
    <row r="1331" spans="1:11">
      <c r="A1331" t="str">
        <f>IF(B1331="","","VIS_"&amp;(YEAR(B1331)*10000+MONTH(B1331)*100+DAY(B1331))&amp;"_"&amp;IF(COUNTIF($B$5:B1331,B1331)&lt;10,"00"&amp;COUNTIF($B$5:B1331,B1331),IF(COUNTIF($B$5:B1331,B1331)&lt;100,"0"&amp;COUNTIF($B$5:B1331,B1331),COUNTIF($B$5:B1331,B1331))))</f>
        <v>VIS_20290627_001</v>
      </c>
      <c r="B1331" s="40">
        <v>47296</v>
      </c>
      <c r="C1331" s="47" t="str">
        <f t="shared" si="40"/>
        <v>Ср</v>
      </c>
      <c r="I1331" s="46"/>
      <c r="J1331" s="39">
        <f t="shared" si="41"/>
        <v>47296</v>
      </c>
      <c r="K1331" t="str">
        <f ca="1">IF(AND(B1331&gt;='План недели'!$B$4,B1331&lt;'План недели'!$D$4,D1331&lt;&gt;"",G1331&lt;&gt;"Отменён"),COUNTIFS($B$5:B1331,"&gt;="&amp;'План недели'!$B$4,$B$5:B1331,"&lt;"&amp;'План недели'!$D$4,$D$5:D1331,"&lt;&gt;",$G$5:G1331,"&lt;&gt;Отменён"),"")</f>
        <v/>
      </c>
    </row>
    <row r="1332" spans="1:11">
      <c r="A1332" t="str">
        <f>IF(B1332="","","VIS_"&amp;(YEAR(B1332)*10000+MONTH(B1332)*100+DAY(B1332))&amp;"_"&amp;IF(COUNTIF($B$5:B1332,B1332)&lt;10,"00"&amp;COUNTIF($B$5:B1332,B1332),IF(COUNTIF($B$5:B1332,B1332)&lt;100,"0"&amp;COUNTIF($B$5:B1332,B1332),COUNTIF($B$5:B1332,B1332))))</f>
        <v>VIS_20290628_001</v>
      </c>
      <c r="B1332" s="40">
        <v>47297</v>
      </c>
      <c r="C1332" s="47" t="str">
        <f t="shared" si="40"/>
        <v>Чт</v>
      </c>
      <c r="I1332" s="46"/>
      <c r="J1332" s="39">
        <f t="shared" si="41"/>
        <v>47296</v>
      </c>
      <c r="K1332" t="str">
        <f ca="1">IF(AND(B1332&gt;='План недели'!$B$4,B1332&lt;'План недели'!$D$4,D1332&lt;&gt;"",G1332&lt;&gt;"Отменён"),COUNTIFS($B$5:B1332,"&gt;="&amp;'План недели'!$B$4,$B$5:B1332,"&lt;"&amp;'План недели'!$D$4,$D$5:D1332,"&lt;&gt;",$G$5:G1332,"&lt;&gt;Отменён"),"")</f>
        <v/>
      </c>
    </row>
    <row r="1333" spans="1:11">
      <c r="A1333" t="str">
        <f>IF(B1333="","","VIS_"&amp;(YEAR(B1333)*10000+MONTH(B1333)*100+DAY(B1333))&amp;"_"&amp;IF(COUNTIF($B$5:B1333,B1333)&lt;10,"00"&amp;COUNTIF($B$5:B1333,B1333),IF(COUNTIF($B$5:B1333,B1333)&lt;100,"0"&amp;COUNTIF($B$5:B1333,B1333),COUNTIF($B$5:B1333,B1333))))</f>
        <v>VIS_20290629_001</v>
      </c>
      <c r="B1333" s="40">
        <v>47298</v>
      </c>
      <c r="C1333" s="47" t="str">
        <f t="shared" si="40"/>
        <v>Пт</v>
      </c>
      <c r="I1333" s="46"/>
      <c r="J1333" s="39">
        <f t="shared" si="41"/>
        <v>47296</v>
      </c>
      <c r="K1333" t="str">
        <f ca="1">IF(AND(B1333&gt;='План недели'!$B$4,B1333&lt;'План недели'!$D$4,D1333&lt;&gt;"",G1333&lt;&gt;"Отменён"),COUNTIFS($B$5:B1333,"&gt;="&amp;'План недели'!$B$4,$B$5:B1333,"&lt;"&amp;'План недели'!$D$4,$D$5:D1333,"&lt;&gt;",$G$5:G1333,"&lt;&gt;Отменён"),"")</f>
        <v/>
      </c>
    </row>
    <row r="1334" spans="1:11">
      <c r="A1334" t="str">
        <f>IF(B1334="","","VIS_"&amp;(YEAR(B1334)*10000+MONTH(B1334)*100+DAY(B1334))&amp;"_"&amp;IF(COUNTIF($B$5:B1334,B1334)&lt;10,"00"&amp;COUNTIF($B$5:B1334,B1334),IF(COUNTIF($B$5:B1334,B1334)&lt;100,"0"&amp;COUNTIF($B$5:B1334,B1334),COUNTIF($B$5:B1334,B1334))))</f>
        <v>VIS_20290630_001</v>
      </c>
      <c r="B1334" s="42">
        <v>47299</v>
      </c>
      <c r="C1334" s="49" t="str">
        <f t="shared" si="40"/>
        <v>Сб</v>
      </c>
      <c r="I1334" s="46"/>
      <c r="J1334" s="39">
        <f t="shared" si="41"/>
        <v>47296</v>
      </c>
      <c r="K1334" t="str">
        <f ca="1">IF(AND(B1334&gt;='План недели'!$B$4,B1334&lt;'План недели'!$D$4,D1334&lt;&gt;"",G1334&lt;&gt;"Отменён"),COUNTIFS($B$5:B1334,"&gt;="&amp;'План недели'!$B$4,$B$5:B1334,"&lt;"&amp;'План недели'!$D$4,$D$5:D1334,"&lt;&gt;",$G$5:G1334,"&lt;&gt;Отменён"),"")</f>
        <v/>
      </c>
    </row>
    <row r="1335" spans="1:11">
      <c r="A1335" t="str">
        <f>IF(B1335="","","VIS_"&amp;(YEAR(B1335)*10000+MONTH(B1335)*100+DAY(B1335))&amp;"_"&amp;IF(COUNTIF($B$5:B1335,B1335)&lt;10,"00"&amp;COUNTIF($B$5:B1335,B1335),IF(COUNTIF($B$5:B1335,B1335)&lt;100,"0"&amp;COUNTIF($B$5:B1335,B1335),COUNTIF($B$5:B1335,B1335))))</f>
        <v>VIS_20290701_001</v>
      </c>
      <c r="B1335" s="42">
        <v>47300</v>
      </c>
      <c r="C1335" s="49" t="str">
        <f t="shared" si="40"/>
        <v>Вс</v>
      </c>
      <c r="I1335" s="46"/>
      <c r="J1335" s="39">
        <f t="shared" si="41"/>
        <v>47296</v>
      </c>
      <c r="K1335" t="str">
        <f ca="1">IF(AND(B1335&gt;='План недели'!$B$4,B1335&lt;'План недели'!$D$4,D1335&lt;&gt;"",G1335&lt;&gt;"Отменён"),COUNTIFS($B$5:B1335,"&gt;="&amp;'План недели'!$B$4,$B$5:B1335,"&lt;"&amp;'План недели'!$D$4,$D$5:D1335,"&lt;&gt;",$G$5:G1335,"&lt;&gt;Отменён"),"")</f>
        <v/>
      </c>
    </row>
    <row r="1336" spans="1:11">
      <c r="A1336" t="str">
        <f>IF(B1336="","","VIS_"&amp;(YEAR(B1336)*10000+MONTH(B1336)*100+DAY(B1336))&amp;"_"&amp;IF(COUNTIF($B$5:B1336,B1336)&lt;10,"00"&amp;COUNTIF($B$5:B1336,B1336),IF(COUNTIF($B$5:B1336,B1336)&lt;100,"0"&amp;COUNTIF($B$5:B1336,B1336),COUNTIF($B$5:B1336,B1336))))</f>
        <v>VIS_20290702_001</v>
      </c>
      <c r="B1336" s="40">
        <v>47301</v>
      </c>
      <c r="C1336" s="47" t="str">
        <f t="shared" si="40"/>
        <v>Пн</v>
      </c>
      <c r="I1336" s="46"/>
      <c r="J1336" s="39">
        <f t="shared" si="41"/>
        <v>47296</v>
      </c>
      <c r="K1336" t="str">
        <f ca="1">IF(AND(B1336&gt;='План недели'!$B$4,B1336&lt;'План недели'!$D$4,D1336&lt;&gt;"",G1336&lt;&gt;"Отменён"),COUNTIFS($B$5:B1336,"&gt;="&amp;'План недели'!$B$4,$B$5:B1336,"&lt;"&amp;'План недели'!$D$4,$D$5:D1336,"&lt;&gt;",$G$5:G1336,"&lt;&gt;Отменён"),"")</f>
        <v/>
      </c>
    </row>
    <row r="1337" spans="1:11">
      <c r="A1337" t="str">
        <f>IF(B1337="","","VIS_"&amp;(YEAR(B1337)*10000+MONTH(B1337)*100+DAY(B1337))&amp;"_"&amp;IF(COUNTIF($B$5:B1337,B1337)&lt;10,"00"&amp;COUNTIF($B$5:B1337,B1337),IF(COUNTIF($B$5:B1337,B1337)&lt;100,"0"&amp;COUNTIF($B$5:B1337,B1337),COUNTIF($B$5:B1337,B1337))))</f>
        <v>VIS_20290703_001</v>
      </c>
      <c r="B1337" s="40">
        <v>47302</v>
      </c>
      <c r="C1337" s="47" t="str">
        <f t="shared" si="40"/>
        <v>Вт</v>
      </c>
      <c r="I1337" s="46"/>
      <c r="J1337" s="39">
        <f t="shared" si="41"/>
        <v>47296</v>
      </c>
      <c r="K1337" t="str">
        <f ca="1">IF(AND(B1337&gt;='План недели'!$B$4,B1337&lt;'План недели'!$D$4,D1337&lt;&gt;"",G1337&lt;&gt;"Отменён"),COUNTIFS($B$5:B1337,"&gt;="&amp;'План недели'!$B$4,$B$5:B1337,"&lt;"&amp;'План недели'!$D$4,$D$5:D1337,"&lt;&gt;",$G$5:G1337,"&lt;&gt;Отменён"),"")</f>
        <v/>
      </c>
    </row>
    <row r="1338" spans="1:11">
      <c r="A1338" t="str">
        <f>IF(B1338="","","VIS_"&amp;(YEAR(B1338)*10000+MONTH(B1338)*100+DAY(B1338))&amp;"_"&amp;IF(COUNTIF($B$5:B1338,B1338)&lt;10,"00"&amp;COUNTIF($B$5:B1338,B1338),IF(COUNTIF($B$5:B1338,B1338)&lt;100,"0"&amp;COUNTIF($B$5:B1338,B1338),COUNTIF($B$5:B1338,B1338))))</f>
        <v>VIS_20290704_001</v>
      </c>
      <c r="B1338" s="40">
        <v>47303</v>
      </c>
      <c r="C1338" s="47" t="str">
        <f t="shared" si="40"/>
        <v>Ср</v>
      </c>
      <c r="I1338" s="46"/>
      <c r="J1338" s="39">
        <f t="shared" si="41"/>
        <v>47303</v>
      </c>
      <c r="K1338" t="str">
        <f ca="1">IF(AND(B1338&gt;='План недели'!$B$4,B1338&lt;'План недели'!$D$4,D1338&lt;&gt;"",G1338&lt;&gt;"Отменён"),COUNTIFS($B$5:B1338,"&gt;="&amp;'План недели'!$B$4,$B$5:B1338,"&lt;"&amp;'План недели'!$D$4,$D$5:D1338,"&lt;&gt;",$G$5:G1338,"&lt;&gt;Отменён"),"")</f>
        <v/>
      </c>
    </row>
    <row r="1339" spans="1:11">
      <c r="A1339" t="str">
        <f>IF(B1339="","","VIS_"&amp;(YEAR(B1339)*10000+MONTH(B1339)*100+DAY(B1339))&amp;"_"&amp;IF(COUNTIF($B$5:B1339,B1339)&lt;10,"00"&amp;COUNTIF($B$5:B1339,B1339),IF(COUNTIF($B$5:B1339,B1339)&lt;100,"0"&amp;COUNTIF($B$5:B1339,B1339),COUNTIF($B$5:B1339,B1339))))</f>
        <v>VIS_20290705_001</v>
      </c>
      <c r="B1339" s="40">
        <v>47304</v>
      </c>
      <c r="C1339" s="47" t="str">
        <f t="shared" si="40"/>
        <v>Чт</v>
      </c>
      <c r="I1339" s="46"/>
      <c r="J1339" s="39">
        <f t="shared" si="41"/>
        <v>47303</v>
      </c>
      <c r="K1339" t="str">
        <f ca="1">IF(AND(B1339&gt;='План недели'!$B$4,B1339&lt;'План недели'!$D$4,D1339&lt;&gt;"",G1339&lt;&gt;"Отменён"),COUNTIFS($B$5:B1339,"&gt;="&amp;'План недели'!$B$4,$B$5:B1339,"&lt;"&amp;'План недели'!$D$4,$D$5:D1339,"&lt;&gt;",$G$5:G1339,"&lt;&gt;Отменён"),"")</f>
        <v/>
      </c>
    </row>
    <row r="1340" spans="1:11">
      <c r="A1340" t="str">
        <f>IF(B1340="","","VIS_"&amp;(YEAR(B1340)*10000+MONTH(B1340)*100+DAY(B1340))&amp;"_"&amp;IF(COUNTIF($B$5:B1340,B1340)&lt;10,"00"&amp;COUNTIF($B$5:B1340,B1340),IF(COUNTIF($B$5:B1340,B1340)&lt;100,"0"&amp;COUNTIF($B$5:B1340,B1340),COUNTIF($B$5:B1340,B1340))))</f>
        <v>VIS_20290706_001</v>
      </c>
      <c r="B1340" s="40">
        <v>47305</v>
      </c>
      <c r="C1340" s="47" t="str">
        <f t="shared" si="40"/>
        <v>Пт</v>
      </c>
      <c r="I1340" s="46"/>
      <c r="J1340" s="39">
        <f t="shared" si="41"/>
        <v>47303</v>
      </c>
      <c r="K1340" t="str">
        <f ca="1">IF(AND(B1340&gt;='План недели'!$B$4,B1340&lt;'План недели'!$D$4,D1340&lt;&gt;"",G1340&lt;&gt;"Отменён"),COUNTIFS($B$5:B1340,"&gt;="&amp;'План недели'!$B$4,$B$5:B1340,"&lt;"&amp;'План недели'!$D$4,$D$5:D1340,"&lt;&gt;",$G$5:G1340,"&lt;&gt;Отменён"),"")</f>
        <v/>
      </c>
    </row>
    <row r="1341" spans="1:11">
      <c r="A1341" t="str">
        <f>IF(B1341="","","VIS_"&amp;(YEAR(B1341)*10000+MONTH(B1341)*100+DAY(B1341))&amp;"_"&amp;IF(COUNTIF($B$5:B1341,B1341)&lt;10,"00"&amp;COUNTIF($B$5:B1341,B1341),IF(COUNTIF($B$5:B1341,B1341)&lt;100,"0"&amp;COUNTIF($B$5:B1341,B1341),COUNTIF($B$5:B1341,B1341))))</f>
        <v>VIS_20290707_001</v>
      </c>
      <c r="B1341" s="42">
        <v>47306</v>
      </c>
      <c r="C1341" s="49" t="str">
        <f t="shared" si="40"/>
        <v>Сб</v>
      </c>
      <c r="I1341" s="46"/>
      <c r="J1341" s="39">
        <f t="shared" si="41"/>
        <v>47303</v>
      </c>
      <c r="K1341" t="str">
        <f ca="1">IF(AND(B1341&gt;='План недели'!$B$4,B1341&lt;'План недели'!$D$4,D1341&lt;&gt;"",G1341&lt;&gt;"Отменён"),COUNTIFS($B$5:B1341,"&gt;="&amp;'План недели'!$B$4,$B$5:B1341,"&lt;"&amp;'План недели'!$D$4,$D$5:D1341,"&lt;&gt;",$G$5:G1341,"&lt;&gt;Отменён"),"")</f>
        <v/>
      </c>
    </row>
    <row r="1342" spans="1:11">
      <c r="A1342" t="str">
        <f>IF(B1342="","","VIS_"&amp;(YEAR(B1342)*10000+MONTH(B1342)*100+DAY(B1342))&amp;"_"&amp;IF(COUNTIF($B$5:B1342,B1342)&lt;10,"00"&amp;COUNTIF($B$5:B1342,B1342),IF(COUNTIF($B$5:B1342,B1342)&lt;100,"0"&amp;COUNTIF($B$5:B1342,B1342),COUNTIF($B$5:B1342,B1342))))</f>
        <v>VIS_20290708_001</v>
      </c>
      <c r="B1342" s="42">
        <v>47307</v>
      </c>
      <c r="C1342" s="49" t="str">
        <f t="shared" si="40"/>
        <v>Вс</v>
      </c>
      <c r="I1342" s="46"/>
      <c r="J1342" s="39">
        <f t="shared" si="41"/>
        <v>47303</v>
      </c>
      <c r="K1342" t="str">
        <f ca="1">IF(AND(B1342&gt;='План недели'!$B$4,B1342&lt;'План недели'!$D$4,D1342&lt;&gt;"",G1342&lt;&gt;"Отменён"),COUNTIFS($B$5:B1342,"&gt;="&amp;'План недели'!$B$4,$B$5:B1342,"&lt;"&amp;'План недели'!$D$4,$D$5:D1342,"&lt;&gt;",$G$5:G1342,"&lt;&gt;Отменён"),"")</f>
        <v/>
      </c>
    </row>
    <row r="1343" spans="1:11">
      <c r="A1343" t="str">
        <f>IF(B1343="","","VIS_"&amp;(YEAR(B1343)*10000+MONTH(B1343)*100+DAY(B1343))&amp;"_"&amp;IF(COUNTIF($B$5:B1343,B1343)&lt;10,"00"&amp;COUNTIF($B$5:B1343,B1343),IF(COUNTIF($B$5:B1343,B1343)&lt;100,"0"&amp;COUNTIF($B$5:B1343,B1343),COUNTIF($B$5:B1343,B1343))))</f>
        <v>VIS_20290709_001</v>
      </c>
      <c r="B1343" s="40">
        <v>47308</v>
      </c>
      <c r="C1343" s="47" t="str">
        <f t="shared" si="40"/>
        <v>Пн</v>
      </c>
      <c r="I1343" s="46"/>
      <c r="J1343" s="39">
        <f t="shared" si="41"/>
        <v>47303</v>
      </c>
      <c r="K1343" t="str">
        <f ca="1">IF(AND(B1343&gt;='План недели'!$B$4,B1343&lt;'План недели'!$D$4,D1343&lt;&gt;"",G1343&lt;&gt;"Отменён"),COUNTIFS($B$5:B1343,"&gt;="&amp;'План недели'!$B$4,$B$5:B1343,"&lt;"&amp;'План недели'!$D$4,$D$5:D1343,"&lt;&gt;",$G$5:G1343,"&lt;&gt;Отменён"),"")</f>
        <v/>
      </c>
    </row>
    <row r="1344" spans="1:11">
      <c r="A1344" t="str">
        <f>IF(B1344="","","VIS_"&amp;(YEAR(B1344)*10000+MONTH(B1344)*100+DAY(B1344))&amp;"_"&amp;IF(COUNTIF($B$5:B1344,B1344)&lt;10,"00"&amp;COUNTIF($B$5:B1344,B1344),IF(COUNTIF($B$5:B1344,B1344)&lt;100,"0"&amp;COUNTIF($B$5:B1344,B1344),COUNTIF($B$5:B1344,B1344))))</f>
        <v>VIS_20290710_001</v>
      </c>
      <c r="B1344" s="40">
        <v>47309</v>
      </c>
      <c r="C1344" s="47" t="str">
        <f t="shared" si="40"/>
        <v>Вт</v>
      </c>
      <c r="I1344" s="46"/>
      <c r="J1344" s="39">
        <f t="shared" si="41"/>
        <v>47303</v>
      </c>
      <c r="K1344" t="str">
        <f ca="1">IF(AND(B1344&gt;='План недели'!$B$4,B1344&lt;'План недели'!$D$4,D1344&lt;&gt;"",G1344&lt;&gt;"Отменён"),COUNTIFS($B$5:B1344,"&gt;="&amp;'План недели'!$B$4,$B$5:B1344,"&lt;"&amp;'План недели'!$D$4,$D$5:D1344,"&lt;&gt;",$G$5:G1344,"&lt;&gt;Отменён"),"")</f>
        <v/>
      </c>
    </row>
    <row r="1345" spans="1:11">
      <c r="A1345" t="str">
        <f>IF(B1345="","","VIS_"&amp;(YEAR(B1345)*10000+MONTH(B1345)*100+DAY(B1345))&amp;"_"&amp;IF(COUNTIF($B$5:B1345,B1345)&lt;10,"00"&amp;COUNTIF($B$5:B1345,B1345),IF(COUNTIF($B$5:B1345,B1345)&lt;100,"0"&amp;COUNTIF($B$5:B1345,B1345),COUNTIF($B$5:B1345,B1345))))</f>
        <v>VIS_20290711_001</v>
      </c>
      <c r="B1345" s="40">
        <v>47310</v>
      </c>
      <c r="C1345" s="47" t="str">
        <f t="shared" si="40"/>
        <v>Ср</v>
      </c>
      <c r="I1345" s="46"/>
      <c r="J1345" s="39">
        <f t="shared" si="41"/>
        <v>47310</v>
      </c>
      <c r="K1345" t="str">
        <f ca="1">IF(AND(B1345&gt;='План недели'!$B$4,B1345&lt;'План недели'!$D$4,D1345&lt;&gt;"",G1345&lt;&gt;"Отменён"),COUNTIFS($B$5:B1345,"&gt;="&amp;'План недели'!$B$4,$B$5:B1345,"&lt;"&amp;'План недели'!$D$4,$D$5:D1345,"&lt;&gt;",$G$5:G1345,"&lt;&gt;Отменён"),"")</f>
        <v/>
      </c>
    </row>
    <row r="1346" spans="1:11">
      <c r="A1346" t="str">
        <f>IF(B1346="","","VIS_"&amp;(YEAR(B1346)*10000+MONTH(B1346)*100+DAY(B1346))&amp;"_"&amp;IF(COUNTIF($B$5:B1346,B1346)&lt;10,"00"&amp;COUNTIF($B$5:B1346,B1346),IF(COUNTIF($B$5:B1346,B1346)&lt;100,"0"&amp;COUNTIF($B$5:B1346,B1346),COUNTIF($B$5:B1346,B1346))))</f>
        <v>VIS_20290712_001</v>
      </c>
      <c r="B1346" s="40">
        <v>47311</v>
      </c>
      <c r="C1346" s="47" t="str">
        <f t="shared" si="40"/>
        <v>Чт</v>
      </c>
      <c r="I1346" s="46"/>
      <c r="J1346" s="39">
        <f t="shared" si="41"/>
        <v>47310</v>
      </c>
      <c r="K1346" t="str">
        <f ca="1">IF(AND(B1346&gt;='План недели'!$B$4,B1346&lt;'План недели'!$D$4,D1346&lt;&gt;"",G1346&lt;&gt;"Отменён"),COUNTIFS($B$5:B1346,"&gt;="&amp;'План недели'!$B$4,$B$5:B1346,"&lt;"&amp;'План недели'!$D$4,$D$5:D1346,"&lt;&gt;",$G$5:G1346,"&lt;&gt;Отменён"),"")</f>
        <v/>
      </c>
    </row>
    <row r="1347" spans="1:11">
      <c r="A1347" t="str">
        <f>IF(B1347="","","VIS_"&amp;(YEAR(B1347)*10000+MONTH(B1347)*100+DAY(B1347))&amp;"_"&amp;IF(COUNTIF($B$5:B1347,B1347)&lt;10,"00"&amp;COUNTIF($B$5:B1347,B1347),IF(COUNTIF($B$5:B1347,B1347)&lt;100,"0"&amp;COUNTIF($B$5:B1347,B1347),COUNTIF($B$5:B1347,B1347))))</f>
        <v>VIS_20290713_001</v>
      </c>
      <c r="B1347" s="40">
        <v>47312</v>
      </c>
      <c r="C1347" s="47" t="str">
        <f t="shared" si="40"/>
        <v>Пт</v>
      </c>
      <c r="I1347" s="46"/>
      <c r="J1347" s="39">
        <f t="shared" si="41"/>
        <v>47310</v>
      </c>
      <c r="K1347" t="str">
        <f ca="1">IF(AND(B1347&gt;='План недели'!$B$4,B1347&lt;'План недели'!$D$4,D1347&lt;&gt;"",G1347&lt;&gt;"Отменён"),COUNTIFS($B$5:B1347,"&gt;="&amp;'План недели'!$B$4,$B$5:B1347,"&lt;"&amp;'План недели'!$D$4,$D$5:D1347,"&lt;&gt;",$G$5:G1347,"&lt;&gt;Отменён"),"")</f>
        <v/>
      </c>
    </row>
    <row r="1348" spans="1:11">
      <c r="A1348" t="str">
        <f>IF(B1348="","","VIS_"&amp;(YEAR(B1348)*10000+MONTH(B1348)*100+DAY(B1348))&amp;"_"&amp;IF(COUNTIF($B$5:B1348,B1348)&lt;10,"00"&amp;COUNTIF($B$5:B1348,B1348),IF(COUNTIF($B$5:B1348,B1348)&lt;100,"0"&amp;COUNTIF($B$5:B1348,B1348),COUNTIF($B$5:B1348,B1348))))</f>
        <v>VIS_20290714_001</v>
      </c>
      <c r="B1348" s="42">
        <v>47313</v>
      </c>
      <c r="C1348" s="49" t="str">
        <f t="shared" si="40"/>
        <v>Сб</v>
      </c>
      <c r="I1348" s="46"/>
      <c r="J1348" s="39">
        <f t="shared" si="41"/>
        <v>47310</v>
      </c>
      <c r="K1348" t="str">
        <f ca="1">IF(AND(B1348&gt;='План недели'!$B$4,B1348&lt;'План недели'!$D$4,D1348&lt;&gt;"",G1348&lt;&gt;"Отменён"),COUNTIFS($B$5:B1348,"&gt;="&amp;'План недели'!$B$4,$B$5:B1348,"&lt;"&amp;'План недели'!$D$4,$D$5:D1348,"&lt;&gt;",$G$5:G1348,"&lt;&gt;Отменён"),"")</f>
        <v/>
      </c>
    </row>
    <row r="1349" spans="1:11">
      <c r="A1349" t="str">
        <f>IF(B1349="","","VIS_"&amp;(YEAR(B1349)*10000+MONTH(B1349)*100+DAY(B1349))&amp;"_"&amp;IF(COUNTIF($B$5:B1349,B1349)&lt;10,"00"&amp;COUNTIF($B$5:B1349,B1349),IF(COUNTIF($B$5:B1349,B1349)&lt;100,"0"&amp;COUNTIF($B$5:B1349,B1349),COUNTIF($B$5:B1349,B1349))))</f>
        <v>VIS_20290715_001</v>
      </c>
      <c r="B1349" s="42">
        <v>47314</v>
      </c>
      <c r="C1349" s="49" t="str">
        <f t="shared" ref="C1349:C1412" si="42">IF(B1349="","",CHOOSE(WEEKDAY(B1349,2),"Пн","Вт","Ср","Чт","Пт","Сб","Вс"))</f>
        <v>Вс</v>
      </c>
      <c r="I1349" s="46"/>
      <c r="J1349" s="39">
        <f t="shared" ref="J1349:J1412" si="43">IF(B1349="","",B1349-MOD(WEEKDAY(B1349,2)-3,7))</f>
        <v>47310</v>
      </c>
      <c r="K1349" t="str">
        <f ca="1">IF(AND(B1349&gt;='План недели'!$B$4,B1349&lt;'План недели'!$D$4,D1349&lt;&gt;"",G1349&lt;&gt;"Отменён"),COUNTIFS($B$5:B1349,"&gt;="&amp;'План недели'!$B$4,$B$5:B1349,"&lt;"&amp;'План недели'!$D$4,$D$5:D1349,"&lt;&gt;",$G$5:G1349,"&lt;&gt;Отменён"),"")</f>
        <v/>
      </c>
    </row>
    <row r="1350" spans="1:11">
      <c r="A1350" t="str">
        <f>IF(B1350="","","VIS_"&amp;(YEAR(B1350)*10000+MONTH(B1350)*100+DAY(B1350))&amp;"_"&amp;IF(COUNTIF($B$5:B1350,B1350)&lt;10,"00"&amp;COUNTIF($B$5:B1350,B1350),IF(COUNTIF($B$5:B1350,B1350)&lt;100,"0"&amp;COUNTIF($B$5:B1350,B1350),COUNTIF($B$5:B1350,B1350))))</f>
        <v>VIS_20290716_001</v>
      </c>
      <c r="B1350" s="40">
        <v>47315</v>
      </c>
      <c r="C1350" s="47" t="str">
        <f t="shared" si="42"/>
        <v>Пн</v>
      </c>
      <c r="I1350" s="46"/>
      <c r="J1350" s="39">
        <f t="shared" si="43"/>
        <v>47310</v>
      </c>
      <c r="K1350" t="str">
        <f ca="1">IF(AND(B1350&gt;='План недели'!$B$4,B1350&lt;'План недели'!$D$4,D1350&lt;&gt;"",G1350&lt;&gt;"Отменён"),COUNTIFS($B$5:B1350,"&gt;="&amp;'План недели'!$B$4,$B$5:B1350,"&lt;"&amp;'План недели'!$D$4,$D$5:D1350,"&lt;&gt;",$G$5:G1350,"&lt;&gt;Отменён"),"")</f>
        <v/>
      </c>
    </row>
    <row r="1351" spans="1:11">
      <c r="A1351" t="str">
        <f>IF(B1351="","","VIS_"&amp;(YEAR(B1351)*10000+MONTH(B1351)*100+DAY(B1351))&amp;"_"&amp;IF(COUNTIF($B$5:B1351,B1351)&lt;10,"00"&amp;COUNTIF($B$5:B1351,B1351),IF(COUNTIF($B$5:B1351,B1351)&lt;100,"0"&amp;COUNTIF($B$5:B1351,B1351),COUNTIF($B$5:B1351,B1351))))</f>
        <v>VIS_20290717_001</v>
      </c>
      <c r="B1351" s="40">
        <v>47316</v>
      </c>
      <c r="C1351" s="47" t="str">
        <f t="shared" si="42"/>
        <v>Вт</v>
      </c>
      <c r="I1351" s="46"/>
      <c r="J1351" s="39">
        <f t="shared" si="43"/>
        <v>47310</v>
      </c>
      <c r="K1351" t="str">
        <f ca="1">IF(AND(B1351&gt;='План недели'!$B$4,B1351&lt;'План недели'!$D$4,D1351&lt;&gt;"",G1351&lt;&gt;"Отменён"),COUNTIFS($B$5:B1351,"&gt;="&amp;'План недели'!$B$4,$B$5:B1351,"&lt;"&amp;'План недели'!$D$4,$D$5:D1351,"&lt;&gt;",$G$5:G1351,"&lt;&gt;Отменён"),"")</f>
        <v/>
      </c>
    </row>
    <row r="1352" spans="1:11">
      <c r="A1352" t="str">
        <f>IF(B1352="","","VIS_"&amp;(YEAR(B1352)*10000+MONTH(B1352)*100+DAY(B1352))&amp;"_"&amp;IF(COUNTIF($B$5:B1352,B1352)&lt;10,"00"&amp;COUNTIF($B$5:B1352,B1352),IF(COUNTIF($B$5:B1352,B1352)&lt;100,"0"&amp;COUNTIF($B$5:B1352,B1352),COUNTIF($B$5:B1352,B1352))))</f>
        <v>VIS_20290718_001</v>
      </c>
      <c r="B1352" s="40">
        <v>47317</v>
      </c>
      <c r="C1352" s="47" t="str">
        <f t="shared" si="42"/>
        <v>Ср</v>
      </c>
      <c r="I1352" s="46"/>
      <c r="J1352" s="39">
        <f t="shared" si="43"/>
        <v>47317</v>
      </c>
      <c r="K1352" t="str">
        <f ca="1">IF(AND(B1352&gt;='План недели'!$B$4,B1352&lt;'План недели'!$D$4,D1352&lt;&gt;"",G1352&lt;&gt;"Отменён"),COUNTIFS($B$5:B1352,"&gt;="&amp;'План недели'!$B$4,$B$5:B1352,"&lt;"&amp;'План недели'!$D$4,$D$5:D1352,"&lt;&gt;",$G$5:G1352,"&lt;&gt;Отменён"),"")</f>
        <v/>
      </c>
    </row>
    <row r="1353" spans="1:11">
      <c r="A1353" t="str">
        <f>IF(B1353="","","VIS_"&amp;(YEAR(B1353)*10000+MONTH(B1353)*100+DAY(B1353))&amp;"_"&amp;IF(COUNTIF($B$5:B1353,B1353)&lt;10,"00"&amp;COUNTIF($B$5:B1353,B1353),IF(COUNTIF($B$5:B1353,B1353)&lt;100,"0"&amp;COUNTIF($B$5:B1353,B1353),COUNTIF($B$5:B1353,B1353))))</f>
        <v>VIS_20290719_001</v>
      </c>
      <c r="B1353" s="40">
        <v>47318</v>
      </c>
      <c r="C1353" s="47" t="str">
        <f t="shared" si="42"/>
        <v>Чт</v>
      </c>
      <c r="I1353" s="46"/>
      <c r="J1353" s="39">
        <f t="shared" si="43"/>
        <v>47317</v>
      </c>
      <c r="K1353" t="str">
        <f ca="1">IF(AND(B1353&gt;='План недели'!$B$4,B1353&lt;'План недели'!$D$4,D1353&lt;&gt;"",G1353&lt;&gt;"Отменён"),COUNTIFS($B$5:B1353,"&gt;="&amp;'План недели'!$B$4,$B$5:B1353,"&lt;"&amp;'План недели'!$D$4,$D$5:D1353,"&lt;&gt;",$G$5:G1353,"&lt;&gt;Отменён"),"")</f>
        <v/>
      </c>
    </row>
    <row r="1354" spans="1:11">
      <c r="A1354" t="str">
        <f>IF(B1354="","","VIS_"&amp;(YEAR(B1354)*10000+MONTH(B1354)*100+DAY(B1354))&amp;"_"&amp;IF(COUNTIF($B$5:B1354,B1354)&lt;10,"00"&amp;COUNTIF($B$5:B1354,B1354),IF(COUNTIF($B$5:B1354,B1354)&lt;100,"0"&amp;COUNTIF($B$5:B1354,B1354),COUNTIF($B$5:B1354,B1354))))</f>
        <v>VIS_20290720_001</v>
      </c>
      <c r="B1354" s="40">
        <v>47319</v>
      </c>
      <c r="C1354" s="47" t="str">
        <f t="shared" si="42"/>
        <v>Пт</v>
      </c>
      <c r="I1354" s="46"/>
      <c r="J1354" s="39">
        <f t="shared" si="43"/>
        <v>47317</v>
      </c>
      <c r="K1354" t="str">
        <f ca="1">IF(AND(B1354&gt;='План недели'!$B$4,B1354&lt;'План недели'!$D$4,D1354&lt;&gt;"",G1354&lt;&gt;"Отменён"),COUNTIFS($B$5:B1354,"&gt;="&amp;'План недели'!$B$4,$B$5:B1354,"&lt;"&amp;'План недели'!$D$4,$D$5:D1354,"&lt;&gt;",$G$5:G1354,"&lt;&gt;Отменён"),"")</f>
        <v/>
      </c>
    </row>
    <row r="1355" spans="1:11">
      <c r="A1355" t="str">
        <f>IF(B1355="","","VIS_"&amp;(YEAR(B1355)*10000+MONTH(B1355)*100+DAY(B1355))&amp;"_"&amp;IF(COUNTIF($B$5:B1355,B1355)&lt;10,"00"&amp;COUNTIF($B$5:B1355,B1355),IF(COUNTIF($B$5:B1355,B1355)&lt;100,"0"&amp;COUNTIF($B$5:B1355,B1355),COUNTIF($B$5:B1355,B1355))))</f>
        <v>VIS_20290721_001</v>
      </c>
      <c r="B1355" s="42">
        <v>47320</v>
      </c>
      <c r="C1355" s="49" t="str">
        <f t="shared" si="42"/>
        <v>Сб</v>
      </c>
      <c r="I1355" s="46"/>
      <c r="J1355" s="39">
        <f t="shared" si="43"/>
        <v>47317</v>
      </c>
      <c r="K1355" t="str">
        <f ca="1">IF(AND(B1355&gt;='План недели'!$B$4,B1355&lt;'План недели'!$D$4,D1355&lt;&gt;"",G1355&lt;&gt;"Отменён"),COUNTIFS($B$5:B1355,"&gt;="&amp;'План недели'!$B$4,$B$5:B1355,"&lt;"&amp;'План недели'!$D$4,$D$5:D1355,"&lt;&gt;",$G$5:G1355,"&lt;&gt;Отменён"),"")</f>
        <v/>
      </c>
    </row>
    <row r="1356" spans="1:11">
      <c r="A1356" t="str">
        <f>IF(B1356="","","VIS_"&amp;(YEAR(B1356)*10000+MONTH(B1356)*100+DAY(B1356))&amp;"_"&amp;IF(COUNTIF($B$5:B1356,B1356)&lt;10,"00"&amp;COUNTIF($B$5:B1356,B1356),IF(COUNTIF($B$5:B1356,B1356)&lt;100,"0"&amp;COUNTIF($B$5:B1356,B1356),COUNTIF($B$5:B1356,B1356))))</f>
        <v>VIS_20290722_001</v>
      </c>
      <c r="B1356" s="42">
        <v>47321</v>
      </c>
      <c r="C1356" s="49" t="str">
        <f t="shared" si="42"/>
        <v>Вс</v>
      </c>
      <c r="I1356" s="46"/>
      <c r="J1356" s="39">
        <f t="shared" si="43"/>
        <v>47317</v>
      </c>
      <c r="K1356" t="str">
        <f ca="1">IF(AND(B1356&gt;='План недели'!$B$4,B1356&lt;'План недели'!$D$4,D1356&lt;&gt;"",G1356&lt;&gt;"Отменён"),COUNTIFS($B$5:B1356,"&gt;="&amp;'План недели'!$B$4,$B$5:B1356,"&lt;"&amp;'План недели'!$D$4,$D$5:D1356,"&lt;&gt;",$G$5:G1356,"&lt;&gt;Отменён"),"")</f>
        <v/>
      </c>
    </row>
    <row r="1357" spans="1:11">
      <c r="A1357" t="str">
        <f>IF(B1357="","","VIS_"&amp;(YEAR(B1357)*10000+MONTH(B1357)*100+DAY(B1357))&amp;"_"&amp;IF(COUNTIF($B$5:B1357,B1357)&lt;10,"00"&amp;COUNTIF($B$5:B1357,B1357),IF(COUNTIF($B$5:B1357,B1357)&lt;100,"0"&amp;COUNTIF($B$5:B1357,B1357),COUNTIF($B$5:B1357,B1357))))</f>
        <v>VIS_20290723_001</v>
      </c>
      <c r="B1357" s="40">
        <v>47322</v>
      </c>
      <c r="C1357" s="47" t="str">
        <f t="shared" si="42"/>
        <v>Пн</v>
      </c>
      <c r="I1357" s="46"/>
      <c r="J1357" s="39">
        <f t="shared" si="43"/>
        <v>47317</v>
      </c>
      <c r="K1357" t="str">
        <f ca="1">IF(AND(B1357&gt;='План недели'!$B$4,B1357&lt;'План недели'!$D$4,D1357&lt;&gt;"",G1357&lt;&gt;"Отменён"),COUNTIFS($B$5:B1357,"&gt;="&amp;'План недели'!$B$4,$B$5:B1357,"&lt;"&amp;'План недели'!$D$4,$D$5:D1357,"&lt;&gt;",$G$5:G1357,"&lt;&gt;Отменён"),"")</f>
        <v/>
      </c>
    </row>
    <row r="1358" spans="1:11">
      <c r="A1358" t="str">
        <f>IF(B1358="","","VIS_"&amp;(YEAR(B1358)*10000+MONTH(B1358)*100+DAY(B1358))&amp;"_"&amp;IF(COUNTIF($B$5:B1358,B1358)&lt;10,"00"&amp;COUNTIF($B$5:B1358,B1358),IF(COUNTIF($B$5:B1358,B1358)&lt;100,"0"&amp;COUNTIF($B$5:B1358,B1358),COUNTIF($B$5:B1358,B1358))))</f>
        <v>VIS_20290724_001</v>
      </c>
      <c r="B1358" s="40">
        <v>47323</v>
      </c>
      <c r="C1358" s="47" t="str">
        <f t="shared" si="42"/>
        <v>Вт</v>
      </c>
      <c r="I1358" s="46"/>
      <c r="J1358" s="39">
        <f t="shared" si="43"/>
        <v>47317</v>
      </c>
      <c r="K1358" t="str">
        <f ca="1">IF(AND(B1358&gt;='План недели'!$B$4,B1358&lt;'План недели'!$D$4,D1358&lt;&gt;"",G1358&lt;&gt;"Отменён"),COUNTIFS($B$5:B1358,"&gt;="&amp;'План недели'!$B$4,$B$5:B1358,"&lt;"&amp;'План недели'!$D$4,$D$5:D1358,"&lt;&gt;",$G$5:G1358,"&lt;&gt;Отменён"),"")</f>
        <v/>
      </c>
    </row>
    <row r="1359" spans="1:11">
      <c r="A1359" t="str">
        <f>IF(B1359="","","VIS_"&amp;(YEAR(B1359)*10000+MONTH(B1359)*100+DAY(B1359))&amp;"_"&amp;IF(COUNTIF($B$5:B1359,B1359)&lt;10,"00"&amp;COUNTIF($B$5:B1359,B1359),IF(COUNTIF($B$5:B1359,B1359)&lt;100,"0"&amp;COUNTIF($B$5:B1359,B1359),COUNTIF($B$5:B1359,B1359))))</f>
        <v>VIS_20290725_001</v>
      </c>
      <c r="B1359" s="40">
        <v>47324</v>
      </c>
      <c r="C1359" s="47" t="str">
        <f t="shared" si="42"/>
        <v>Ср</v>
      </c>
      <c r="I1359" s="46"/>
      <c r="J1359" s="39">
        <f t="shared" si="43"/>
        <v>47324</v>
      </c>
      <c r="K1359" t="str">
        <f ca="1">IF(AND(B1359&gt;='План недели'!$B$4,B1359&lt;'План недели'!$D$4,D1359&lt;&gt;"",G1359&lt;&gt;"Отменён"),COUNTIFS($B$5:B1359,"&gt;="&amp;'План недели'!$B$4,$B$5:B1359,"&lt;"&amp;'План недели'!$D$4,$D$5:D1359,"&lt;&gt;",$G$5:G1359,"&lt;&gt;Отменён"),"")</f>
        <v/>
      </c>
    </row>
    <row r="1360" spans="1:11">
      <c r="A1360" t="str">
        <f>IF(B1360="","","VIS_"&amp;(YEAR(B1360)*10000+MONTH(B1360)*100+DAY(B1360))&amp;"_"&amp;IF(COUNTIF($B$5:B1360,B1360)&lt;10,"00"&amp;COUNTIF($B$5:B1360,B1360),IF(COUNTIF($B$5:B1360,B1360)&lt;100,"0"&amp;COUNTIF($B$5:B1360,B1360),COUNTIF($B$5:B1360,B1360))))</f>
        <v>VIS_20290726_001</v>
      </c>
      <c r="B1360" s="40">
        <v>47325</v>
      </c>
      <c r="C1360" s="47" t="str">
        <f t="shared" si="42"/>
        <v>Чт</v>
      </c>
      <c r="I1360" s="46"/>
      <c r="J1360" s="39">
        <f t="shared" si="43"/>
        <v>47324</v>
      </c>
      <c r="K1360" t="str">
        <f ca="1">IF(AND(B1360&gt;='План недели'!$B$4,B1360&lt;'План недели'!$D$4,D1360&lt;&gt;"",G1360&lt;&gt;"Отменён"),COUNTIFS($B$5:B1360,"&gt;="&amp;'План недели'!$B$4,$B$5:B1360,"&lt;"&amp;'План недели'!$D$4,$D$5:D1360,"&lt;&gt;",$G$5:G1360,"&lt;&gt;Отменён"),"")</f>
        <v/>
      </c>
    </row>
    <row r="1361" spans="1:11">
      <c r="A1361" t="str">
        <f>IF(B1361="","","VIS_"&amp;(YEAR(B1361)*10000+MONTH(B1361)*100+DAY(B1361))&amp;"_"&amp;IF(COUNTIF($B$5:B1361,B1361)&lt;10,"00"&amp;COUNTIF($B$5:B1361,B1361),IF(COUNTIF($B$5:B1361,B1361)&lt;100,"0"&amp;COUNTIF($B$5:B1361,B1361),COUNTIF($B$5:B1361,B1361))))</f>
        <v>VIS_20290727_001</v>
      </c>
      <c r="B1361" s="40">
        <v>47326</v>
      </c>
      <c r="C1361" s="47" t="str">
        <f t="shared" si="42"/>
        <v>Пт</v>
      </c>
      <c r="I1361" s="46"/>
      <c r="J1361" s="39">
        <f t="shared" si="43"/>
        <v>47324</v>
      </c>
      <c r="K1361" t="str">
        <f ca="1">IF(AND(B1361&gt;='План недели'!$B$4,B1361&lt;'План недели'!$D$4,D1361&lt;&gt;"",G1361&lt;&gt;"Отменён"),COUNTIFS($B$5:B1361,"&gt;="&amp;'План недели'!$B$4,$B$5:B1361,"&lt;"&amp;'План недели'!$D$4,$D$5:D1361,"&lt;&gt;",$G$5:G1361,"&lt;&gt;Отменён"),"")</f>
        <v/>
      </c>
    </row>
    <row r="1362" spans="1:11">
      <c r="A1362" t="str">
        <f>IF(B1362="","","VIS_"&amp;(YEAR(B1362)*10000+MONTH(B1362)*100+DAY(B1362))&amp;"_"&amp;IF(COUNTIF($B$5:B1362,B1362)&lt;10,"00"&amp;COUNTIF($B$5:B1362,B1362),IF(COUNTIF($B$5:B1362,B1362)&lt;100,"0"&amp;COUNTIF($B$5:B1362,B1362),COUNTIF($B$5:B1362,B1362))))</f>
        <v>VIS_20290728_001</v>
      </c>
      <c r="B1362" s="42">
        <v>47327</v>
      </c>
      <c r="C1362" s="49" t="str">
        <f t="shared" si="42"/>
        <v>Сб</v>
      </c>
      <c r="I1362" s="46"/>
      <c r="J1362" s="39">
        <f t="shared" si="43"/>
        <v>47324</v>
      </c>
      <c r="K1362" t="str">
        <f ca="1">IF(AND(B1362&gt;='План недели'!$B$4,B1362&lt;'План недели'!$D$4,D1362&lt;&gt;"",G1362&lt;&gt;"Отменён"),COUNTIFS($B$5:B1362,"&gt;="&amp;'План недели'!$B$4,$B$5:B1362,"&lt;"&amp;'План недели'!$D$4,$D$5:D1362,"&lt;&gt;",$G$5:G1362,"&lt;&gt;Отменён"),"")</f>
        <v/>
      </c>
    </row>
    <row r="1363" spans="1:11">
      <c r="A1363" t="str">
        <f>IF(B1363="","","VIS_"&amp;(YEAR(B1363)*10000+MONTH(B1363)*100+DAY(B1363))&amp;"_"&amp;IF(COUNTIF($B$5:B1363,B1363)&lt;10,"00"&amp;COUNTIF($B$5:B1363,B1363),IF(COUNTIF($B$5:B1363,B1363)&lt;100,"0"&amp;COUNTIF($B$5:B1363,B1363),COUNTIF($B$5:B1363,B1363))))</f>
        <v>VIS_20290729_001</v>
      </c>
      <c r="B1363" s="42">
        <v>47328</v>
      </c>
      <c r="C1363" s="49" t="str">
        <f t="shared" si="42"/>
        <v>Вс</v>
      </c>
      <c r="I1363" s="46"/>
      <c r="J1363" s="39">
        <f t="shared" si="43"/>
        <v>47324</v>
      </c>
      <c r="K1363" t="str">
        <f ca="1">IF(AND(B1363&gt;='План недели'!$B$4,B1363&lt;'План недели'!$D$4,D1363&lt;&gt;"",G1363&lt;&gt;"Отменён"),COUNTIFS($B$5:B1363,"&gt;="&amp;'План недели'!$B$4,$B$5:B1363,"&lt;"&amp;'План недели'!$D$4,$D$5:D1363,"&lt;&gt;",$G$5:G1363,"&lt;&gt;Отменён"),"")</f>
        <v/>
      </c>
    </row>
    <row r="1364" spans="1:11">
      <c r="A1364" t="str">
        <f>IF(B1364="","","VIS_"&amp;(YEAR(B1364)*10000+MONTH(B1364)*100+DAY(B1364))&amp;"_"&amp;IF(COUNTIF($B$5:B1364,B1364)&lt;10,"00"&amp;COUNTIF($B$5:B1364,B1364),IF(COUNTIF($B$5:B1364,B1364)&lt;100,"0"&amp;COUNTIF($B$5:B1364,B1364),COUNTIF($B$5:B1364,B1364))))</f>
        <v>VIS_20290730_001</v>
      </c>
      <c r="B1364" s="40">
        <v>47329</v>
      </c>
      <c r="C1364" s="47" t="str">
        <f t="shared" si="42"/>
        <v>Пн</v>
      </c>
      <c r="I1364" s="46"/>
      <c r="J1364" s="39">
        <f t="shared" si="43"/>
        <v>47324</v>
      </c>
      <c r="K1364" t="str">
        <f ca="1">IF(AND(B1364&gt;='План недели'!$B$4,B1364&lt;'План недели'!$D$4,D1364&lt;&gt;"",G1364&lt;&gt;"Отменён"),COUNTIFS($B$5:B1364,"&gt;="&amp;'План недели'!$B$4,$B$5:B1364,"&lt;"&amp;'План недели'!$D$4,$D$5:D1364,"&lt;&gt;",$G$5:G1364,"&lt;&gt;Отменён"),"")</f>
        <v/>
      </c>
    </row>
    <row r="1365" spans="1:11">
      <c r="A1365" t="str">
        <f>IF(B1365="","","VIS_"&amp;(YEAR(B1365)*10000+MONTH(B1365)*100+DAY(B1365))&amp;"_"&amp;IF(COUNTIF($B$5:B1365,B1365)&lt;10,"00"&amp;COUNTIF($B$5:B1365,B1365),IF(COUNTIF($B$5:B1365,B1365)&lt;100,"0"&amp;COUNTIF($B$5:B1365,B1365),COUNTIF($B$5:B1365,B1365))))</f>
        <v>VIS_20290731_001</v>
      </c>
      <c r="B1365" s="40">
        <v>47330</v>
      </c>
      <c r="C1365" s="47" t="str">
        <f t="shared" si="42"/>
        <v>Вт</v>
      </c>
      <c r="I1365" s="46"/>
      <c r="J1365" s="39">
        <f t="shared" si="43"/>
        <v>47324</v>
      </c>
      <c r="K1365" t="str">
        <f ca="1">IF(AND(B1365&gt;='План недели'!$B$4,B1365&lt;'План недели'!$D$4,D1365&lt;&gt;"",G1365&lt;&gt;"Отменён"),COUNTIFS($B$5:B1365,"&gt;="&amp;'План недели'!$B$4,$B$5:B1365,"&lt;"&amp;'План недели'!$D$4,$D$5:D1365,"&lt;&gt;",$G$5:G1365,"&lt;&gt;Отменён"),"")</f>
        <v/>
      </c>
    </row>
    <row r="1366" spans="1:11">
      <c r="A1366" t="str">
        <f>IF(B1366="","","VIS_"&amp;(YEAR(B1366)*10000+MONTH(B1366)*100+DAY(B1366))&amp;"_"&amp;IF(COUNTIF($B$5:B1366,B1366)&lt;10,"00"&amp;COUNTIF($B$5:B1366,B1366),IF(COUNTIF($B$5:B1366,B1366)&lt;100,"0"&amp;COUNTIF($B$5:B1366,B1366),COUNTIF($B$5:B1366,B1366))))</f>
        <v>VIS_20290801_001</v>
      </c>
      <c r="B1366" s="40">
        <v>47331</v>
      </c>
      <c r="C1366" s="47" t="str">
        <f t="shared" si="42"/>
        <v>Ср</v>
      </c>
      <c r="I1366" s="46"/>
      <c r="J1366" s="39">
        <f t="shared" si="43"/>
        <v>47331</v>
      </c>
      <c r="K1366" t="str">
        <f ca="1">IF(AND(B1366&gt;='План недели'!$B$4,B1366&lt;'План недели'!$D$4,D1366&lt;&gt;"",G1366&lt;&gt;"Отменён"),COUNTIFS($B$5:B1366,"&gt;="&amp;'План недели'!$B$4,$B$5:B1366,"&lt;"&amp;'План недели'!$D$4,$D$5:D1366,"&lt;&gt;",$G$5:G1366,"&lt;&gt;Отменён"),"")</f>
        <v/>
      </c>
    </row>
    <row r="1367" spans="1:11">
      <c r="A1367" t="str">
        <f>IF(B1367="","","VIS_"&amp;(YEAR(B1367)*10000+MONTH(B1367)*100+DAY(B1367))&amp;"_"&amp;IF(COUNTIF($B$5:B1367,B1367)&lt;10,"00"&amp;COUNTIF($B$5:B1367,B1367),IF(COUNTIF($B$5:B1367,B1367)&lt;100,"0"&amp;COUNTIF($B$5:B1367,B1367),COUNTIF($B$5:B1367,B1367))))</f>
        <v>VIS_20290802_001</v>
      </c>
      <c r="B1367" s="40">
        <v>47332</v>
      </c>
      <c r="C1367" s="47" t="str">
        <f t="shared" si="42"/>
        <v>Чт</v>
      </c>
      <c r="I1367" s="46"/>
      <c r="J1367" s="39">
        <f t="shared" si="43"/>
        <v>47331</v>
      </c>
      <c r="K1367" t="str">
        <f ca="1">IF(AND(B1367&gt;='План недели'!$B$4,B1367&lt;'План недели'!$D$4,D1367&lt;&gt;"",G1367&lt;&gt;"Отменён"),COUNTIFS($B$5:B1367,"&gt;="&amp;'План недели'!$B$4,$B$5:B1367,"&lt;"&amp;'План недели'!$D$4,$D$5:D1367,"&lt;&gt;",$G$5:G1367,"&lt;&gt;Отменён"),"")</f>
        <v/>
      </c>
    </row>
    <row r="1368" spans="1:11">
      <c r="A1368" t="str">
        <f>IF(B1368="","","VIS_"&amp;(YEAR(B1368)*10000+MONTH(B1368)*100+DAY(B1368))&amp;"_"&amp;IF(COUNTIF($B$5:B1368,B1368)&lt;10,"00"&amp;COUNTIF($B$5:B1368,B1368),IF(COUNTIF($B$5:B1368,B1368)&lt;100,"0"&amp;COUNTIF($B$5:B1368,B1368),COUNTIF($B$5:B1368,B1368))))</f>
        <v>VIS_20290803_001</v>
      </c>
      <c r="B1368" s="40">
        <v>47333</v>
      </c>
      <c r="C1368" s="47" t="str">
        <f t="shared" si="42"/>
        <v>Пт</v>
      </c>
      <c r="I1368" s="46"/>
      <c r="J1368" s="39">
        <f t="shared" si="43"/>
        <v>47331</v>
      </c>
      <c r="K1368" t="str">
        <f ca="1">IF(AND(B1368&gt;='План недели'!$B$4,B1368&lt;'План недели'!$D$4,D1368&lt;&gt;"",G1368&lt;&gt;"Отменён"),COUNTIFS($B$5:B1368,"&gt;="&amp;'План недели'!$B$4,$B$5:B1368,"&lt;"&amp;'План недели'!$D$4,$D$5:D1368,"&lt;&gt;",$G$5:G1368,"&lt;&gt;Отменён"),"")</f>
        <v/>
      </c>
    </row>
    <row r="1369" spans="1:11">
      <c r="A1369" t="str">
        <f>IF(B1369="","","VIS_"&amp;(YEAR(B1369)*10000+MONTH(B1369)*100+DAY(B1369))&amp;"_"&amp;IF(COUNTIF($B$5:B1369,B1369)&lt;10,"00"&amp;COUNTIF($B$5:B1369,B1369),IF(COUNTIF($B$5:B1369,B1369)&lt;100,"0"&amp;COUNTIF($B$5:B1369,B1369),COUNTIF($B$5:B1369,B1369))))</f>
        <v>VIS_20290804_001</v>
      </c>
      <c r="B1369" s="42">
        <v>47334</v>
      </c>
      <c r="C1369" s="49" t="str">
        <f t="shared" si="42"/>
        <v>Сб</v>
      </c>
      <c r="I1369" s="46"/>
      <c r="J1369" s="39">
        <f t="shared" si="43"/>
        <v>47331</v>
      </c>
      <c r="K1369" t="str">
        <f ca="1">IF(AND(B1369&gt;='План недели'!$B$4,B1369&lt;'План недели'!$D$4,D1369&lt;&gt;"",G1369&lt;&gt;"Отменён"),COUNTIFS($B$5:B1369,"&gt;="&amp;'План недели'!$B$4,$B$5:B1369,"&lt;"&amp;'План недели'!$D$4,$D$5:D1369,"&lt;&gt;",$G$5:G1369,"&lt;&gt;Отменён"),"")</f>
        <v/>
      </c>
    </row>
    <row r="1370" spans="1:11">
      <c r="A1370" t="str">
        <f>IF(B1370="","","VIS_"&amp;(YEAR(B1370)*10000+MONTH(B1370)*100+DAY(B1370))&amp;"_"&amp;IF(COUNTIF($B$5:B1370,B1370)&lt;10,"00"&amp;COUNTIF($B$5:B1370,B1370),IF(COUNTIF($B$5:B1370,B1370)&lt;100,"0"&amp;COUNTIF($B$5:B1370,B1370),COUNTIF($B$5:B1370,B1370))))</f>
        <v>VIS_20290805_001</v>
      </c>
      <c r="B1370" s="42">
        <v>47335</v>
      </c>
      <c r="C1370" s="49" t="str">
        <f t="shared" si="42"/>
        <v>Вс</v>
      </c>
      <c r="I1370" s="46"/>
      <c r="J1370" s="39">
        <f t="shared" si="43"/>
        <v>47331</v>
      </c>
      <c r="K1370" t="str">
        <f ca="1">IF(AND(B1370&gt;='План недели'!$B$4,B1370&lt;'План недели'!$D$4,D1370&lt;&gt;"",G1370&lt;&gt;"Отменён"),COUNTIFS($B$5:B1370,"&gt;="&amp;'План недели'!$B$4,$B$5:B1370,"&lt;"&amp;'План недели'!$D$4,$D$5:D1370,"&lt;&gt;",$G$5:G1370,"&lt;&gt;Отменён"),"")</f>
        <v/>
      </c>
    </row>
    <row r="1371" spans="1:11">
      <c r="A1371" t="str">
        <f>IF(B1371="","","VIS_"&amp;(YEAR(B1371)*10000+MONTH(B1371)*100+DAY(B1371))&amp;"_"&amp;IF(COUNTIF($B$5:B1371,B1371)&lt;10,"00"&amp;COUNTIF($B$5:B1371,B1371),IF(COUNTIF($B$5:B1371,B1371)&lt;100,"0"&amp;COUNTIF($B$5:B1371,B1371),COUNTIF($B$5:B1371,B1371))))</f>
        <v>VIS_20290806_001</v>
      </c>
      <c r="B1371" s="40">
        <v>47336</v>
      </c>
      <c r="C1371" s="47" t="str">
        <f t="shared" si="42"/>
        <v>Пн</v>
      </c>
      <c r="I1371" s="46"/>
      <c r="J1371" s="39">
        <f t="shared" si="43"/>
        <v>47331</v>
      </c>
      <c r="K1371" t="str">
        <f ca="1">IF(AND(B1371&gt;='План недели'!$B$4,B1371&lt;'План недели'!$D$4,D1371&lt;&gt;"",G1371&lt;&gt;"Отменён"),COUNTIFS($B$5:B1371,"&gt;="&amp;'План недели'!$B$4,$B$5:B1371,"&lt;"&amp;'План недели'!$D$4,$D$5:D1371,"&lt;&gt;",$G$5:G1371,"&lt;&gt;Отменён"),"")</f>
        <v/>
      </c>
    </row>
    <row r="1372" spans="1:11">
      <c r="A1372" t="str">
        <f>IF(B1372="","","VIS_"&amp;(YEAR(B1372)*10000+MONTH(B1372)*100+DAY(B1372))&amp;"_"&amp;IF(COUNTIF($B$5:B1372,B1372)&lt;10,"00"&amp;COUNTIF($B$5:B1372,B1372),IF(COUNTIF($B$5:B1372,B1372)&lt;100,"0"&amp;COUNTIF($B$5:B1372,B1372),COUNTIF($B$5:B1372,B1372))))</f>
        <v>VIS_20290807_001</v>
      </c>
      <c r="B1372" s="40">
        <v>47337</v>
      </c>
      <c r="C1372" s="47" t="str">
        <f t="shared" si="42"/>
        <v>Вт</v>
      </c>
      <c r="I1372" s="46"/>
      <c r="J1372" s="39">
        <f t="shared" si="43"/>
        <v>47331</v>
      </c>
      <c r="K1372" t="str">
        <f ca="1">IF(AND(B1372&gt;='План недели'!$B$4,B1372&lt;'План недели'!$D$4,D1372&lt;&gt;"",G1372&lt;&gt;"Отменён"),COUNTIFS($B$5:B1372,"&gt;="&amp;'План недели'!$B$4,$B$5:B1372,"&lt;"&amp;'План недели'!$D$4,$D$5:D1372,"&lt;&gt;",$G$5:G1372,"&lt;&gt;Отменён"),"")</f>
        <v/>
      </c>
    </row>
    <row r="1373" spans="1:11">
      <c r="A1373" t="str">
        <f>IF(B1373="","","VIS_"&amp;(YEAR(B1373)*10000+MONTH(B1373)*100+DAY(B1373))&amp;"_"&amp;IF(COUNTIF($B$5:B1373,B1373)&lt;10,"00"&amp;COUNTIF($B$5:B1373,B1373),IF(COUNTIF($B$5:B1373,B1373)&lt;100,"0"&amp;COUNTIF($B$5:B1373,B1373),COUNTIF($B$5:B1373,B1373))))</f>
        <v>VIS_20290808_001</v>
      </c>
      <c r="B1373" s="40">
        <v>47338</v>
      </c>
      <c r="C1373" s="47" t="str">
        <f t="shared" si="42"/>
        <v>Ср</v>
      </c>
      <c r="I1373" s="46"/>
      <c r="J1373" s="39">
        <f t="shared" si="43"/>
        <v>47338</v>
      </c>
      <c r="K1373" t="str">
        <f ca="1">IF(AND(B1373&gt;='План недели'!$B$4,B1373&lt;'План недели'!$D$4,D1373&lt;&gt;"",G1373&lt;&gt;"Отменён"),COUNTIFS($B$5:B1373,"&gt;="&amp;'План недели'!$B$4,$B$5:B1373,"&lt;"&amp;'План недели'!$D$4,$D$5:D1373,"&lt;&gt;",$G$5:G1373,"&lt;&gt;Отменён"),"")</f>
        <v/>
      </c>
    </row>
    <row r="1374" spans="1:11">
      <c r="A1374" t="str">
        <f>IF(B1374="","","VIS_"&amp;(YEAR(B1374)*10000+MONTH(B1374)*100+DAY(B1374))&amp;"_"&amp;IF(COUNTIF($B$5:B1374,B1374)&lt;10,"00"&amp;COUNTIF($B$5:B1374,B1374),IF(COUNTIF($B$5:B1374,B1374)&lt;100,"0"&amp;COUNTIF($B$5:B1374,B1374),COUNTIF($B$5:B1374,B1374))))</f>
        <v>VIS_20290809_001</v>
      </c>
      <c r="B1374" s="40">
        <v>47339</v>
      </c>
      <c r="C1374" s="47" t="str">
        <f t="shared" si="42"/>
        <v>Чт</v>
      </c>
      <c r="I1374" s="46"/>
      <c r="J1374" s="39">
        <f t="shared" si="43"/>
        <v>47338</v>
      </c>
      <c r="K1374" t="str">
        <f ca="1">IF(AND(B1374&gt;='План недели'!$B$4,B1374&lt;'План недели'!$D$4,D1374&lt;&gt;"",G1374&lt;&gt;"Отменён"),COUNTIFS($B$5:B1374,"&gt;="&amp;'План недели'!$B$4,$B$5:B1374,"&lt;"&amp;'План недели'!$D$4,$D$5:D1374,"&lt;&gt;",$G$5:G1374,"&lt;&gt;Отменён"),"")</f>
        <v/>
      </c>
    </row>
    <row r="1375" spans="1:11">
      <c r="A1375" t="str">
        <f>IF(B1375="","","VIS_"&amp;(YEAR(B1375)*10000+MONTH(B1375)*100+DAY(B1375))&amp;"_"&amp;IF(COUNTIF($B$5:B1375,B1375)&lt;10,"00"&amp;COUNTIF($B$5:B1375,B1375),IF(COUNTIF($B$5:B1375,B1375)&lt;100,"0"&amp;COUNTIF($B$5:B1375,B1375),COUNTIF($B$5:B1375,B1375))))</f>
        <v>VIS_20290810_001</v>
      </c>
      <c r="B1375" s="40">
        <v>47340</v>
      </c>
      <c r="C1375" s="47" t="str">
        <f t="shared" si="42"/>
        <v>Пт</v>
      </c>
      <c r="I1375" s="46"/>
      <c r="J1375" s="39">
        <f t="shared" si="43"/>
        <v>47338</v>
      </c>
      <c r="K1375" t="str">
        <f ca="1">IF(AND(B1375&gt;='План недели'!$B$4,B1375&lt;'План недели'!$D$4,D1375&lt;&gt;"",G1375&lt;&gt;"Отменён"),COUNTIFS($B$5:B1375,"&gt;="&amp;'План недели'!$B$4,$B$5:B1375,"&lt;"&amp;'План недели'!$D$4,$D$5:D1375,"&lt;&gt;",$G$5:G1375,"&lt;&gt;Отменён"),"")</f>
        <v/>
      </c>
    </row>
    <row r="1376" spans="1:11">
      <c r="A1376" t="str">
        <f>IF(B1376="","","VIS_"&amp;(YEAR(B1376)*10000+MONTH(B1376)*100+DAY(B1376))&amp;"_"&amp;IF(COUNTIF($B$5:B1376,B1376)&lt;10,"00"&amp;COUNTIF($B$5:B1376,B1376),IF(COUNTIF($B$5:B1376,B1376)&lt;100,"0"&amp;COUNTIF($B$5:B1376,B1376),COUNTIF($B$5:B1376,B1376))))</f>
        <v>VIS_20290811_001</v>
      </c>
      <c r="B1376" s="42">
        <v>47341</v>
      </c>
      <c r="C1376" s="49" t="str">
        <f t="shared" si="42"/>
        <v>Сб</v>
      </c>
      <c r="I1376" s="46"/>
      <c r="J1376" s="39">
        <f t="shared" si="43"/>
        <v>47338</v>
      </c>
      <c r="K1376" t="str">
        <f ca="1">IF(AND(B1376&gt;='План недели'!$B$4,B1376&lt;'План недели'!$D$4,D1376&lt;&gt;"",G1376&lt;&gt;"Отменён"),COUNTIFS($B$5:B1376,"&gt;="&amp;'План недели'!$B$4,$B$5:B1376,"&lt;"&amp;'План недели'!$D$4,$D$5:D1376,"&lt;&gt;",$G$5:G1376,"&lt;&gt;Отменён"),"")</f>
        <v/>
      </c>
    </row>
    <row r="1377" spans="1:11">
      <c r="A1377" t="str">
        <f>IF(B1377="","","VIS_"&amp;(YEAR(B1377)*10000+MONTH(B1377)*100+DAY(B1377))&amp;"_"&amp;IF(COUNTIF($B$5:B1377,B1377)&lt;10,"00"&amp;COUNTIF($B$5:B1377,B1377),IF(COUNTIF($B$5:B1377,B1377)&lt;100,"0"&amp;COUNTIF($B$5:B1377,B1377),COUNTIF($B$5:B1377,B1377))))</f>
        <v>VIS_20290812_001</v>
      </c>
      <c r="B1377" s="42">
        <v>47342</v>
      </c>
      <c r="C1377" s="49" t="str">
        <f t="shared" si="42"/>
        <v>Вс</v>
      </c>
      <c r="I1377" s="46"/>
      <c r="J1377" s="39">
        <f t="shared" si="43"/>
        <v>47338</v>
      </c>
      <c r="K1377" t="str">
        <f ca="1">IF(AND(B1377&gt;='План недели'!$B$4,B1377&lt;'План недели'!$D$4,D1377&lt;&gt;"",G1377&lt;&gt;"Отменён"),COUNTIFS($B$5:B1377,"&gt;="&amp;'План недели'!$B$4,$B$5:B1377,"&lt;"&amp;'План недели'!$D$4,$D$5:D1377,"&lt;&gt;",$G$5:G1377,"&lt;&gt;Отменён"),"")</f>
        <v/>
      </c>
    </row>
    <row r="1378" spans="1:11">
      <c r="A1378" t="str">
        <f>IF(B1378="","","VIS_"&amp;(YEAR(B1378)*10000+MONTH(B1378)*100+DAY(B1378))&amp;"_"&amp;IF(COUNTIF($B$5:B1378,B1378)&lt;10,"00"&amp;COUNTIF($B$5:B1378,B1378),IF(COUNTIF($B$5:B1378,B1378)&lt;100,"0"&amp;COUNTIF($B$5:B1378,B1378),COUNTIF($B$5:B1378,B1378))))</f>
        <v>VIS_20290813_001</v>
      </c>
      <c r="B1378" s="40">
        <v>47343</v>
      </c>
      <c r="C1378" s="47" t="str">
        <f t="shared" si="42"/>
        <v>Пн</v>
      </c>
      <c r="I1378" s="46"/>
      <c r="J1378" s="39">
        <f t="shared" si="43"/>
        <v>47338</v>
      </c>
      <c r="K1378" t="str">
        <f ca="1">IF(AND(B1378&gt;='План недели'!$B$4,B1378&lt;'План недели'!$D$4,D1378&lt;&gt;"",G1378&lt;&gt;"Отменён"),COUNTIFS($B$5:B1378,"&gt;="&amp;'План недели'!$B$4,$B$5:B1378,"&lt;"&amp;'План недели'!$D$4,$D$5:D1378,"&lt;&gt;",$G$5:G1378,"&lt;&gt;Отменён"),"")</f>
        <v/>
      </c>
    </row>
    <row r="1379" spans="1:11">
      <c r="A1379" t="str">
        <f>IF(B1379="","","VIS_"&amp;(YEAR(B1379)*10000+MONTH(B1379)*100+DAY(B1379))&amp;"_"&amp;IF(COUNTIF($B$5:B1379,B1379)&lt;10,"00"&amp;COUNTIF($B$5:B1379,B1379),IF(COUNTIF($B$5:B1379,B1379)&lt;100,"0"&amp;COUNTIF($B$5:B1379,B1379),COUNTIF($B$5:B1379,B1379))))</f>
        <v>VIS_20290814_001</v>
      </c>
      <c r="B1379" s="40">
        <v>47344</v>
      </c>
      <c r="C1379" s="47" t="str">
        <f t="shared" si="42"/>
        <v>Вт</v>
      </c>
      <c r="I1379" s="46"/>
      <c r="J1379" s="39">
        <f t="shared" si="43"/>
        <v>47338</v>
      </c>
      <c r="K1379" t="str">
        <f ca="1">IF(AND(B1379&gt;='План недели'!$B$4,B1379&lt;'План недели'!$D$4,D1379&lt;&gt;"",G1379&lt;&gt;"Отменён"),COUNTIFS($B$5:B1379,"&gt;="&amp;'План недели'!$B$4,$B$5:B1379,"&lt;"&amp;'План недели'!$D$4,$D$5:D1379,"&lt;&gt;",$G$5:G1379,"&lt;&gt;Отменён"),"")</f>
        <v/>
      </c>
    </row>
    <row r="1380" spans="1:11">
      <c r="A1380" t="str">
        <f>IF(B1380="","","VIS_"&amp;(YEAR(B1380)*10000+MONTH(B1380)*100+DAY(B1380))&amp;"_"&amp;IF(COUNTIF($B$5:B1380,B1380)&lt;10,"00"&amp;COUNTIF($B$5:B1380,B1380),IF(COUNTIF($B$5:B1380,B1380)&lt;100,"0"&amp;COUNTIF($B$5:B1380,B1380),COUNTIF($B$5:B1380,B1380))))</f>
        <v>VIS_20290815_001</v>
      </c>
      <c r="B1380" s="40">
        <v>47345</v>
      </c>
      <c r="C1380" s="47" t="str">
        <f t="shared" si="42"/>
        <v>Ср</v>
      </c>
      <c r="I1380" s="46"/>
      <c r="J1380" s="39">
        <f t="shared" si="43"/>
        <v>47345</v>
      </c>
      <c r="K1380" t="str">
        <f ca="1">IF(AND(B1380&gt;='План недели'!$B$4,B1380&lt;'План недели'!$D$4,D1380&lt;&gt;"",G1380&lt;&gt;"Отменён"),COUNTIFS($B$5:B1380,"&gt;="&amp;'План недели'!$B$4,$B$5:B1380,"&lt;"&amp;'План недели'!$D$4,$D$5:D1380,"&lt;&gt;",$G$5:G1380,"&lt;&gt;Отменён"),"")</f>
        <v/>
      </c>
    </row>
    <row r="1381" spans="1:11">
      <c r="A1381" t="str">
        <f>IF(B1381="","","VIS_"&amp;(YEAR(B1381)*10000+MONTH(B1381)*100+DAY(B1381))&amp;"_"&amp;IF(COUNTIF($B$5:B1381,B1381)&lt;10,"00"&amp;COUNTIF($B$5:B1381,B1381),IF(COUNTIF($B$5:B1381,B1381)&lt;100,"0"&amp;COUNTIF($B$5:B1381,B1381),COUNTIF($B$5:B1381,B1381))))</f>
        <v>VIS_20290816_001</v>
      </c>
      <c r="B1381" s="40">
        <v>47346</v>
      </c>
      <c r="C1381" s="47" t="str">
        <f t="shared" si="42"/>
        <v>Чт</v>
      </c>
      <c r="I1381" s="46"/>
      <c r="J1381" s="39">
        <f t="shared" si="43"/>
        <v>47345</v>
      </c>
      <c r="K1381" t="str">
        <f ca="1">IF(AND(B1381&gt;='План недели'!$B$4,B1381&lt;'План недели'!$D$4,D1381&lt;&gt;"",G1381&lt;&gt;"Отменён"),COUNTIFS($B$5:B1381,"&gt;="&amp;'План недели'!$B$4,$B$5:B1381,"&lt;"&amp;'План недели'!$D$4,$D$5:D1381,"&lt;&gt;",$G$5:G1381,"&lt;&gt;Отменён"),"")</f>
        <v/>
      </c>
    </row>
    <row r="1382" spans="1:11">
      <c r="A1382" t="str">
        <f>IF(B1382="","","VIS_"&amp;(YEAR(B1382)*10000+MONTH(B1382)*100+DAY(B1382))&amp;"_"&amp;IF(COUNTIF($B$5:B1382,B1382)&lt;10,"00"&amp;COUNTIF($B$5:B1382,B1382),IF(COUNTIF($B$5:B1382,B1382)&lt;100,"0"&amp;COUNTIF($B$5:B1382,B1382),COUNTIF($B$5:B1382,B1382))))</f>
        <v>VIS_20290817_001</v>
      </c>
      <c r="B1382" s="40">
        <v>47347</v>
      </c>
      <c r="C1382" s="47" t="str">
        <f t="shared" si="42"/>
        <v>Пт</v>
      </c>
      <c r="I1382" s="46"/>
      <c r="J1382" s="39">
        <f t="shared" si="43"/>
        <v>47345</v>
      </c>
      <c r="K1382" t="str">
        <f ca="1">IF(AND(B1382&gt;='План недели'!$B$4,B1382&lt;'План недели'!$D$4,D1382&lt;&gt;"",G1382&lt;&gt;"Отменён"),COUNTIFS($B$5:B1382,"&gt;="&amp;'План недели'!$B$4,$B$5:B1382,"&lt;"&amp;'План недели'!$D$4,$D$5:D1382,"&lt;&gt;",$G$5:G1382,"&lt;&gt;Отменён"),"")</f>
        <v/>
      </c>
    </row>
    <row r="1383" spans="1:11">
      <c r="A1383" t="str">
        <f>IF(B1383="","","VIS_"&amp;(YEAR(B1383)*10000+MONTH(B1383)*100+DAY(B1383))&amp;"_"&amp;IF(COUNTIF($B$5:B1383,B1383)&lt;10,"00"&amp;COUNTIF($B$5:B1383,B1383),IF(COUNTIF($B$5:B1383,B1383)&lt;100,"0"&amp;COUNTIF($B$5:B1383,B1383),COUNTIF($B$5:B1383,B1383))))</f>
        <v>VIS_20290818_001</v>
      </c>
      <c r="B1383" s="42">
        <v>47348</v>
      </c>
      <c r="C1383" s="49" t="str">
        <f t="shared" si="42"/>
        <v>Сб</v>
      </c>
      <c r="I1383" s="46"/>
      <c r="J1383" s="39">
        <f t="shared" si="43"/>
        <v>47345</v>
      </c>
      <c r="K1383" t="str">
        <f ca="1">IF(AND(B1383&gt;='План недели'!$B$4,B1383&lt;'План недели'!$D$4,D1383&lt;&gt;"",G1383&lt;&gt;"Отменён"),COUNTIFS($B$5:B1383,"&gt;="&amp;'План недели'!$B$4,$B$5:B1383,"&lt;"&amp;'План недели'!$D$4,$D$5:D1383,"&lt;&gt;",$G$5:G1383,"&lt;&gt;Отменён"),"")</f>
        <v/>
      </c>
    </row>
    <row r="1384" spans="1:11">
      <c r="A1384" t="str">
        <f>IF(B1384="","","VIS_"&amp;(YEAR(B1384)*10000+MONTH(B1384)*100+DAY(B1384))&amp;"_"&amp;IF(COUNTIF($B$5:B1384,B1384)&lt;10,"00"&amp;COUNTIF($B$5:B1384,B1384),IF(COUNTIF($B$5:B1384,B1384)&lt;100,"0"&amp;COUNTIF($B$5:B1384,B1384),COUNTIF($B$5:B1384,B1384))))</f>
        <v>VIS_20290819_001</v>
      </c>
      <c r="B1384" s="42">
        <v>47349</v>
      </c>
      <c r="C1384" s="49" t="str">
        <f t="shared" si="42"/>
        <v>Вс</v>
      </c>
      <c r="I1384" s="46"/>
      <c r="J1384" s="39">
        <f t="shared" si="43"/>
        <v>47345</v>
      </c>
      <c r="K1384" t="str">
        <f ca="1">IF(AND(B1384&gt;='План недели'!$B$4,B1384&lt;'План недели'!$D$4,D1384&lt;&gt;"",G1384&lt;&gt;"Отменён"),COUNTIFS($B$5:B1384,"&gt;="&amp;'План недели'!$B$4,$B$5:B1384,"&lt;"&amp;'План недели'!$D$4,$D$5:D1384,"&lt;&gt;",$G$5:G1384,"&lt;&gt;Отменён"),"")</f>
        <v/>
      </c>
    </row>
    <row r="1385" spans="1:11">
      <c r="A1385" t="str">
        <f>IF(B1385="","","VIS_"&amp;(YEAR(B1385)*10000+MONTH(B1385)*100+DAY(B1385))&amp;"_"&amp;IF(COUNTIF($B$5:B1385,B1385)&lt;10,"00"&amp;COUNTIF($B$5:B1385,B1385),IF(COUNTIF($B$5:B1385,B1385)&lt;100,"0"&amp;COUNTIF($B$5:B1385,B1385),COUNTIF($B$5:B1385,B1385))))</f>
        <v>VIS_20290820_001</v>
      </c>
      <c r="B1385" s="40">
        <v>47350</v>
      </c>
      <c r="C1385" s="47" t="str">
        <f t="shared" si="42"/>
        <v>Пн</v>
      </c>
      <c r="I1385" s="46"/>
      <c r="J1385" s="39">
        <f t="shared" si="43"/>
        <v>47345</v>
      </c>
      <c r="K1385" t="str">
        <f ca="1">IF(AND(B1385&gt;='План недели'!$B$4,B1385&lt;'План недели'!$D$4,D1385&lt;&gt;"",G1385&lt;&gt;"Отменён"),COUNTIFS($B$5:B1385,"&gt;="&amp;'План недели'!$B$4,$B$5:B1385,"&lt;"&amp;'План недели'!$D$4,$D$5:D1385,"&lt;&gt;",$G$5:G1385,"&lt;&gt;Отменён"),"")</f>
        <v/>
      </c>
    </row>
    <row r="1386" spans="1:11">
      <c r="A1386" t="str">
        <f>IF(B1386="","","VIS_"&amp;(YEAR(B1386)*10000+MONTH(B1386)*100+DAY(B1386))&amp;"_"&amp;IF(COUNTIF($B$5:B1386,B1386)&lt;10,"00"&amp;COUNTIF($B$5:B1386,B1386),IF(COUNTIF($B$5:B1386,B1386)&lt;100,"0"&amp;COUNTIF($B$5:B1386,B1386),COUNTIF($B$5:B1386,B1386))))</f>
        <v>VIS_20290821_001</v>
      </c>
      <c r="B1386" s="40">
        <v>47351</v>
      </c>
      <c r="C1386" s="47" t="str">
        <f t="shared" si="42"/>
        <v>Вт</v>
      </c>
      <c r="I1386" s="46"/>
      <c r="J1386" s="39">
        <f t="shared" si="43"/>
        <v>47345</v>
      </c>
      <c r="K1386" t="str">
        <f ca="1">IF(AND(B1386&gt;='План недели'!$B$4,B1386&lt;'План недели'!$D$4,D1386&lt;&gt;"",G1386&lt;&gt;"Отменён"),COUNTIFS($B$5:B1386,"&gt;="&amp;'План недели'!$B$4,$B$5:B1386,"&lt;"&amp;'План недели'!$D$4,$D$5:D1386,"&lt;&gt;",$G$5:G1386,"&lt;&gt;Отменён"),"")</f>
        <v/>
      </c>
    </row>
    <row r="1387" spans="1:11">
      <c r="A1387" t="str">
        <f>IF(B1387="","","VIS_"&amp;(YEAR(B1387)*10000+MONTH(B1387)*100+DAY(B1387))&amp;"_"&amp;IF(COUNTIF($B$5:B1387,B1387)&lt;10,"00"&amp;COUNTIF($B$5:B1387,B1387),IF(COUNTIF($B$5:B1387,B1387)&lt;100,"0"&amp;COUNTIF($B$5:B1387,B1387),COUNTIF($B$5:B1387,B1387))))</f>
        <v>VIS_20290822_001</v>
      </c>
      <c r="B1387" s="40">
        <v>47352</v>
      </c>
      <c r="C1387" s="47" t="str">
        <f t="shared" si="42"/>
        <v>Ср</v>
      </c>
      <c r="I1387" s="46"/>
      <c r="J1387" s="39">
        <f t="shared" si="43"/>
        <v>47352</v>
      </c>
      <c r="K1387" t="str">
        <f ca="1">IF(AND(B1387&gt;='План недели'!$B$4,B1387&lt;'План недели'!$D$4,D1387&lt;&gt;"",G1387&lt;&gt;"Отменён"),COUNTIFS($B$5:B1387,"&gt;="&amp;'План недели'!$B$4,$B$5:B1387,"&lt;"&amp;'План недели'!$D$4,$D$5:D1387,"&lt;&gt;",$G$5:G1387,"&lt;&gt;Отменён"),"")</f>
        <v/>
      </c>
    </row>
    <row r="1388" spans="1:11">
      <c r="A1388" t="str">
        <f>IF(B1388="","","VIS_"&amp;(YEAR(B1388)*10000+MONTH(B1388)*100+DAY(B1388))&amp;"_"&amp;IF(COUNTIF($B$5:B1388,B1388)&lt;10,"00"&amp;COUNTIF($B$5:B1388,B1388),IF(COUNTIF($B$5:B1388,B1388)&lt;100,"0"&amp;COUNTIF($B$5:B1388,B1388),COUNTIF($B$5:B1388,B1388))))</f>
        <v>VIS_20290823_001</v>
      </c>
      <c r="B1388" s="40">
        <v>47353</v>
      </c>
      <c r="C1388" s="47" t="str">
        <f t="shared" si="42"/>
        <v>Чт</v>
      </c>
      <c r="I1388" s="46"/>
      <c r="J1388" s="39">
        <f t="shared" si="43"/>
        <v>47352</v>
      </c>
      <c r="K1388" t="str">
        <f ca="1">IF(AND(B1388&gt;='План недели'!$B$4,B1388&lt;'План недели'!$D$4,D1388&lt;&gt;"",G1388&lt;&gt;"Отменён"),COUNTIFS($B$5:B1388,"&gt;="&amp;'План недели'!$B$4,$B$5:B1388,"&lt;"&amp;'План недели'!$D$4,$D$5:D1388,"&lt;&gt;",$G$5:G1388,"&lt;&gt;Отменён"),"")</f>
        <v/>
      </c>
    </row>
    <row r="1389" spans="1:11">
      <c r="A1389" t="str">
        <f>IF(B1389="","","VIS_"&amp;(YEAR(B1389)*10000+MONTH(B1389)*100+DAY(B1389))&amp;"_"&amp;IF(COUNTIF($B$5:B1389,B1389)&lt;10,"00"&amp;COUNTIF($B$5:B1389,B1389),IF(COUNTIF($B$5:B1389,B1389)&lt;100,"0"&amp;COUNTIF($B$5:B1389,B1389),COUNTIF($B$5:B1389,B1389))))</f>
        <v>VIS_20290824_001</v>
      </c>
      <c r="B1389" s="40">
        <v>47354</v>
      </c>
      <c r="C1389" s="47" t="str">
        <f t="shared" si="42"/>
        <v>Пт</v>
      </c>
      <c r="I1389" s="46"/>
      <c r="J1389" s="39">
        <f t="shared" si="43"/>
        <v>47352</v>
      </c>
      <c r="K1389" t="str">
        <f ca="1">IF(AND(B1389&gt;='План недели'!$B$4,B1389&lt;'План недели'!$D$4,D1389&lt;&gt;"",G1389&lt;&gt;"Отменён"),COUNTIFS($B$5:B1389,"&gt;="&amp;'План недели'!$B$4,$B$5:B1389,"&lt;"&amp;'План недели'!$D$4,$D$5:D1389,"&lt;&gt;",$G$5:G1389,"&lt;&gt;Отменён"),"")</f>
        <v/>
      </c>
    </row>
    <row r="1390" spans="1:11">
      <c r="A1390" t="str">
        <f>IF(B1390="","","VIS_"&amp;(YEAR(B1390)*10000+MONTH(B1390)*100+DAY(B1390))&amp;"_"&amp;IF(COUNTIF($B$5:B1390,B1390)&lt;10,"00"&amp;COUNTIF($B$5:B1390,B1390),IF(COUNTIF($B$5:B1390,B1390)&lt;100,"0"&amp;COUNTIF($B$5:B1390,B1390),COUNTIF($B$5:B1390,B1390))))</f>
        <v>VIS_20290825_001</v>
      </c>
      <c r="B1390" s="42">
        <v>47355</v>
      </c>
      <c r="C1390" s="49" t="str">
        <f t="shared" si="42"/>
        <v>Сб</v>
      </c>
      <c r="I1390" s="46"/>
      <c r="J1390" s="39">
        <f t="shared" si="43"/>
        <v>47352</v>
      </c>
      <c r="K1390" t="str">
        <f ca="1">IF(AND(B1390&gt;='План недели'!$B$4,B1390&lt;'План недели'!$D$4,D1390&lt;&gt;"",G1390&lt;&gt;"Отменён"),COUNTIFS($B$5:B1390,"&gt;="&amp;'План недели'!$B$4,$B$5:B1390,"&lt;"&amp;'План недели'!$D$4,$D$5:D1390,"&lt;&gt;",$G$5:G1390,"&lt;&gt;Отменён"),"")</f>
        <v/>
      </c>
    </row>
    <row r="1391" spans="1:11">
      <c r="A1391" t="str">
        <f>IF(B1391="","","VIS_"&amp;(YEAR(B1391)*10000+MONTH(B1391)*100+DAY(B1391))&amp;"_"&amp;IF(COUNTIF($B$5:B1391,B1391)&lt;10,"00"&amp;COUNTIF($B$5:B1391,B1391),IF(COUNTIF($B$5:B1391,B1391)&lt;100,"0"&amp;COUNTIF($B$5:B1391,B1391),COUNTIF($B$5:B1391,B1391))))</f>
        <v>VIS_20290826_001</v>
      </c>
      <c r="B1391" s="42">
        <v>47356</v>
      </c>
      <c r="C1391" s="49" t="str">
        <f t="shared" si="42"/>
        <v>Вс</v>
      </c>
      <c r="I1391" s="46"/>
      <c r="J1391" s="39">
        <f t="shared" si="43"/>
        <v>47352</v>
      </c>
      <c r="K1391" t="str">
        <f ca="1">IF(AND(B1391&gt;='План недели'!$B$4,B1391&lt;'План недели'!$D$4,D1391&lt;&gt;"",G1391&lt;&gt;"Отменён"),COUNTIFS($B$5:B1391,"&gt;="&amp;'План недели'!$B$4,$B$5:B1391,"&lt;"&amp;'План недели'!$D$4,$D$5:D1391,"&lt;&gt;",$G$5:G1391,"&lt;&gt;Отменён"),"")</f>
        <v/>
      </c>
    </row>
    <row r="1392" spans="1:11">
      <c r="A1392" t="str">
        <f>IF(B1392="","","VIS_"&amp;(YEAR(B1392)*10000+MONTH(B1392)*100+DAY(B1392))&amp;"_"&amp;IF(COUNTIF($B$5:B1392,B1392)&lt;10,"00"&amp;COUNTIF($B$5:B1392,B1392),IF(COUNTIF($B$5:B1392,B1392)&lt;100,"0"&amp;COUNTIF($B$5:B1392,B1392),COUNTIF($B$5:B1392,B1392))))</f>
        <v>VIS_20290827_001</v>
      </c>
      <c r="B1392" s="40">
        <v>47357</v>
      </c>
      <c r="C1392" s="47" t="str">
        <f t="shared" si="42"/>
        <v>Пн</v>
      </c>
      <c r="I1392" s="46"/>
      <c r="J1392" s="39">
        <f t="shared" si="43"/>
        <v>47352</v>
      </c>
      <c r="K1392" t="str">
        <f ca="1">IF(AND(B1392&gt;='План недели'!$B$4,B1392&lt;'План недели'!$D$4,D1392&lt;&gt;"",G1392&lt;&gt;"Отменён"),COUNTIFS($B$5:B1392,"&gt;="&amp;'План недели'!$B$4,$B$5:B1392,"&lt;"&amp;'План недели'!$D$4,$D$5:D1392,"&lt;&gt;",$G$5:G1392,"&lt;&gt;Отменён"),"")</f>
        <v/>
      </c>
    </row>
    <row r="1393" spans="1:11">
      <c r="A1393" t="str">
        <f>IF(B1393="","","VIS_"&amp;(YEAR(B1393)*10000+MONTH(B1393)*100+DAY(B1393))&amp;"_"&amp;IF(COUNTIF($B$5:B1393,B1393)&lt;10,"00"&amp;COUNTIF($B$5:B1393,B1393),IF(COUNTIF($B$5:B1393,B1393)&lt;100,"0"&amp;COUNTIF($B$5:B1393,B1393),COUNTIF($B$5:B1393,B1393))))</f>
        <v>VIS_20290828_001</v>
      </c>
      <c r="B1393" s="40">
        <v>47358</v>
      </c>
      <c r="C1393" s="47" t="str">
        <f t="shared" si="42"/>
        <v>Вт</v>
      </c>
      <c r="I1393" s="46"/>
      <c r="J1393" s="39">
        <f t="shared" si="43"/>
        <v>47352</v>
      </c>
      <c r="K1393" t="str">
        <f ca="1">IF(AND(B1393&gt;='План недели'!$B$4,B1393&lt;'План недели'!$D$4,D1393&lt;&gt;"",G1393&lt;&gt;"Отменён"),COUNTIFS($B$5:B1393,"&gt;="&amp;'План недели'!$B$4,$B$5:B1393,"&lt;"&amp;'План недели'!$D$4,$D$5:D1393,"&lt;&gt;",$G$5:G1393,"&lt;&gt;Отменён"),"")</f>
        <v/>
      </c>
    </row>
    <row r="1394" spans="1:11">
      <c r="A1394" t="str">
        <f>IF(B1394="","","VIS_"&amp;(YEAR(B1394)*10000+MONTH(B1394)*100+DAY(B1394))&amp;"_"&amp;IF(COUNTIF($B$5:B1394,B1394)&lt;10,"00"&amp;COUNTIF($B$5:B1394,B1394),IF(COUNTIF($B$5:B1394,B1394)&lt;100,"0"&amp;COUNTIF($B$5:B1394,B1394),COUNTIF($B$5:B1394,B1394))))</f>
        <v>VIS_20290829_001</v>
      </c>
      <c r="B1394" s="40">
        <v>47359</v>
      </c>
      <c r="C1394" s="47" t="str">
        <f t="shared" si="42"/>
        <v>Ср</v>
      </c>
      <c r="I1394" s="46"/>
      <c r="J1394" s="39">
        <f t="shared" si="43"/>
        <v>47359</v>
      </c>
      <c r="K1394" t="str">
        <f ca="1">IF(AND(B1394&gt;='План недели'!$B$4,B1394&lt;'План недели'!$D$4,D1394&lt;&gt;"",G1394&lt;&gt;"Отменён"),COUNTIFS($B$5:B1394,"&gt;="&amp;'План недели'!$B$4,$B$5:B1394,"&lt;"&amp;'План недели'!$D$4,$D$5:D1394,"&lt;&gt;",$G$5:G1394,"&lt;&gt;Отменён"),"")</f>
        <v/>
      </c>
    </row>
    <row r="1395" spans="1:11">
      <c r="A1395" t="str">
        <f>IF(B1395="","","VIS_"&amp;(YEAR(B1395)*10000+MONTH(B1395)*100+DAY(B1395))&amp;"_"&amp;IF(COUNTIF($B$5:B1395,B1395)&lt;10,"00"&amp;COUNTIF($B$5:B1395,B1395),IF(COUNTIF($B$5:B1395,B1395)&lt;100,"0"&amp;COUNTIF($B$5:B1395,B1395),COUNTIF($B$5:B1395,B1395))))</f>
        <v>VIS_20290830_001</v>
      </c>
      <c r="B1395" s="40">
        <v>47360</v>
      </c>
      <c r="C1395" s="47" t="str">
        <f t="shared" si="42"/>
        <v>Чт</v>
      </c>
      <c r="I1395" s="46"/>
      <c r="J1395" s="39">
        <f t="shared" si="43"/>
        <v>47359</v>
      </c>
      <c r="K1395" t="str">
        <f ca="1">IF(AND(B1395&gt;='План недели'!$B$4,B1395&lt;'План недели'!$D$4,D1395&lt;&gt;"",G1395&lt;&gt;"Отменён"),COUNTIFS($B$5:B1395,"&gt;="&amp;'План недели'!$B$4,$B$5:B1395,"&lt;"&amp;'План недели'!$D$4,$D$5:D1395,"&lt;&gt;",$G$5:G1395,"&lt;&gt;Отменён"),"")</f>
        <v/>
      </c>
    </row>
    <row r="1396" spans="1:11">
      <c r="A1396" t="str">
        <f>IF(B1396="","","VIS_"&amp;(YEAR(B1396)*10000+MONTH(B1396)*100+DAY(B1396))&amp;"_"&amp;IF(COUNTIF($B$5:B1396,B1396)&lt;10,"00"&amp;COUNTIF($B$5:B1396,B1396),IF(COUNTIF($B$5:B1396,B1396)&lt;100,"0"&amp;COUNTIF($B$5:B1396,B1396),COUNTIF($B$5:B1396,B1396))))</f>
        <v>VIS_20290831_001</v>
      </c>
      <c r="B1396" s="40">
        <v>47361</v>
      </c>
      <c r="C1396" s="47" t="str">
        <f t="shared" si="42"/>
        <v>Пт</v>
      </c>
      <c r="I1396" s="46"/>
      <c r="J1396" s="39">
        <f t="shared" si="43"/>
        <v>47359</v>
      </c>
      <c r="K1396" t="str">
        <f ca="1">IF(AND(B1396&gt;='План недели'!$B$4,B1396&lt;'План недели'!$D$4,D1396&lt;&gt;"",G1396&lt;&gt;"Отменён"),COUNTIFS($B$5:B1396,"&gt;="&amp;'План недели'!$B$4,$B$5:B1396,"&lt;"&amp;'План недели'!$D$4,$D$5:D1396,"&lt;&gt;",$G$5:G1396,"&lt;&gt;Отменён"),"")</f>
        <v/>
      </c>
    </row>
    <row r="1397" spans="1:11">
      <c r="A1397" t="str">
        <f>IF(B1397="","","VIS_"&amp;(YEAR(B1397)*10000+MONTH(B1397)*100+DAY(B1397))&amp;"_"&amp;IF(COUNTIF($B$5:B1397,B1397)&lt;10,"00"&amp;COUNTIF($B$5:B1397,B1397),IF(COUNTIF($B$5:B1397,B1397)&lt;100,"0"&amp;COUNTIF($B$5:B1397,B1397),COUNTIF($B$5:B1397,B1397))))</f>
        <v>VIS_20290901_001</v>
      </c>
      <c r="B1397" s="42">
        <v>47362</v>
      </c>
      <c r="C1397" s="49" t="str">
        <f t="shared" si="42"/>
        <v>Сб</v>
      </c>
      <c r="I1397" s="46"/>
      <c r="J1397" s="39">
        <f t="shared" si="43"/>
        <v>47359</v>
      </c>
      <c r="K1397" t="str">
        <f ca="1">IF(AND(B1397&gt;='План недели'!$B$4,B1397&lt;'План недели'!$D$4,D1397&lt;&gt;"",G1397&lt;&gt;"Отменён"),COUNTIFS($B$5:B1397,"&gt;="&amp;'План недели'!$B$4,$B$5:B1397,"&lt;"&amp;'План недели'!$D$4,$D$5:D1397,"&lt;&gt;",$G$5:G1397,"&lt;&gt;Отменён"),"")</f>
        <v/>
      </c>
    </row>
    <row r="1398" spans="1:11">
      <c r="A1398" t="str">
        <f>IF(B1398="","","VIS_"&amp;(YEAR(B1398)*10000+MONTH(B1398)*100+DAY(B1398))&amp;"_"&amp;IF(COUNTIF($B$5:B1398,B1398)&lt;10,"00"&amp;COUNTIF($B$5:B1398,B1398),IF(COUNTIF($B$5:B1398,B1398)&lt;100,"0"&amp;COUNTIF($B$5:B1398,B1398),COUNTIF($B$5:B1398,B1398))))</f>
        <v>VIS_20290902_001</v>
      </c>
      <c r="B1398" s="42">
        <v>47363</v>
      </c>
      <c r="C1398" s="49" t="str">
        <f t="shared" si="42"/>
        <v>Вс</v>
      </c>
      <c r="I1398" s="46"/>
      <c r="J1398" s="39">
        <f t="shared" si="43"/>
        <v>47359</v>
      </c>
      <c r="K1398" t="str">
        <f ca="1">IF(AND(B1398&gt;='План недели'!$B$4,B1398&lt;'План недели'!$D$4,D1398&lt;&gt;"",G1398&lt;&gt;"Отменён"),COUNTIFS($B$5:B1398,"&gt;="&amp;'План недели'!$B$4,$B$5:B1398,"&lt;"&amp;'План недели'!$D$4,$D$5:D1398,"&lt;&gt;",$G$5:G1398,"&lt;&gt;Отменён"),"")</f>
        <v/>
      </c>
    </row>
    <row r="1399" spans="1:11">
      <c r="A1399" t="str">
        <f>IF(B1399="","","VIS_"&amp;(YEAR(B1399)*10000+MONTH(B1399)*100+DAY(B1399))&amp;"_"&amp;IF(COUNTIF($B$5:B1399,B1399)&lt;10,"00"&amp;COUNTIF($B$5:B1399,B1399),IF(COUNTIF($B$5:B1399,B1399)&lt;100,"0"&amp;COUNTIF($B$5:B1399,B1399),COUNTIF($B$5:B1399,B1399))))</f>
        <v>VIS_20290903_001</v>
      </c>
      <c r="B1399" s="40">
        <v>47364</v>
      </c>
      <c r="C1399" s="47" t="str">
        <f t="shared" si="42"/>
        <v>Пн</v>
      </c>
      <c r="I1399" s="46"/>
      <c r="J1399" s="39">
        <f t="shared" si="43"/>
        <v>47359</v>
      </c>
      <c r="K1399" t="str">
        <f ca="1">IF(AND(B1399&gt;='План недели'!$B$4,B1399&lt;'План недели'!$D$4,D1399&lt;&gt;"",G1399&lt;&gt;"Отменён"),COUNTIFS($B$5:B1399,"&gt;="&amp;'План недели'!$B$4,$B$5:B1399,"&lt;"&amp;'План недели'!$D$4,$D$5:D1399,"&lt;&gt;",$G$5:G1399,"&lt;&gt;Отменён"),"")</f>
        <v/>
      </c>
    </row>
    <row r="1400" spans="1:11">
      <c r="A1400" t="str">
        <f>IF(B1400="","","VIS_"&amp;(YEAR(B1400)*10000+MONTH(B1400)*100+DAY(B1400))&amp;"_"&amp;IF(COUNTIF($B$5:B1400,B1400)&lt;10,"00"&amp;COUNTIF($B$5:B1400,B1400),IF(COUNTIF($B$5:B1400,B1400)&lt;100,"0"&amp;COUNTIF($B$5:B1400,B1400),COUNTIF($B$5:B1400,B1400))))</f>
        <v>VIS_20290904_001</v>
      </c>
      <c r="B1400" s="40">
        <v>47365</v>
      </c>
      <c r="C1400" s="47" t="str">
        <f t="shared" si="42"/>
        <v>Вт</v>
      </c>
      <c r="I1400" s="46"/>
      <c r="J1400" s="39">
        <f t="shared" si="43"/>
        <v>47359</v>
      </c>
      <c r="K1400" t="str">
        <f ca="1">IF(AND(B1400&gt;='План недели'!$B$4,B1400&lt;'План недели'!$D$4,D1400&lt;&gt;"",G1400&lt;&gt;"Отменён"),COUNTIFS($B$5:B1400,"&gt;="&amp;'План недели'!$B$4,$B$5:B1400,"&lt;"&amp;'План недели'!$D$4,$D$5:D1400,"&lt;&gt;",$G$5:G1400,"&lt;&gt;Отменён"),"")</f>
        <v/>
      </c>
    </row>
    <row r="1401" spans="1:11">
      <c r="A1401" t="str">
        <f>IF(B1401="","","VIS_"&amp;(YEAR(B1401)*10000+MONTH(B1401)*100+DAY(B1401))&amp;"_"&amp;IF(COUNTIF($B$5:B1401,B1401)&lt;10,"00"&amp;COUNTIF($B$5:B1401,B1401),IF(COUNTIF($B$5:B1401,B1401)&lt;100,"0"&amp;COUNTIF($B$5:B1401,B1401),COUNTIF($B$5:B1401,B1401))))</f>
        <v>VIS_20290905_001</v>
      </c>
      <c r="B1401" s="40">
        <v>47366</v>
      </c>
      <c r="C1401" s="47" t="str">
        <f t="shared" si="42"/>
        <v>Ср</v>
      </c>
      <c r="I1401" s="46"/>
      <c r="J1401" s="39">
        <f t="shared" si="43"/>
        <v>47366</v>
      </c>
      <c r="K1401" t="str">
        <f ca="1">IF(AND(B1401&gt;='План недели'!$B$4,B1401&lt;'План недели'!$D$4,D1401&lt;&gt;"",G1401&lt;&gt;"Отменён"),COUNTIFS($B$5:B1401,"&gt;="&amp;'План недели'!$B$4,$B$5:B1401,"&lt;"&amp;'План недели'!$D$4,$D$5:D1401,"&lt;&gt;",$G$5:G1401,"&lt;&gt;Отменён"),"")</f>
        <v/>
      </c>
    </row>
    <row r="1402" spans="1:11">
      <c r="A1402" t="str">
        <f>IF(B1402="","","VIS_"&amp;(YEAR(B1402)*10000+MONTH(B1402)*100+DAY(B1402))&amp;"_"&amp;IF(COUNTIF($B$5:B1402,B1402)&lt;10,"00"&amp;COUNTIF($B$5:B1402,B1402),IF(COUNTIF($B$5:B1402,B1402)&lt;100,"0"&amp;COUNTIF($B$5:B1402,B1402),COUNTIF($B$5:B1402,B1402))))</f>
        <v>VIS_20290906_001</v>
      </c>
      <c r="B1402" s="40">
        <v>47367</v>
      </c>
      <c r="C1402" s="47" t="str">
        <f t="shared" si="42"/>
        <v>Чт</v>
      </c>
      <c r="I1402" s="46"/>
      <c r="J1402" s="39">
        <f t="shared" si="43"/>
        <v>47366</v>
      </c>
      <c r="K1402" t="str">
        <f ca="1">IF(AND(B1402&gt;='План недели'!$B$4,B1402&lt;'План недели'!$D$4,D1402&lt;&gt;"",G1402&lt;&gt;"Отменён"),COUNTIFS($B$5:B1402,"&gt;="&amp;'План недели'!$B$4,$B$5:B1402,"&lt;"&amp;'План недели'!$D$4,$D$5:D1402,"&lt;&gt;",$G$5:G1402,"&lt;&gt;Отменён"),"")</f>
        <v/>
      </c>
    </row>
    <row r="1403" spans="1:11">
      <c r="A1403" t="str">
        <f>IF(B1403="","","VIS_"&amp;(YEAR(B1403)*10000+MONTH(B1403)*100+DAY(B1403))&amp;"_"&amp;IF(COUNTIF($B$5:B1403,B1403)&lt;10,"00"&amp;COUNTIF($B$5:B1403,B1403),IF(COUNTIF($B$5:B1403,B1403)&lt;100,"0"&amp;COUNTIF($B$5:B1403,B1403),COUNTIF($B$5:B1403,B1403))))</f>
        <v>VIS_20290907_001</v>
      </c>
      <c r="B1403" s="40">
        <v>47368</v>
      </c>
      <c r="C1403" s="47" t="str">
        <f t="shared" si="42"/>
        <v>Пт</v>
      </c>
      <c r="I1403" s="46"/>
      <c r="J1403" s="39">
        <f t="shared" si="43"/>
        <v>47366</v>
      </c>
      <c r="K1403" t="str">
        <f ca="1">IF(AND(B1403&gt;='План недели'!$B$4,B1403&lt;'План недели'!$D$4,D1403&lt;&gt;"",G1403&lt;&gt;"Отменён"),COUNTIFS($B$5:B1403,"&gt;="&amp;'План недели'!$B$4,$B$5:B1403,"&lt;"&amp;'План недели'!$D$4,$D$5:D1403,"&lt;&gt;",$G$5:G1403,"&lt;&gt;Отменён"),"")</f>
        <v/>
      </c>
    </row>
    <row r="1404" spans="1:11">
      <c r="A1404" t="str">
        <f>IF(B1404="","","VIS_"&amp;(YEAR(B1404)*10000+MONTH(B1404)*100+DAY(B1404))&amp;"_"&amp;IF(COUNTIF($B$5:B1404,B1404)&lt;10,"00"&amp;COUNTIF($B$5:B1404,B1404),IF(COUNTIF($B$5:B1404,B1404)&lt;100,"0"&amp;COUNTIF($B$5:B1404,B1404),COUNTIF($B$5:B1404,B1404))))</f>
        <v>VIS_20290908_001</v>
      </c>
      <c r="B1404" s="42">
        <v>47369</v>
      </c>
      <c r="C1404" s="49" t="str">
        <f t="shared" si="42"/>
        <v>Сб</v>
      </c>
      <c r="I1404" s="46"/>
      <c r="J1404" s="39">
        <f t="shared" si="43"/>
        <v>47366</v>
      </c>
      <c r="K1404" t="str">
        <f ca="1">IF(AND(B1404&gt;='План недели'!$B$4,B1404&lt;'План недели'!$D$4,D1404&lt;&gt;"",G1404&lt;&gt;"Отменён"),COUNTIFS($B$5:B1404,"&gt;="&amp;'План недели'!$B$4,$B$5:B1404,"&lt;"&amp;'План недели'!$D$4,$D$5:D1404,"&lt;&gt;",$G$5:G1404,"&lt;&gt;Отменён"),"")</f>
        <v/>
      </c>
    </row>
    <row r="1405" spans="1:11">
      <c r="A1405" t="str">
        <f>IF(B1405="","","VIS_"&amp;(YEAR(B1405)*10000+MONTH(B1405)*100+DAY(B1405))&amp;"_"&amp;IF(COUNTIF($B$5:B1405,B1405)&lt;10,"00"&amp;COUNTIF($B$5:B1405,B1405),IF(COUNTIF($B$5:B1405,B1405)&lt;100,"0"&amp;COUNTIF($B$5:B1405,B1405),COUNTIF($B$5:B1405,B1405))))</f>
        <v>VIS_20290909_001</v>
      </c>
      <c r="B1405" s="42">
        <v>47370</v>
      </c>
      <c r="C1405" s="49" t="str">
        <f t="shared" si="42"/>
        <v>Вс</v>
      </c>
      <c r="I1405" s="46"/>
      <c r="J1405" s="39">
        <f t="shared" si="43"/>
        <v>47366</v>
      </c>
      <c r="K1405" t="str">
        <f ca="1">IF(AND(B1405&gt;='План недели'!$B$4,B1405&lt;'План недели'!$D$4,D1405&lt;&gt;"",G1405&lt;&gt;"Отменён"),COUNTIFS($B$5:B1405,"&gt;="&amp;'План недели'!$B$4,$B$5:B1405,"&lt;"&amp;'План недели'!$D$4,$D$5:D1405,"&lt;&gt;",$G$5:G1405,"&lt;&gt;Отменён"),"")</f>
        <v/>
      </c>
    </row>
    <row r="1406" spans="1:11">
      <c r="A1406" t="str">
        <f>IF(B1406="","","VIS_"&amp;(YEAR(B1406)*10000+MONTH(B1406)*100+DAY(B1406))&amp;"_"&amp;IF(COUNTIF($B$5:B1406,B1406)&lt;10,"00"&amp;COUNTIF($B$5:B1406,B1406),IF(COUNTIF($B$5:B1406,B1406)&lt;100,"0"&amp;COUNTIF($B$5:B1406,B1406),COUNTIF($B$5:B1406,B1406))))</f>
        <v>VIS_20290910_001</v>
      </c>
      <c r="B1406" s="40">
        <v>47371</v>
      </c>
      <c r="C1406" s="47" t="str">
        <f t="shared" si="42"/>
        <v>Пн</v>
      </c>
      <c r="I1406" s="46"/>
      <c r="J1406" s="39">
        <f t="shared" si="43"/>
        <v>47366</v>
      </c>
      <c r="K1406" t="str">
        <f ca="1">IF(AND(B1406&gt;='План недели'!$B$4,B1406&lt;'План недели'!$D$4,D1406&lt;&gt;"",G1406&lt;&gt;"Отменён"),COUNTIFS($B$5:B1406,"&gt;="&amp;'План недели'!$B$4,$B$5:B1406,"&lt;"&amp;'План недели'!$D$4,$D$5:D1406,"&lt;&gt;",$G$5:G1406,"&lt;&gt;Отменён"),"")</f>
        <v/>
      </c>
    </row>
    <row r="1407" spans="1:11">
      <c r="A1407" t="str">
        <f>IF(B1407="","","VIS_"&amp;(YEAR(B1407)*10000+MONTH(B1407)*100+DAY(B1407))&amp;"_"&amp;IF(COUNTIF($B$5:B1407,B1407)&lt;10,"00"&amp;COUNTIF($B$5:B1407,B1407),IF(COUNTIF($B$5:B1407,B1407)&lt;100,"0"&amp;COUNTIF($B$5:B1407,B1407),COUNTIF($B$5:B1407,B1407))))</f>
        <v>VIS_20290911_001</v>
      </c>
      <c r="B1407" s="40">
        <v>47372</v>
      </c>
      <c r="C1407" s="47" t="str">
        <f t="shared" si="42"/>
        <v>Вт</v>
      </c>
      <c r="I1407" s="46"/>
      <c r="J1407" s="39">
        <f t="shared" si="43"/>
        <v>47366</v>
      </c>
      <c r="K1407" t="str">
        <f ca="1">IF(AND(B1407&gt;='План недели'!$B$4,B1407&lt;'План недели'!$D$4,D1407&lt;&gt;"",G1407&lt;&gt;"Отменён"),COUNTIFS($B$5:B1407,"&gt;="&amp;'План недели'!$B$4,$B$5:B1407,"&lt;"&amp;'План недели'!$D$4,$D$5:D1407,"&lt;&gt;",$G$5:G1407,"&lt;&gt;Отменён"),"")</f>
        <v/>
      </c>
    </row>
    <row r="1408" spans="1:11">
      <c r="A1408" t="str">
        <f>IF(B1408="","","VIS_"&amp;(YEAR(B1408)*10000+MONTH(B1408)*100+DAY(B1408))&amp;"_"&amp;IF(COUNTIF($B$5:B1408,B1408)&lt;10,"00"&amp;COUNTIF($B$5:B1408,B1408),IF(COUNTIF($B$5:B1408,B1408)&lt;100,"0"&amp;COUNTIF($B$5:B1408,B1408),COUNTIF($B$5:B1408,B1408))))</f>
        <v>VIS_20290912_001</v>
      </c>
      <c r="B1408" s="40">
        <v>47373</v>
      </c>
      <c r="C1408" s="47" t="str">
        <f t="shared" si="42"/>
        <v>Ср</v>
      </c>
      <c r="I1408" s="46"/>
      <c r="J1408" s="39">
        <f t="shared" si="43"/>
        <v>47373</v>
      </c>
      <c r="K1408" t="str">
        <f ca="1">IF(AND(B1408&gt;='План недели'!$B$4,B1408&lt;'План недели'!$D$4,D1408&lt;&gt;"",G1408&lt;&gt;"Отменён"),COUNTIFS($B$5:B1408,"&gt;="&amp;'План недели'!$B$4,$B$5:B1408,"&lt;"&amp;'План недели'!$D$4,$D$5:D1408,"&lt;&gt;",$G$5:G1408,"&lt;&gt;Отменён"),"")</f>
        <v/>
      </c>
    </row>
    <row r="1409" spans="1:11">
      <c r="A1409" t="str">
        <f>IF(B1409="","","VIS_"&amp;(YEAR(B1409)*10000+MONTH(B1409)*100+DAY(B1409))&amp;"_"&amp;IF(COUNTIF($B$5:B1409,B1409)&lt;10,"00"&amp;COUNTIF($B$5:B1409,B1409),IF(COUNTIF($B$5:B1409,B1409)&lt;100,"0"&amp;COUNTIF($B$5:B1409,B1409),COUNTIF($B$5:B1409,B1409))))</f>
        <v>VIS_20290913_001</v>
      </c>
      <c r="B1409" s="40">
        <v>47374</v>
      </c>
      <c r="C1409" s="47" t="str">
        <f t="shared" si="42"/>
        <v>Чт</v>
      </c>
      <c r="I1409" s="46"/>
      <c r="J1409" s="39">
        <f t="shared" si="43"/>
        <v>47373</v>
      </c>
      <c r="K1409" t="str">
        <f ca="1">IF(AND(B1409&gt;='План недели'!$B$4,B1409&lt;'План недели'!$D$4,D1409&lt;&gt;"",G1409&lt;&gt;"Отменён"),COUNTIFS($B$5:B1409,"&gt;="&amp;'План недели'!$B$4,$B$5:B1409,"&lt;"&amp;'План недели'!$D$4,$D$5:D1409,"&lt;&gt;",$G$5:G1409,"&lt;&gt;Отменён"),"")</f>
        <v/>
      </c>
    </row>
    <row r="1410" spans="1:11">
      <c r="A1410" t="str">
        <f>IF(B1410="","","VIS_"&amp;(YEAR(B1410)*10000+MONTH(B1410)*100+DAY(B1410))&amp;"_"&amp;IF(COUNTIF($B$5:B1410,B1410)&lt;10,"00"&amp;COUNTIF($B$5:B1410,B1410),IF(COUNTIF($B$5:B1410,B1410)&lt;100,"0"&amp;COUNTIF($B$5:B1410,B1410),COUNTIF($B$5:B1410,B1410))))</f>
        <v>VIS_20290914_001</v>
      </c>
      <c r="B1410" s="40">
        <v>47375</v>
      </c>
      <c r="C1410" s="47" t="str">
        <f t="shared" si="42"/>
        <v>Пт</v>
      </c>
      <c r="I1410" s="46"/>
      <c r="J1410" s="39">
        <f t="shared" si="43"/>
        <v>47373</v>
      </c>
      <c r="K1410" t="str">
        <f ca="1">IF(AND(B1410&gt;='План недели'!$B$4,B1410&lt;'План недели'!$D$4,D1410&lt;&gt;"",G1410&lt;&gt;"Отменён"),COUNTIFS($B$5:B1410,"&gt;="&amp;'План недели'!$B$4,$B$5:B1410,"&lt;"&amp;'План недели'!$D$4,$D$5:D1410,"&lt;&gt;",$G$5:G1410,"&lt;&gt;Отменён"),"")</f>
        <v/>
      </c>
    </row>
    <row r="1411" spans="1:11">
      <c r="A1411" t="str">
        <f>IF(B1411="","","VIS_"&amp;(YEAR(B1411)*10000+MONTH(B1411)*100+DAY(B1411))&amp;"_"&amp;IF(COUNTIF($B$5:B1411,B1411)&lt;10,"00"&amp;COUNTIF($B$5:B1411,B1411),IF(COUNTIF($B$5:B1411,B1411)&lt;100,"0"&amp;COUNTIF($B$5:B1411,B1411),COUNTIF($B$5:B1411,B1411))))</f>
        <v>VIS_20290915_001</v>
      </c>
      <c r="B1411" s="42">
        <v>47376</v>
      </c>
      <c r="C1411" s="49" t="str">
        <f t="shared" si="42"/>
        <v>Сб</v>
      </c>
      <c r="I1411" s="46"/>
      <c r="J1411" s="39">
        <f t="shared" si="43"/>
        <v>47373</v>
      </c>
      <c r="K1411" t="str">
        <f ca="1">IF(AND(B1411&gt;='План недели'!$B$4,B1411&lt;'План недели'!$D$4,D1411&lt;&gt;"",G1411&lt;&gt;"Отменён"),COUNTIFS($B$5:B1411,"&gt;="&amp;'План недели'!$B$4,$B$5:B1411,"&lt;"&amp;'План недели'!$D$4,$D$5:D1411,"&lt;&gt;",$G$5:G1411,"&lt;&gt;Отменён"),"")</f>
        <v/>
      </c>
    </row>
    <row r="1412" spans="1:11">
      <c r="A1412" t="str">
        <f>IF(B1412="","","VIS_"&amp;(YEAR(B1412)*10000+MONTH(B1412)*100+DAY(B1412))&amp;"_"&amp;IF(COUNTIF($B$5:B1412,B1412)&lt;10,"00"&amp;COUNTIF($B$5:B1412,B1412),IF(COUNTIF($B$5:B1412,B1412)&lt;100,"0"&amp;COUNTIF($B$5:B1412,B1412),COUNTIF($B$5:B1412,B1412))))</f>
        <v>VIS_20290916_001</v>
      </c>
      <c r="B1412" s="42">
        <v>47377</v>
      </c>
      <c r="C1412" s="49" t="str">
        <f t="shared" si="42"/>
        <v>Вс</v>
      </c>
      <c r="I1412" s="46"/>
      <c r="J1412" s="39">
        <f t="shared" si="43"/>
        <v>47373</v>
      </c>
      <c r="K1412" t="str">
        <f ca="1">IF(AND(B1412&gt;='План недели'!$B$4,B1412&lt;'План недели'!$D$4,D1412&lt;&gt;"",G1412&lt;&gt;"Отменён"),COUNTIFS($B$5:B1412,"&gt;="&amp;'План недели'!$B$4,$B$5:B1412,"&lt;"&amp;'План недели'!$D$4,$D$5:D1412,"&lt;&gt;",$G$5:G1412,"&lt;&gt;Отменён"),"")</f>
        <v/>
      </c>
    </row>
    <row r="1413" spans="1:11">
      <c r="A1413" t="str">
        <f>IF(B1413="","","VIS_"&amp;(YEAR(B1413)*10000+MONTH(B1413)*100+DAY(B1413))&amp;"_"&amp;IF(COUNTIF($B$5:B1413,B1413)&lt;10,"00"&amp;COUNTIF($B$5:B1413,B1413),IF(COUNTIF($B$5:B1413,B1413)&lt;100,"0"&amp;COUNTIF($B$5:B1413,B1413),COUNTIF($B$5:B1413,B1413))))</f>
        <v>VIS_20290917_001</v>
      </c>
      <c r="B1413" s="40">
        <v>47378</v>
      </c>
      <c r="C1413" s="47" t="str">
        <f t="shared" ref="C1413:C1476" si="44">IF(B1413="","",CHOOSE(WEEKDAY(B1413,2),"Пн","Вт","Ср","Чт","Пт","Сб","Вс"))</f>
        <v>Пн</v>
      </c>
      <c r="I1413" s="46"/>
      <c r="J1413" s="39">
        <f t="shared" ref="J1413:J1476" si="45">IF(B1413="","",B1413-MOD(WEEKDAY(B1413,2)-3,7))</f>
        <v>47373</v>
      </c>
      <c r="K1413" t="str">
        <f ca="1">IF(AND(B1413&gt;='План недели'!$B$4,B1413&lt;'План недели'!$D$4,D1413&lt;&gt;"",G1413&lt;&gt;"Отменён"),COUNTIFS($B$5:B1413,"&gt;="&amp;'План недели'!$B$4,$B$5:B1413,"&lt;"&amp;'План недели'!$D$4,$D$5:D1413,"&lt;&gt;",$G$5:G1413,"&lt;&gt;Отменён"),"")</f>
        <v/>
      </c>
    </row>
    <row r="1414" spans="1:11">
      <c r="A1414" t="str">
        <f>IF(B1414="","","VIS_"&amp;(YEAR(B1414)*10000+MONTH(B1414)*100+DAY(B1414))&amp;"_"&amp;IF(COUNTIF($B$5:B1414,B1414)&lt;10,"00"&amp;COUNTIF($B$5:B1414,B1414),IF(COUNTIF($B$5:B1414,B1414)&lt;100,"0"&amp;COUNTIF($B$5:B1414,B1414),COUNTIF($B$5:B1414,B1414))))</f>
        <v>VIS_20290918_001</v>
      </c>
      <c r="B1414" s="40">
        <v>47379</v>
      </c>
      <c r="C1414" s="47" t="str">
        <f t="shared" si="44"/>
        <v>Вт</v>
      </c>
      <c r="I1414" s="46"/>
      <c r="J1414" s="39">
        <f t="shared" si="45"/>
        <v>47373</v>
      </c>
      <c r="K1414" t="str">
        <f ca="1">IF(AND(B1414&gt;='План недели'!$B$4,B1414&lt;'План недели'!$D$4,D1414&lt;&gt;"",G1414&lt;&gt;"Отменён"),COUNTIFS($B$5:B1414,"&gt;="&amp;'План недели'!$B$4,$B$5:B1414,"&lt;"&amp;'План недели'!$D$4,$D$5:D1414,"&lt;&gt;",$G$5:G1414,"&lt;&gt;Отменён"),"")</f>
        <v/>
      </c>
    </row>
    <row r="1415" spans="1:11">
      <c r="A1415" t="str">
        <f>IF(B1415="","","VIS_"&amp;(YEAR(B1415)*10000+MONTH(B1415)*100+DAY(B1415))&amp;"_"&amp;IF(COUNTIF($B$5:B1415,B1415)&lt;10,"00"&amp;COUNTIF($B$5:B1415,B1415),IF(COUNTIF($B$5:B1415,B1415)&lt;100,"0"&amp;COUNTIF($B$5:B1415,B1415),COUNTIF($B$5:B1415,B1415))))</f>
        <v>VIS_20290919_001</v>
      </c>
      <c r="B1415" s="40">
        <v>47380</v>
      </c>
      <c r="C1415" s="47" t="str">
        <f t="shared" si="44"/>
        <v>Ср</v>
      </c>
      <c r="I1415" s="46"/>
      <c r="J1415" s="39">
        <f t="shared" si="45"/>
        <v>47380</v>
      </c>
      <c r="K1415" t="str">
        <f ca="1">IF(AND(B1415&gt;='План недели'!$B$4,B1415&lt;'План недели'!$D$4,D1415&lt;&gt;"",G1415&lt;&gt;"Отменён"),COUNTIFS($B$5:B1415,"&gt;="&amp;'План недели'!$B$4,$B$5:B1415,"&lt;"&amp;'План недели'!$D$4,$D$5:D1415,"&lt;&gt;",$G$5:G1415,"&lt;&gt;Отменён"),"")</f>
        <v/>
      </c>
    </row>
    <row r="1416" spans="1:11">
      <c r="A1416" t="str">
        <f>IF(B1416="","","VIS_"&amp;(YEAR(B1416)*10000+MONTH(B1416)*100+DAY(B1416))&amp;"_"&amp;IF(COUNTIF($B$5:B1416,B1416)&lt;10,"00"&amp;COUNTIF($B$5:B1416,B1416),IF(COUNTIF($B$5:B1416,B1416)&lt;100,"0"&amp;COUNTIF($B$5:B1416,B1416),COUNTIF($B$5:B1416,B1416))))</f>
        <v>VIS_20290920_001</v>
      </c>
      <c r="B1416" s="40">
        <v>47381</v>
      </c>
      <c r="C1416" s="47" t="str">
        <f t="shared" si="44"/>
        <v>Чт</v>
      </c>
      <c r="I1416" s="46"/>
      <c r="J1416" s="39">
        <f t="shared" si="45"/>
        <v>47380</v>
      </c>
      <c r="K1416" t="str">
        <f ca="1">IF(AND(B1416&gt;='План недели'!$B$4,B1416&lt;'План недели'!$D$4,D1416&lt;&gt;"",G1416&lt;&gt;"Отменён"),COUNTIFS($B$5:B1416,"&gt;="&amp;'План недели'!$B$4,$B$5:B1416,"&lt;"&amp;'План недели'!$D$4,$D$5:D1416,"&lt;&gt;",$G$5:G1416,"&lt;&gt;Отменён"),"")</f>
        <v/>
      </c>
    </row>
    <row r="1417" spans="1:11">
      <c r="A1417" t="str">
        <f>IF(B1417="","","VIS_"&amp;(YEAR(B1417)*10000+MONTH(B1417)*100+DAY(B1417))&amp;"_"&amp;IF(COUNTIF($B$5:B1417,B1417)&lt;10,"00"&amp;COUNTIF($B$5:B1417,B1417),IF(COUNTIF($B$5:B1417,B1417)&lt;100,"0"&amp;COUNTIF($B$5:B1417,B1417),COUNTIF($B$5:B1417,B1417))))</f>
        <v>VIS_20290921_001</v>
      </c>
      <c r="B1417" s="40">
        <v>47382</v>
      </c>
      <c r="C1417" s="47" t="str">
        <f t="shared" si="44"/>
        <v>Пт</v>
      </c>
      <c r="I1417" s="46"/>
      <c r="J1417" s="39">
        <f t="shared" si="45"/>
        <v>47380</v>
      </c>
      <c r="K1417" t="str">
        <f ca="1">IF(AND(B1417&gt;='План недели'!$B$4,B1417&lt;'План недели'!$D$4,D1417&lt;&gt;"",G1417&lt;&gt;"Отменён"),COUNTIFS($B$5:B1417,"&gt;="&amp;'План недели'!$B$4,$B$5:B1417,"&lt;"&amp;'План недели'!$D$4,$D$5:D1417,"&lt;&gt;",$G$5:G1417,"&lt;&gt;Отменён"),"")</f>
        <v/>
      </c>
    </row>
    <row r="1418" spans="1:11">
      <c r="A1418" t="str">
        <f>IF(B1418="","","VIS_"&amp;(YEAR(B1418)*10000+MONTH(B1418)*100+DAY(B1418))&amp;"_"&amp;IF(COUNTIF($B$5:B1418,B1418)&lt;10,"00"&amp;COUNTIF($B$5:B1418,B1418),IF(COUNTIF($B$5:B1418,B1418)&lt;100,"0"&amp;COUNTIF($B$5:B1418,B1418),COUNTIF($B$5:B1418,B1418))))</f>
        <v>VIS_20290922_001</v>
      </c>
      <c r="B1418" s="42">
        <v>47383</v>
      </c>
      <c r="C1418" s="49" t="str">
        <f t="shared" si="44"/>
        <v>Сб</v>
      </c>
      <c r="I1418" s="46"/>
      <c r="J1418" s="39">
        <f t="shared" si="45"/>
        <v>47380</v>
      </c>
      <c r="K1418" t="str">
        <f ca="1">IF(AND(B1418&gt;='План недели'!$B$4,B1418&lt;'План недели'!$D$4,D1418&lt;&gt;"",G1418&lt;&gt;"Отменён"),COUNTIFS($B$5:B1418,"&gt;="&amp;'План недели'!$B$4,$B$5:B1418,"&lt;"&amp;'План недели'!$D$4,$D$5:D1418,"&lt;&gt;",$G$5:G1418,"&lt;&gt;Отменён"),"")</f>
        <v/>
      </c>
    </row>
    <row r="1419" spans="1:11">
      <c r="A1419" t="str">
        <f>IF(B1419="","","VIS_"&amp;(YEAR(B1419)*10000+MONTH(B1419)*100+DAY(B1419))&amp;"_"&amp;IF(COUNTIF($B$5:B1419,B1419)&lt;10,"00"&amp;COUNTIF($B$5:B1419,B1419),IF(COUNTIF($B$5:B1419,B1419)&lt;100,"0"&amp;COUNTIF($B$5:B1419,B1419),COUNTIF($B$5:B1419,B1419))))</f>
        <v>VIS_20290923_001</v>
      </c>
      <c r="B1419" s="42">
        <v>47384</v>
      </c>
      <c r="C1419" s="49" t="str">
        <f t="shared" si="44"/>
        <v>Вс</v>
      </c>
      <c r="I1419" s="46"/>
      <c r="J1419" s="39">
        <f t="shared" si="45"/>
        <v>47380</v>
      </c>
      <c r="K1419" t="str">
        <f ca="1">IF(AND(B1419&gt;='План недели'!$B$4,B1419&lt;'План недели'!$D$4,D1419&lt;&gt;"",G1419&lt;&gt;"Отменён"),COUNTIFS($B$5:B1419,"&gt;="&amp;'План недели'!$B$4,$B$5:B1419,"&lt;"&amp;'План недели'!$D$4,$D$5:D1419,"&lt;&gt;",$G$5:G1419,"&lt;&gt;Отменён"),"")</f>
        <v/>
      </c>
    </row>
    <row r="1420" spans="1:11">
      <c r="A1420" t="str">
        <f>IF(B1420="","","VIS_"&amp;(YEAR(B1420)*10000+MONTH(B1420)*100+DAY(B1420))&amp;"_"&amp;IF(COUNTIF($B$5:B1420,B1420)&lt;10,"00"&amp;COUNTIF($B$5:B1420,B1420),IF(COUNTIF($B$5:B1420,B1420)&lt;100,"0"&amp;COUNTIF($B$5:B1420,B1420),COUNTIF($B$5:B1420,B1420))))</f>
        <v>VIS_20290924_001</v>
      </c>
      <c r="B1420" s="40">
        <v>47385</v>
      </c>
      <c r="C1420" s="47" t="str">
        <f t="shared" si="44"/>
        <v>Пн</v>
      </c>
      <c r="I1420" s="46"/>
      <c r="J1420" s="39">
        <f t="shared" si="45"/>
        <v>47380</v>
      </c>
      <c r="K1420" t="str">
        <f ca="1">IF(AND(B1420&gt;='План недели'!$B$4,B1420&lt;'План недели'!$D$4,D1420&lt;&gt;"",G1420&lt;&gt;"Отменён"),COUNTIFS($B$5:B1420,"&gt;="&amp;'План недели'!$B$4,$B$5:B1420,"&lt;"&amp;'План недели'!$D$4,$D$5:D1420,"&lt;&gt;",$G$5:G1420,"&lt;&gt;Отменён"),"")</f>
        <v/>
      </c>
    </row>
    <row r="1421" spans="1:11">
      <c r="A1421" t="str">
        <f>IF(B1421="","","VIS_"&amp;(YEAR(B1421)*10000+MONTH(B1421)*100+DAY(B1421))&amp;"_"&amp;IF(COUNTIF($B$5:B1421,B1421)&lt;10,"00"&amp;COUNTIF($B$5:B1421,B1421),IF(COUNTIF($B$5:B1421,B1421)&lt;100,"0"&amp;COUNTIF($B$5:B1421,B1421),COUNTIF($B$5:B1421,B1421))))</f>
        <v>VIS_20290925_001</v>
      </c>
      <c r="B1421" s="40">
        <v>47386</v>
      </c>
      <c r="C1421" s="47" t="str">
        <f t="shared" si="44"/>
        <v>Вт</v>
      </c>
      <c r="I1421" s="46"/>
      <c r="J1421" s="39">
        <f t="shared" si="45"/>
        <v>47380</v>
      </c>
      <c r="K1421" t="str">
        <f ca="1">IF(AND(B1421&gt;='План недели'!$B$4,B1421&lt;'План недели'!$D$4,D1421&lt;&gt;"",G1421&lt;&gt;"Отменён"),COUNTIFS($B$5:B1421,"&gt;="&amp;'План недели'!$B$4,$B$5:B1421,"&lt;"&amp;'План недели'!$D$4,$D$5:D1421,"&lt;&gt;",$G$5:G1421,"&lt;&gt;Отменён"),"")</f>
        <v/>
      </c>
    </row>
    <row r="1422" spans="1:11">
      <c r="A1422" t="str">
        <f>IF(B1422="","","VIS_"&amp;(YEAR(B1422)*10000+MONTH(B1422)*100+DAY(B1422))&amp;"_"&amp;IF(COUNTIF($B$5:B1422,B1422)&lt;10,"00"&amp;COUNTIF($B$5:B1422,B1422),IF(COUNTIF($B$5:B1422,B1422)&lt;100,"0"&amp;COUNTIF($B$5:B1422,B1422),COUNTIF($B$5:B1422,B1422))))</f>
        <v>VIS_20290926_001</v>
      </c>
      <c r="B1422" s="40">
        <v>47387</v>
      </c>
      <c r="C1422" s="47" t="str">
        <f t="shared" si="44"/>
        <v>Ср</v>
      </c>
      <c r="I1422" s="46"/>
      <c r="J1422" s="39">
        <f t="shared" si="45"/>
        <v>47387</v>
      </c>
      <c r="K1422" t="str">
        <f ca="1">IF(AND(B1422&gt;='План недели'!$B$4,B1422&lt;'План недели'!$D$4,D1422&lt;&gt;"",G1422&lt;&gt;"Отменён"),COUNTIFS($B$5:B1422,"&gt;="&amp;'План недели'!$B$4,$B$5:B1422,"&lt;"&amp;'План недели'!$D$4,$D$5:D1422,"&lt;&gt;",$G$5:G1422,"&lt;&gt;Отменён"),"")</f>
        <v/>
      </c>
    </row>
    <row r="1423" spans="1:11">
      <c r="A1423" t="str">
        <f>IF(B1423="","","VIS_"&amp;(YEAR(B1423)*10000+MONTH(B1423)*100+DAY(B1423))&amp;"_"&amp;IF(COUNTIF($B$5:B1423,B1423)&lt;10,"00"&amp;COUNTIF($B$5:B1423,B1423),IF(COUNTIF($B$5:B1423,B1423)&lt;100,"0"&amp;COUNTIF($B$5:B1423,B1423),COUNTIF($B$5:B1423,B1423))))</f>
        <v>VIS_20290927_001</v>
      </c>
      <c r="B1423" s="40">
        <v>47388</v>
      </c>
      <c r="C1423" s="47" t="str">
        <f t="shared" si="44"/>
        <v>Чт</v>
      </c>
      <c r="I1423" s="46"/>
      <c r="J1423" s="39">
        <f t="shared" si="45"/>
        <v>47387</v>
      </c>
      <c r="K1423" t="str">
        <f ca="1">IF(AND(B1423&gt;='План недели'!$B$4,B1423&lt;'План недели'!$D$4,D1423&lt;&gt;"",G1423&lt;&gt;"Отменён"),COUNTIFS($B$5:B1423,"&gt;="&amp;'План недели'!$B$4,$B$5:B1423,"&lt;"&amp;'План недели'!$D$4,$D$5:D1423,"&lt;&gt;",$G$5:G1423,"&lt;&gt;Отменён"),"")</f>
        <v/>
      </c>
    </row>
    <row r="1424" spans="1:11">
      <c r="A1424" t="str">
        <f>IF(B1424="","","VIS_"&amp;(YEAR(B1424)*10000+MONTH(B1424)*100+DAY(B1424))&amp;"_"&amp;IF(COUNTIF($B$5:B1424,B1424)&lt;10,"00"&amp;COUNTIF($B$5:B1424,B1424),IF(COUNTIF($B$5:B1424,B1424)&lt;100,"0"&amp;COUNTIF($B$5:B1424,B1424),COUNTIF($B$5:B1424,B1424))))</f>
        <v>VIS_20290928_001</v>
      </c>
      <c r="B1424" s="40">
        <v>47389</v>
      </c>
      <c r="C1424" s="47" t="str">
        <f t="shared" si="44"/>
        <v>Пт</v>
      </c>
      <c r="I1424" s="46"/>
      <c r="J1424" s="39">
        <f t="shared" si="45"/>
        <v>47387</v>
      </c>
      <c r="K1424" t="str">
        <f ca="1">IF(AND(B1424&gt;='План недели'!$B$4,B1424&lt;'План недели'!$D$4,D1424&lt;&gt;"",G1424&lt;&gt;"Отменён"),COUNTIFS($B$5:B1424,"&gt;="&amp;'План недели'!$B$4,$B$5:B1424,"&lt;"&amp;'План недели'!$D$4,$D$5:D1424,"&lt;&gt;",$G$5:G1424,"&lt;&gt;Отменён"),"")</f>
        <v/>
      </c>
    </row>
    <row r="1425" spans="1:11">
      <c r="A1425" t="str">
        <f>IF(B1425="","","VIS_"&amp;(YEAR(B1425)*10000+MONTH(B1425)*100+DAY(B1425))&amp;"_"&amp;IF(COUNTIF($B$5:B1425,B1425)&lt;10,"00"&amp;COUNTIF($B$5:B1425,B1425),IF(COUNTIF($B$5:B1425,B1425)&lt;100,"0"&amp;COUNTIF($B$5:B1425,B1425),COUNTIF($B$5:B1425,B1425))))</f>
        <v>VIS_20290929_001</v>
      </c>
      <c r="B1425" s="42">
        <v>47390</v>
      </c>
      <c r="C1425" s="49" t="str">
        <f t="shared" si="44"/>
        <v>Сб</v>
      </c>
      <c r="I1425" s="46"/>
      <c r="J1425" s="39">
        <f t="shared" si="45"/>
        <v>47387</v>
      </c>
      <c r="K1425" t="str">
        <f ca="1">IF(AND(B1425&gt;='План недели'!$B$4,B1425&lt;'План недели'!$D$4,D1425&lt;&gt;"",G1425&lt;&gt;"Отменён"),COUNTIFS($B$5:B1425,"&gt;="&amp;'План недели'!$B$4,$B$5:B1425,"&lt;"&amp;'План недели'!$D$4,$D$5:D1425,"&lt;&gt;",$G$5:G1425,"&lt;&gt;Отменён"),"")</f>
        <v/>
      </c>
    </row>
    <row r="1426" spans="1:11">
      <c r="A1426" t="str">
        <f>IF(B1426="","","VIS_"&amp;(YEAR(B1426)*10000+MONTH(B1426)*100+DAY(B1426))&amp;"_"&amp;IF(COUNTIF($B$5:B1426,B1426)&lt;10,"00"&amp;COUNTIF($B$5:B1426,B1426),IF(COUNTIF($B$5:B1426,B1426)&lt;100,"0"&amp;COUNTIF($B$5:B1426,B1426),COUNTIF($B$5:B1426,B1426))))</f>
        <v>VIS_20290930_001</v>
      </c>
      <c r="B1426" s="42">
        <v>47391</v>
      </c>
      <c r="C1426" s="49" t="str">
        <f t="shared" si="44"/>
        <v>Вс</v>
      </c>
      <c r="I1426" s="46"/>
      <c r="J1426" s="39">
        <f t="shared" si="45"/>
        <v>47387</v>
      </c>
      <c r="K1426" t="str">
        <f ca="1">IF(AND(B1426&gt;='План недели'!$B$4,B1426&lt;'План недели'!$D$4,D1426&lt;&gt;"",G1426&lt;&gt;"Отменён"),COUNTIFS($B$5:B1426,"&gt;="&amp;'План недели'!$B$4,$B$5:B1426,"&lt;"&amp;'План недели'!$D$4,$D$5:D1426,"&lt;&gt;",$G$5:G1426,"&lt;&gt;Отменён"),"")</f>
        <v/>
      </c>
    </row>
    <row r="1427" spans="1:11">
      <c r="A1427" t="str">
        <f>IF(B1427="","","VIS_"&amp;(YEAR(B1427)*10000+MONTH(B1427)*100+DAY(B1427))&amp;"_"&amp;IF(COUNTIF($B$5:B1427,B1427)&lt;10,"00"&amp;COUNTIF($B$5:B1427,B1427),IF(COUNTIF($B$5:B1427,B1427)&lt;100,"0"&amp;COUNTIF($B$5:B1427,B1427),COUNTIF($B$5:B1427,B1427))))</f>
        <v>VIS_20291001_001</v>
      </c>
      <c r="B1427" s="40">
        <v>47392</v>
      </c>
      <c r="C1427" s="47" t="str">
        <f t="shared" si="44"/>
        <v>Пн</v>
      </c>
      <c r="I1427" s="46"/>
      <c r="J1427" s="39">
        <f t="shared" si="45"/>
        <v>47387</v>
      </c>
      <c r="K1427" t="str">
        <f ca="1">IF(AND(B1427&gt;='План недели'!$B$4,B1427&lt;'План недели'!$D$4,D1427&lt;&gt;"",G1427&lt;&gt;"Отменён"),COUNTIFS($B$5:B1427,"&gt;="&amp;'План недели'!$B$4,$B$5:B1427,"&lt;"&amp;'План недели'!$D$4,$D$5:D1427,"&lt;&gt;",$G$5:G1427,"&lt;&gt;Отменён"),"")</f>
        <v/>
      </c>
    </row>
    <row r="1428" spans="1:11">
      <c r="A1428" t="str">
        <f>IF(B1428="","","VIS_"&amp;(YEAR(B1428)*10000+MONTH(B1428)*100+DAY(B1428))&amp;"_"&amp;IF(COUNTIF($B$5:B1428,B1428)&lt;10,"00"&amp;COUNTIF($B$5:B1428,B1428),IF(COUNTIF($B$5:B1428,B1428)&lt;100,"0"&amp;COUNTIF($B$5:B1428,B1428),COUNTIF($B$5:B1428,B1428))))</f>
        <v>VIS_20291002_001</v>
      </c>
      <c r="B1428" s="40">
        <v>47393</v>
      </c>
      <c r="C1428" s="47" t="str">
        <f t="shared" si="44"/>
        <v>Вт</v>
      </c>
      <c r="I1428" s="46"/>
      <c r="J1428" s="39">
        <f t="shared" si="45"/>
        <v>47387</v>
      </c>
      <c r="K1428" t="str">
        <f ca="1">IF(AND(B1428&gt;='План недели'!$B$4,B1428&lt;'План недели'!$D$4,D1428&lt;&gt;"",G1428&lt;&gt;"Отменён"),COUNTIFS($B$5:B1428,"&gt;="&amp;'План недели'!$B$4,$B$5:B1428,"&lt;"&amp;'План недели'!$D$4,$D$5:D1428,"&lt;&gt;",$G$5:G1428,"&lt;&gt;Отменён"),"")</f>
        <v/>
      </c>
    </row>
    <row r="1429" spans="1:11">
      <c r="A1429" t="str">
        <f>IF(B1429="","","VIS_"&amp;(YEAR(B1429)*10000+MONTH(B1429)*100+DAY(B1429))&amp;"_"&amp;IF(COUNTIF($B$5:B1429,B1429)&lt;10,"00"&amp;COUNTIF($B$5:B1429,B1429),IF(COUNTIF($B$5:B1429,B1429)&lt;100,"0"&amp;COUNTIF($B$5:B1429,B1429),COUNTIF($B$5:B1429,B1429))))</f>
        <v>VIS_20291003_001</v>
      </c>
      <c r="B1429" s="40">
        <v>47394</v>
      </c>
      <c r="C1429" s="47" t="str">
        <f t="shared" si="44"/>
        <v>Ср</v>
      </c>
      <c r="I1429" s="46"/>
      <c r="J1429" s="39">
        <f t="shared" si="45"/>
        <v>47394</v>
      </c>
      <c r="K1429" t="str">
        <f ca="1">IF(AND(B1429&gt;='План недели'!$B$4,B1429&lt;'План недели'!$D$4,D1429&lt;&gt;"",G1429&lt;&gt;"Отменён"),COUNTIFS($B$5:B1429,"&gt;="&amp;'План недели'!$B$4,$B$5:B1429,"&lt;"&amp;'План недели'!$D$4,$D$5:D1429,"&lt;&gt;",$G$5:G1429,"&lt;&gt;Отменён"),"")</f>
        <v/>
      </c>
    </row>
    <row r="1430" spans="1:11">
      <c r="A1430" t="str">
        <f>IF(B1430="","","VIS_"&amp;(YEAR(B1430)*10000+MONTH(B1430)*100+DAY(B1430))&amp;"_"&amp;IF(COUNTIF($B$5:B1430,B1430)&lt;10,"00"&amp;COUNTIF($B$5:B1430,B1430),IF(COUNTIF($B$5:B1430,B1430)&lt;100,"0"&amp;COUNTIF($B$5:B1430,B1430),COUNTIF($B$5:B1430,B1430))))</f>
        <v>VIS_20291004_001</v>
      </c>
      <c r="B1430" s="40">
        <v>47395</v>
      </c>
      <c r="C1430" s="47" t="str">
        <f t="shared" si="44"/>
        <v>Чт</v>
      </c>
      <c r="I1430" s="46"/>
      <c r="J1430" s="39">
        <f t="shared" si="45"/>
        <v>47394</v>
      </c>
      <c r="K1430" t="str">
        <f ca="1">IF(AND(B1430&gt;='План недели'!$B$4,B1430&lt;'План недели'!$D$4,D1430&lt;&gt;"",G1430&lt;&gt;"Отменён"),COUNTIFS($B$5:B1430,"&gt;="&amp;'План недели'!$B$4,$B$5:B1430,"&lt;"&amp;'План недели'!$D$4,$D$5:D1430,"&lt;&gt;",$G$5:G1430,"&lt;&gt;Отменён"),"")</f>
        <v/>
      </c>
    </row>
    <row r="1431" spans="1:11">
      <c r="A1431" t="str">
        <f>IF(B1431="","","VIS_"&amp;(YEAR(B1431)*10000+MONTH(B1431)*100+DAY(B1431))&amp;"_"&amp;IF(COUNTIF($B$5:B1431,B1431)&lt;10,"00"&amp;COUNTIF($B$5:B1431,B1431),IF(COUNTIF($B$5:B1431,B1431)&lt;100,"0"&amp;COUNTIF($B$5:B1431,B1431),COUNTIF($B$5:B1431,B1431))))</f>
        <v>VIS_20291005_001</v>
      </c>
      <c r="B1431" s="40">
        <v>47396</v>
      </c>
      <c r="C1431" s="47" t="str">
        <f t="shared" si="44"/>
        <v>Пт</v>
      </c>
      <c r="I1431" s="46"/>
      <c r="J1431" s="39">
        <f t="shared" si="45"/>
        <v>47394</v>
      </c>
      <c r="K1431" t="str">
        <f ca="1">IF(AND(B1431&gt;='План недели'!$B$4,B1431&lt;'План недели'!$D$4,D1431&lt;&gt;"",G1431&lt;&gt;"Отменён"),COUNTIFS($B$5:B1431,"&gt;="&amp;'План недели'!$B$4,$B$5:B1431,"&lt;"&amp;'План недели'!$D$4,$D$5:D1431,"&lt;&gt;",$G$5:G1431,"&lt;&gt;Отменён"),"")</f>
        <v/>
      </c>
    </row>
    <row r="1432" spans="1:11">
      <c r="A1432" t="str">
        <f>IF(B1432="","","VIS_"&amp;(YEAR(B1432)*10000+MONTH(B1432)*100+DAY(B1432))&amp;"_"&amp;IF(COUNTIF($B$5:B1432,B1432)&lt;10,"00"&amp;COUNTIF($B$5:B1432,B1432),IF(COUNTIF($B$5:B1432,B1432)&lt;100,"0"&amp;COUNTIF($B$5:B1432,B1432),COUNTIF($B$5:B1432,B1432))))</f>
        <v>VIS_20291006_001</v>
      </c>
      <c r="B1432" s="42">
        <v>47397</v>
      </c>
      <c r="C1432" s="49" t="str">
        <f t="shared" si="44"/>
        <v>Сб</v>
      </c>
      <c r="I1432" s="46"/>
      <c r="J1432" s="39">
        <f t="shared" si="45"/>
        <v>47394</v>
      </c>
      <c r="K1432" t="str">
        <f ca="1">IF(AND(B1432&gt;='План недели'!$B$4,B1432&lt;'План недели'!$D$4,D1432&lt;&gt;"",G1432&lt;&gt;"Отменён"),COUNTIFS($B$5:B1432,"&gt;="&amp;'План недели'!$B$4,$B$5:B1432,"&lt;"&amp;'План недели'!$D$4,$D$5:D1432,"&lt;&gt;",$G$5:G1432,"&lt;&gt;Отменён"),"")</f>
        <v/>
      </c>
    </row>
    <row r="1433" spans="1:11">
      <c r="A1433" t="str">
        <f>IF(B1433="","","VIS_"&amp;(YEAR(B1433)*10000+MONTH(B1433)*100+DAY(B1433))&amp;"_"&amp;IF(COUNTIF($B$5:B1433,B1433)&lt;10,"00"&amp;COUNTIF($B$5:B1433,B1433),IF(COUNTIF($B$5:B1433,B1433)&lt;100,"0"&amp;COUNTIF($B$5:B1433,B1433),COUNTIF($B$5:B1433,B1433))))</f>
        <v>VIS_20291007_001</v>
      </c>
      <c r="B1433" s="42">
        <v>47398</v>
      </c>
      <c r="C1433" s="49" t="str">
        <f t="shared" si="44"/>
        <v>Вс</v>
      </c>
      <c r="I1433" s="46"/>
      <c r="J1433" s="39">
        <f t="shared" si="45"/>
        <v>47394</v>
      </c>
      <c r="K1433" t="str">
        <f ca="1">IF(AND(B1433&gt;='План недели'!$B$4,B1433&lt;'План недели'!$D$4,D1433&lt;&gt;"",G1433&lt;&gt;"Отменён"),COUNTIFS($B$5:B1433,"&gt;="&amp;'План недели'!$B$4,$B$5:B1433,"&lt;"&amp;'План недели'!$D$4,$D$5:D1433,"&lt;&gt;",$G$5:G1433,"&lt;&gt;Отменён"),"")</f>
        <v/>
      </c>
    </row>
    <row r="1434" spans="1:11">
      <c r="A1434" t="str">
        <f>IF(B1434="","","VIS_"&amp;(YEAR(B1434)*10000+MONTH(B1434)*100+DAY(B1434))&amp;"_"&amp;IF(COUNTIF($B$5:B1434,B1434)&lt;10,"00"&amp;COUNTIF($B$5:B1434,B1434),IF(COUNTIF($B$5:B1434,B1434)&lt;100,"0"&amp;COUNTIF($B$5:B1434,B1434),COUNTIF($B$5:B1434,B1434))))</f>
        <v>VIS_20291008_001</v>
      </c>
      <c r="B1434" s="40">
        <v>47399</v>
      </c>
      <c r="C1434" s="47" t="str">
        <f t="shared" si="44"/>
        <v>Пн</v>
      </c>
      <c r="I1434" s="46"/>
      <c r="J1434" s="39">
        <f t="shared" si="45"/>
        <v>47394</v>
      </c>
      <c r="K1434" t="str">
        <f ca="1">IF(AND(B1434&gt;='План недели'!$B$4,B1434&lt;'План недели'!$D$4,D1434&lt;&gt;"",G1434&lt;&gt;"Отменён"),COUNTIFS($B$5:B1434,"&gt;="&amp;'План недели'!$B$4,$B$5:B1434,"&lt;"&amp;'План недели'!$D$4,$D$5:D1434,"&lt;&gt;",$G$5:G1434,"&lt;&gt;Отменён"),"")</f>
        <v/>
      </c>
    </row>
    <row r="1435" spans="1:11">
      <c r="A1435" t="str">
        <f>IF(B1435="","","VIS_"&amp;(YEAR(B1435)*10000+MONTH(B1435)*100+DAY(B1435))&amp;"_"&amp;IF(COUNTIF($B$5:B1435,B1435)&lt;10,"00"&amp;COUNTIF($B$5:B1435,B1435),IF(COUNTIF($B$5:B1435,B1435)&lt;100,"0"&amp;COUNTIF($B$5:B1435,B1435),COUNTIF($B$5:B1435,B1435))))</f>
        <v>VIS_20291009_001</v>
      </c>
      <c r="B1435" s="40">
        <v>47400</v>
      </c>
      <c r="C1435" s="47" t="str">
        <f t="shared" si="44"/>
        <v>Вт</v>
      </c>
      <c r="I1435" s="46"/>
      <c r="J1435" s="39">
        <f t="shared" si="45"/>
        <v>47394</v>
      </c>
      <c r="K1435" t="str">
        <f ca="1">IF(AND(B1435&gt;='План недели'!$B$4,B1435&lt;'План недели'!$D$4,D1435&lt;&gt;"",G1435&lt;&gt;"Отменён"),COUNTIFS($B$5:B1435,"&gt;="&amp;'План недели'!$B$4,$B$5:B1435,"&lt;"&amp;'План недели'!$D$4,$D$5:D1435,"&lt;&gt;",$G$5:G1435,"&lt;&gt;Отменён"),"")</f>
        <v/>
      </c>
    </row>
    <row r="1436" spans="1:11">
      <c r="A1436" t="str">
        <f>IF(B1436="","","VIS_"&amp;(YEAR(B1436)*10000+MONTH(B1436)*100+DAY(B1436))&amp;"_"&amp;IF(COUNTIF($B$5:B1436,B1436)&lt;10,"00"&amp;COUNTIF($B$5:B1436,B1436),IF(COUNTIF($B$5:B1436,B1436)&lt;100,"0"&amp;COUNTIF($B$5:B1436,B1436),COUNTIF($B$5:B1436,B1436))))</f>
        <v>VIS_20291010_001</v>
      </c>
      <c r="B1436" s="40">
        <v>47401</v>
      </c>
      <c r="C1436" s="47" t="str">
        <f t="shared" si="44"/>
        <v>Ср</v>
      </c>
      <c r="I1436" s="46"/>
      <c r="J1436" s="39">
        <f t="shared" si="45"/>
        <v>47401</v>
      </c>
      <c r="K1436" t="str">
        <f ca="1">IF(AND(B1436&gt;='План недели'!$B$4,B1436&lt;'План недели'!$D$4,D1436&lt;&gt;"",G1436&lt;&gt;"Отменён"),COUNTIFS($B$5:B1436,"&gt;="&amp;'План недели'!$B$4,$B$5:B1436,"&lt;"&amp;'План недели'!$D$4,$D$5:D1436,"&lt;&gt;",$G$5:G1436,"&lt;&gt;Отменён"),"")</f>
        <v/>
      </c>
    </row>
    <row r="1437" spans="1:11">
      <c r="A1437" t="str">
        <f>IF(B1437="","","VIS_"&amp;(YEAR(B1437)*10000+MONTH(B1437)*100+DAY(B1437))&amp;"_"&amp;IF(COUNTIF($B$5:B1437,B1437)&lt;10,"00"&amp;COUNTIF($B$5:B1437,B1437),IF(COUNTIF($B$5:B1437,B1437)&lt;100,"0"&amp;COUNTIF($B$5:B1437,B1437),COUNTIF($B$5:B1437,B1437))))</f>
        <v>VIS_20291011_001</v>
      </c>
      <c r="B1437" s="40">
        <v>47402</v>
      </c>
      <c r="C1437" s="47" t="str">
        <f t="shared" si="44"/>
        <v>Чт</v>
      </c>
      <c r="I1437" s="46"/>
      <c r="J1437" s="39">
        <f t="shared" si="45"/>
        <v>47401</v>
      </c>
      <c r="K1437" t="str">
        <f ca="1">IF(AND(B1437&gt;='План недели'!$B$4,B1437&lt;'План недели'!$D$4,D1437&lt;&gt;"",G1437&lt;&gt;"Отменён"),COUNTIFS($B$5:B1437,"&gt;="&amp;'План недели'!$B$4,$B$5:B1437,"&lt;"&amp;'План недели'!$D$4,$D$5:D1437,"&lt;&gt;",$G$5:G1437,"&lt;&gt;Отменён"),"")</f>
        <v/>
      </c>
    </row>
    <row r="1438" spans="1:11">
      <c r="A1438" t="str">
        <f>IF(B1438="","","VIS_"&amp;(YEAR(B1438)*10000+MONTH(B1438)*100+DAY(B1438))&amp;"_"&amp;IF(COUNTIF($B$5:B1438,B1438)&lt;10,"00"&amp;COUNTIF($B$5:B1438,B1438),IF(COUNTIF($B$5:B1438,B1438)&lt;100,"0"&amp;COUNTIF($B$5:B1438,B1438),COUNTIF($B$5:B1438,B1438))))</f>
        <v>VIS_20291012_001</v>
      </c>
      <c r="B1438" s="40">
        <v>47403</v>
      </c>
      <c r="C1438" s="47" t="str">
        <f t="shared" si="44"/>
        <v>Пт</v>
      </c>
      <c r="I1438" s="46"/>
      <c r="J1438" s="39">
        <f t="shared" si="45"/>
        <v>47401</v>
      </c>
      <c r="K1438" t="str">
        <f ca="1">IF(AND(B1438&gt;='План недели'!$B$4,B1438&lt;'План недели'!$D$4,D1438&lt;&gt;"",G1438&lt;&gt;"Отменён"),COUNTIFS($B$5:B1438,"&gt;="&amp;'План недели'!$B$4,$B$5:B1438,"&lt;"&amp;'План недели'!$D$4,$D$5:D1438,"&lt;&gt;",$G$5:G1438,"&lt;&gt;Отменён"),"")</f>
        <v/>
      </c>
    </row>
    <row r="1439" spans="1:11">
      <c r="A1439" t="str">
        <f>IF(B1439="","","VIS_"&amp;(YEAR(B1439)*10000+MONTH(B1439)*100+DAY(B1439))&amp;"_"&amp;IF(COUNTIF($B$5:B1439,B1439)&lt;10,"00"&amp;COUNTIF($B$5:B1439,B1439),IF(COUNTIF($B$5:B1439,B1439)&lt;100,"0"&amp;COUNTIF($B$5:B1439,B1439),COUNTIF($B$5:B1439,B1439))))</f>
        <v>VIS_20291013_001</v>
      </c>
      <c r="B1439" s="42">
        <v>47404</v>
      </c>
      <c r="C1439" s="49" t="str">
        <f t="shared" si="44"/>
        <v>Сб</v>
      </c>
      <c r="I1439" s="46"/>
      <c r="J1439" s="39">
        <f t="shared" si="45"/>
        <v>47401</v>
      </c>
      <c r="K1439" t="str">
        <f ca="1">IF(AND(B1439&gt;='План недели'!$B$4,B1439&lt;'План недели'!$D$4,D1439&lt;&gt;"",G1439&lt;&gt;"Отменён"),COUNTIFS($B$5:B1439,"&gt;="&amp;'План недели'!$B$4,$B$5:B1439,"&lt;"&amp;'План недели'!$D$4,$D$5:D1439,"&lt;&gt;",$G$5:G1439,"&lt;&gt;Отменён"),"")</f>
        <v/>
      </c>
    </row>
    <row r="1440" spans="1:11">
      <c r="A1440" t="str">
        <f>IF(B1440="","","VIS_"&amp;(YEAR(B1440)*10000+MONTH(B1440)*100+DAY(B1440))&amp;"_"&amp;IF(COUNTIF($B$5:B1440,B1440)&lt;10,"00"&amp;COUNTIF($B$5:B1440,B1440),IF(COUNTIF($B$5:B1440,B1440)&lt;100,"0"&amp;COUNTIF($B$5:B1440,B1440),COUNTIF($B$5:B1440,B1440))))</f>
        <v>VIS_20291014_001</v>
      </c>
      <c r="B1440" s="42">
        <v>47405</v>
      </c>
      <c r="C1440" s="49" t="str">
        <f t="shared" si="44"/>
        <v>Вс</v>
      </c>
      <c r="I1440" s="46"/>
      <c r="J1440" s="39">
        <f t="shared" si="45"/>
        <v>47401</v>
      </c>
      <c r="K1440" t="str">
        <f ca="1">IF(AND(B1440&gt;='План недели'!$B$4,B1440&lt;'План недели'!$D$4,D1440&lt;&gt;"",G1440&lt;&gt;"Отменён"),COUNTIFS($B$5:B1440,"&gt;="&amp;'План недели'!$B$4,$B$5:B1440,"&lt;"&amp;'План недели'!$D$4,$D$5:D1440,"&lt;&gt;",$G$5:G1440,"&lt;&gt;Отменён"),"")</f>
        <v/>
      </c>
    </row>
    <row r="1441" spans="1:11">
      <c r="A1441" t="str">
        <f>IF(B1441="","","VIS_"&amp;(YEAR(B1441)*10000+MONTH(B1441)*100+DAY(B1441))&amp;"_"&amp;IF(COUNTIF($B$5:B1441,B1441)&lt;10,"00"&amp;COUNTIF($B$5:B1441,B1441),IF(COUNTIF($B$5:B1441,B1441)&lt;100,"0"&amp;COUNTIF($B$5:B1441,B1441),COUNTIF($B$5:B1441,B1441))))</f>
        <v>VIS_20291015_001</v>
      </c>
      <c r="B1441" s="40">
        <v>47406</v>
      </c>
      <c r="C1441" s="47" t="str">
        <f t="shared" si="44"/>
        <v>Пн</v>
      </c>
      <c r="I1441" s="46"/>
      <c r="J1441" s="39">
        <f t="shared" si="45"/>
        <v>47401</v>
      </c>
      <c r="K1441" t="str">
        <f ca="1">IF(AND(B1441&gt;='План недели'!$B$4,B1441&lt;'План недели'!$D$4,D1441&lt;&gt;"",G1441&lt;&gt;"Отменён"),COUNTIFS($B$5:B1441,"&gt;="&amp;'План недели'!$B$4,$B$5:B1441,"&lt;"&amp;'План недели'!$D$4,$D$5:D1441,"&lt;&gt;",$G$5:G1441,"&lt;&gt;Отменён"),"")</f>
        <v/>
      </c>
    </row>
    <row r="1442" spans="1:11">
      <c r="A1442" t="str">
        <f>IF(B1442="","","VIS_"&amp;(YEAR(B1442)*10000+MONTH(B1442)*100+DAY(B1442))&amp;"_"&amp;IF(COUNTIF($B$5:B1442,B1442)&lt;10,"00"&amp;COUNTIF($B$5:B1442,B1442),IF(COUNTIF($B$5:B1442,B1442)&lt;100,"0"&amp;COUNTIF($B$5:B1442,B1442),COUNTIF($B$5:B1442,B1442))))</f>
        <v>VIS_20291016_001</v>
      </c>
      <c r="B1442" s="40">
        <v>47407</v>
      </c>
      <c r="C1442" s="47" t="str">
        <f t="shared" si="44"/>
        <v>Вт</v>
      </c>
      <c r="I1442" s="46"/>
      <c r="J1442" s="39">
        <f t="shared" si="45"/>
        <v>47401</v>
      </c>
      <c r="K1442" t="str">
        <f ca="1">IF(AND(B1442&gt;='План недели'!$B$4,B1442&lt;'План недели'!$D$4,D1442&lt;&gt;"",G1442&lt;&gt;"Отменён"),COUNTIFS($B$5:B1442,"&gt;="&amp;'План недели'!$B$4,$B$5:B1442,"&lt;"&amp;'План недели'!$D$4,$D$5:D1442,"&lt;&gt;",$G$5:G1442,"&lt;&gt;Отменён"),"")</f>
        <v/>
      </c>
    </row>
    <row r="1443" spans="1:11">
      <c r="A1443" t="str">
        <f>IF(B1443="","","VIS_"&amp;(YEAR(B1443)*10000+MONTH(B1443)*100+DAY(B1443))&amp;"_"&amp;IF(COUNTIF($B$5:B1443,B1443)&lt;10,"00"&amp;COUNTIF($B$5:B1443,B1443),IF(COUNTIF($B$5:B1443,B1443)&lt;100,"0"&amp;COUNTIF($B$5:B1443,B1443),COUNTIF($B$5:B1443,B1443))))</f>
        <v>VIS_20291017_001</v>
      </c>
      <c r="B1443" s="40">
        <v>47408</v>
      </c>
      <c r="C1443" s="47" t="str">
        <f t="shared" si="44"/>
        <v>Ср</v>
      </c>
      <c r="I1443" s="46"/>
      <c r="J1443" s="39">
        <f t="shared" si="45"/>
        <v>47408</v>
      </c>
      <c r="K1443" t="str">
        <f ca="1">IF(AND(B1443&gt;='План недели'!$B$4,B1443&lt;'План недели'!$D$4,D1443&lt;&gt;"",G1443&lt;&gt;"Отменён"),COUNTIFS($B$5:B1443,"&gt;="&amp;'План недели'!$B$4,$B$5:B1443,"&lt;"&amp;'План недели'!$D$4,$D$5:D1443,"&lt;&gt;",$G$5:G1443,"&lt;&gt;Отменён"),"")</f>
        <v/>
      </c>
    </row>
    <row r="1444" spans="1:11">
      <c r="A1444" t="str">
        <f>IF(B1444="","","VIS_"&amp;(YEAR(B1444)*10000+MONTH(B1444)*100+DAY(B1444))&amp;"_"&amp;IF(COUNTIF($B$5:B1444,B1444)&lt;10,"00"&amp;COUNTIF($B$5:B1444,B1444),IF(COUNTIF($B$5:B1444,B1444)&lt;100,"0"&amp;COUNTIF($B$5:B1444,B1444),COUNTIF($B$5:B1444,B1444))))</f>
        <v>VIS_20291018_001</v>
      </c>
      <c r="B1444" s="40">
        <v>47409</v>
      </c>
      <c r="C1444" s="47" t="str">
        <f t="shared" si="44"/>
        <v>Чт</v>
      </c>
      <c r="I1444" s="46"/>
      <c r="J1444" s="39">
        <f t="shared" si="45"/>
        <v>47408</v>
      </c>
      <c r="K1444" t="str">
        <f ca="1">IF(AND(B1444&gt;='План недели'!$B$4,B1444&lt;'План недели'!$D$4,D1444&lt;&gt;"",G1444&lt;&gt;"Отменён"),COUNTIFS($B$5:B1444,"&gt;="&amp;'План недели'!$B$4,$B$5:B1444,"&lt;"&amp;'План недели'!$D$4,$D$5:D1444,"&lt;&gt;",$G$5:G1444,"&lt;&gt;Отменён"),"")</f>
        <v/>
      </c>
    </row>
    <row r="1445" spans="1:11">
      <c r="A1445" t="str">
        <f>IF(B1445="","","VIS_"&amp;(YEAR(B1445)*10000+MONTH(B1445)*100+DAY(B1445))&amp;"_"&amp;IF(COUNTIF($B$5:B1445,B1445)&lt;10,"00"&amp;COUNTIF($B$5:B1445,B1445),IF(COUNTIF($B$5:B1445,B1445)&lt;100,"0"&amp;COUNTIF($B$5:B1445,B1445),COUNTIF($B$5:B1445,B1445))))</f>
        <v>VIS_20291019_001</v>
      </c>
      <c r="B1445" s="40">
        <v>47410</v>
      </c>
      <c r="C1445" s="47" t="str">
        <f t="shared" si="44"/>
        <v>Пт</v>
      </c>
      <c r="I1445" s="46"/>
      <c r="J1445" s="39">
        <f t="shared" si="45"/>
        <v>47408</v>
      </c>
      <c r="K1445" t="str">
        <f ca="1">IF(AND(B1445&gt;='План недели'!$B$4,B1445&lt;'План недели'!$D$4,D1445&lt;&gt;"",G1445&lt;&gt;"Отменён"),COUNTIFS($B$5:B1445,"&gt;="&amp;'План недели'!$B$4,$B$5:B1445,"&lt;"&amp;'План недели'!$D$4,$D$5:D1445,"&lt;&gt;",$G$5:G1445,"&lt;&gt;Отменён"),"")</f>
        <v/>
      </c>
    </row>
    <row r="1446" spans="1:11">
      <c r="A1446" t="str">
        <f>IF(B1446="","","VIS_"&amp;(YEAR(B1446)*10000+MONTH(B1446)*100+DAY(B1446))&amp;"_"&amp;IF(COUNTIF($B$5:B1446,B1446)&lt;10,"00"&amp;COUNTIF($B$5:B1446,B1446),IF(COUNTIF($B$5:B1446,B1446)&lt;100,"0"&amp;COUNTIF($B$5:B1446,B1446),COUNTIF($B$5:B1446,B1446))))</f>
        <v>VIS_20291020_001</v>
      </c>
      <c r="B1446" s="42">
        <v>47411</v>
      </c>
      <c r="C1446" s="49" t="str">
        <f t="shared" si="44"/>
        <v>Сб</v>
      </c>
      <c r="I1446" s="46"/>
      <c r="J1446" s="39">
        <f t="shared" si="45"/>
        <v>47408</v>
      </c>
      <c r="K1446" t="str">
        <f ca="1">IF(AND(B1446&gt;='План недели'!$B$4,B1446&lt;'План недели'!$D$4,D1446&lt;&gt;"",G1446&lt;&gt;"Отменён"),COUNTIFS($B$5:B1446,"&gt;="&amp;'План недели'!$B$4,$B$5:B1446,"&lt;"&amp;'План недели'!$D$4,$D$5:D1446,"&lt;&gt;",$G$5:G1446,"&lt;&gt;Отменён"),"")</f>
        <v/>
      </c>
    </row>
    <row r="1447" spans="1:11">
      <c r="A1447" t="str">
        <f>IF(B1447="","","VIS_"&amp;(YEAR(B1447)*10000+MONTH(B1447)*100+DAY(B1447))&amp;"_"&amp;IF(COUNTIF($B$5:B1447,B1447)&lt;10,"00"&amp;COUNTIF($B$5:B1447,B1447),IF(COUNTIF($B$5:B1447,B1447)&lt;100,"0"&amp;COUNTIF($B$5:B1447,B1447),COUNTIF($B$5:B1447,B1447))))</f>
        <v>VIS_20291021_001</v>
      </c>
      <c r="B1447" s="42">
        <v>47412</v>
      </c>
      <c r="C1447" s="49" t="str">
        <f t="shared" si="44"/>
        <v>Вс</v>
      </c>
      <c r="I1447" s="46"/>
      <c r="J1447" s="39">
        <f t="shared" si="45"/>
        <v>47408</v>
      </c>
      <c r="K1447" t="str">
        <f ca="1">IF(AND(B1447&gt;='План недели'!$B$4,B1447&lt;'План недели'!$D$4,D1447&lt;&gt;"",G1447&lt;&gt;"Отменён"),COUNTIFS($B$5:B1447,"&gt;="&amp;'План недели'!$B$4,$B$5:B1447,"&lt;"&amp;'План недели'!$D$4,$D$5:D1447,"&lt;&gt;",$G$5:G1447,"&lt;&gt;Отменён"),"")</f>
        <v/>
      </c>
    </row>
    <row r="1448" spans="1:11">
      <c r="A1448" t="str">
        <f>IF(B1448="","","VIS_"&amp;(YEAR(B1448)*10000+MONTH(B1448)*100+DAY(B1448))&amp;"_"&amp;IF(COUNTIF($B$5:B1448,B1448)&lt;10,"00"&amp;COUNTIF($B$5:B1448,B1448),IF(COUNTIF($B$5:B1448,B1448)&lt;100,"0"&amp;COUNTIF($B$5:B1448,B1448),COUNTIF($B$5:B1448,B1448))))</f>
        <v>VIS_20291022_001</v>
      </c>
      <c r="B1448" s="40">
        <v>47413</v>
      </c>
      <c r="C1448" s="47" t="str">
        <f t="shared" si="44"/>
        <v>Пн</v>
      </c>
      <c r="I1448" s="46"/>
      <c r="J1448" s="39">
        <f t="shared" si="45"/>
        <v>47408</v>
      </c>
      <c r="K1448" t="str">
        <f ca="1">IF(AND(B1448&gt;='План недели'!$B$4,B1448&lt;'План недели'!$D$4,D1448&lt;&gt;"",G1448&lt;&gt;"Отменён"),COUNTIFS($B$5:B1448,"&gt;="&amp;'План недели'!$B$4,$B$5:B1448,"&lt;"&amp;'План недели'!$D$4,$D$5:D1448,"&lt;&gt;",$G$5:G1448,"&lt;&gt;Отменён"),"")</f>
        <v/>
      </c>
    </row>
    <row r="1449" spans="1:11">
      <c r="A1449" t="str">
        <f>IF(B1449="","","VIS_"&amp;(YEAR(B1449)*10000+MONTH(B1449)*100+DAY(B1449))&amp;"_"&amp;IF(COUNTIF($B$5:B1449,B1449)&lt;10,"00"&amp;COUNTIF($B$5:B1449,B1449),IF(COUNTIF($B$5:B1449,B1449)&lt;100,"0"&amp;COUNTIF($B$5:B1449,B1449),COUNTIF($B$5:B1449,B1449))))</f>
        <v>VIS_20291023_001</v>
      </c>
      <c r="B1449" s="40">
        <v>47414</v>
      </c>
      <c r="C1449" s="47" t="str">
        <f t="shared" si="44"/>
        <v>Вт</v>
      </c>
      <c r="I1449" s="46"/>
      <c r="J1449" s="39">
        <f t="shared" si="45"/>
        <v>47408</v>
      </c>
      <c r="K1449" t="str">
        <f ca="1">IF(AND(B1449&gt;='План недели'!$B$4,B1449&lt;'План недели'!$D$4,D1449&lt;&gt;"",G1449&lt;&gt;"Отменён"),COUNTIFS($B$5:B1449,"&gt;="&amp;'План недели'!$B$4,$B$5:B1449,"&lt;"&amp;'План недели'!$D$4,$D$5:D1449,"&lt;&gt;",$G$5:G1449,"&lt;&gt;Отменён"),"")</f>
        <v/>
      </c>
    </row>
    <row r="1450" spans="1:11">
      <c r="A1450" t="str">
        <f>IF(B1450="","","VIS_"&amp;(YEAR(B1450)*10000+MONTH(B1450)*100+DAY(B1450))&amp;"_"&amp;IF(COUNTIF($B$5:B1450,B1450)&lt;10,"00"&amp;COUNTIF($B$5:B1450,B1450),IF(COUNTIF($B$5:B1450,B1450)&lt;100,"0"&amp;COUNTIF($B$5:B1450,B1450),COUNTIF($B$5:B1450,B1450))))</f>
        <v>VIS_20291024_001</v>
      </c>
      <c r="B1450" s="40">
        <v>47415</v>
      </c>
      <c r="C1450" s="47" t="str">
        <f t="shared" si="44"/>
        <v>Ср</v>
      </c>
      <c r="I1450" s="46"/>
      <c r="J1450" s="39">
        <f t="shared" si="45"/>
        <v>47415</v>
      </c>
      <c r="K1450" t="str">
        <f ca="1">IF(AND(B1450&gt;='План недели'!$B$4,B1450&lt;'План недели'!$D$4,D1450&lt;&gt;"",G1450&lt;&gt;"Отменён"),COUNTIFS($B$5:B1450,"&gt;="&amp;'План недели'!$B$4,$B$5:B1450,"&lt;"&amp;'План недели'!$D$4,$D$5:D1450,"&lt;&gt;",$G$5:G1450,"&lt;&gt;Отменён"),"")</f>
        <v/>
      </c>
    </row>
    <row r="1451" spans="1:11">
      <c r="A1451" t="str">
        <f>IF(B1451="","","VIS_"&amp;(YEAR(B1451)*10000+MONTH(B1451)*100+DAY(B1451))&amp;"_"&amp;IF(COUNTIF($B$5:B1451,B1451)&lt;10,"00"&amp;COUNTIF($B$5:B1451,B1451),IF(COUNTIF($B$5:B1451,B1451)&lt;100,"0"&amp;COUNTIF($B$5:B1451,B1451),COUNTIF($B$5:B1451,B1451))))</f>
        <v>VIS_20291025_001</v>
      </c>
      <c r="B1451" s="40">
        <v>47416</v>
      </c>
      <c r="C1451" s="47" t="str">
        <f t="shared" si="44"/>
        <v>Чт</v>
      </c>
      <c r="I1451" s="46"/>
      <c r="J1451" s="39">
        <f t="shared" si="45"/>
        <v>47415</v>
      </c>
      <c r="K1451" t="str">
        <f ca="1">IF(AND(B1451&gt;='План недели'!$B$4,B1451&lt;'План недели'!$D$4,D1451&lt;&gt;"",G1451&lt;&gt;"Отменён"),COUNTIFS($B$5:B1451,"&gt;="&amp;'План недели'!$B$4,$B$5:B1451,"&lt;"&amp;'План недели'!$D$4,$D$5:D1451,"&lt;&gt;",$G$5:G1451,"&lt;&gt;Отменён"),"")</f>
        <v/>
      </c>
    </row>
    <row r="1452" spans="1:11">
      <c r="A1452" t="str">
        <f>IF(B1452="","","VIS_"&amp;(YEAR(B1452)*10000+MONTH(B1452)*100+DAY(B1452))&amp;"_"&amp;IF(COUNTIF($B$5:B1452,B1452)&lt;10,"00"&amp;COUNTIF($B$5:B1452,B1452),IF(COUNTIF($B$5:B1452,B1452)&lt;100,"0"&amp;COUNTIF($B$5:B1452,B1452),COUNTIF($B$5:B1452,B1452))))</f>
        <v>VIS_20291026_001</v>
      </c>
      <c r="B1452" s="40">
        <v>47417</v>
      </c>
      <c r="C1452" s="47" t="str">
        <f t="shared" si="44"/>
        <v>Пт</v>
      </c>
      <c r="I1452" s="46"/>
      <c r="J1452" s="39">
        <f t="shared" si="45"/>
        <v>47415</v>
      </c>
      <c r="K1452" t="str">
        <f ca="1">IF(AND(B1452&gt;='План недели'!$B$4,B1452&lt;'План недели'!$D$4,D1452&lt;&gt;"",G1452&lt;&gt;"Отменён"),COUNTIFS($B$5:B1452,"&gt;="&amp;'План недели'!$B$4,$B$5:B1452,"&lt;"&amp;'План недели'!$D$4,$D$5:D1452,"&lt;&gt;",$G$5:G1452,"&lt;&gt;Отменён"),"")</f>
        <v/>
      </c>
    </row>
    <row r="1453" spans="1:11">
      <c r="A1453" t="str">
        <f>IF(B1453="","","VIS_"&amp;(YEAR(B1453)*10000+MONTH(B1453)*100+DAY(B1453))&amp;"_"&amp;IF(COUNTIF($B$5:B1453,B1453)&lt;10,"00"&amp;COUNTIF($B$5:B1453,B1453),IF(COUNTIF($B$5:B1453,B1453)&lt;100,"0"&amp;COUNTIF($B$5:B1453,B1453),COUNTIF($B$5:B1453,B1453))))</f>
        <v>VIS_20291027_001</v>
      </c>
      <c r="B1453" s="42">
        <v>47418</v>
      </c>
      <c r="C1453" s="49" t="str">
        <f t="shared" si="44"/>
        <v>Сб</v>
      </c>
      <c r="I1453" s="46"/>
      <c r="J1453" s="39">
        <f t="shared" si="45"/>
        <v>47415</v>
      </c>
      <c r="K1453" t="str">
        <f ca="1">IF(AND(B1453&gt;='План недели'!$B$4,B1453&lt;'План недели'!$D$4,D1453&lt;&gt;"",G1453&lt;&gt;"Отменён"),COUNTIFS($B$5:B1453,"&gt;="&amp;'План недели'!$B$4,$B$5:B1453,"&lt;"&amp;'План недели'!$D$4,$D$5:D1453,"&lt;&gt;",$G$5:G1453,"&lt;&gt;Отменён"),"")</f>
        <v/>
      </c>
    </row>
    <row r="1454" spans="1:11">
      <c r="A1454" t="str">
        <f>IF(B1454="","","VIS_"&amp;(YEAR(B1454)*10000+MONTH(B1454)*100+DAY(B1454))&amp;"_"&amp;IF(COUNTIF($B$5:B1454,B1454)&lt;10,"00"&amp;COUNTIF($B$5:B1454,B1454),IF(COUNTIF($B$5:B1454,B1454)&lt;100,"0"&amp;COUNTIF($B$5:B1454,B1454),COUNTIF($B$5:B1454,B1454))))</f>
        <v>VIS_20291028_001</v>
      </c>
      <c r="B1454" s="42">
        <v>47419</v>
      </c>
      <c r="C1454" s="49" t="str">
        <f t="shared" si="44"/>
        <v>Вс</v>
      </c>
      <c r="I1454" s="46"/>
      <c r="J1454" s="39">
        <f t="shared" si="45"/>
        <v>47415</v>
      </c>
      <c r="K1454" t="str">
        <f ca="1">IF(AND(B1454&gt;='План недели'!$B$4,B1454&lt;'План недели'!$D$4,D1454&lt;&gt;"",G1454&lt;&gt;"Отменён"),COUNTIFS($B$5:B1454,"&gt;="&amp;'План недели'!$B$4,$B$5:B1454,"&lt;"&amp;'План недели'!$D$4,$D$5:D1454,"&lt;&gt;",$G$5:G1454,"&lt;&gt;Отменён"),"")</f>
        <v/>
      </c>
    </row>
    <row r="1455" spans="1:11">
      <c r="A1455" t="str">
        <f>IF(B1455="","","VIS_"&amp;(YEAR(B1455)*10000+MONTH(B1455)*100+DAY(B1455))&amp;"_"&amp;IF(COUNTIF($B$5:B1455,B1455)&lt;10,"00"&amp;COUNTIF($B$5:B1455,B1455),IF(COUNTIF($B$5:B1455,B1455)&lt;100,"0"&amp;COUNTIF($B$5:B1455,B1455),COUNTIF($B$5:B1455,B1455))))</f>
        <v>VIS_20291029_001</v>
      </c>
      <c r="B1455" s="40">
        <v>47420</v>
      </c>
      <c r="C1455" s="47" t="str">
        <f t="shared" si="44"/>
        <v>Пн</v>
      </c>
      <c r="I1455" s="46"/>
      <c r="J1455" s="39">
        <f t="shared" si="45"/>
        <v>47415</v>
      </c>
      <c r="K1455" t="str">
        <f ca="1">IF(AND(B1455&gt;='План недели'!$B$4,B1455&lt;'План недели'!$D$4,D1455&lt;&gt;"",G1455&lt;&gt;"Отменён"),COUNTIFS($B$5:B1455,"&gt;="&amp;'План недели'!$B$4,$B$5:B1455,"&lt;"&amp;'План недели'!$D$4,$D$5:D1455,"&lt;&gt;",$G$5:G1455,"&lt;&gt;Отменён"),"")</f>
        <v/>
      </c>
    </row>
    <row r="1456" spans="1:11">
      <c r="A1456" t="str">
        <f>IF(B1456="","","VIS_"&amp;(YEAR(B1456)*10000+MONTH(B1456)*100+DAY(B1456))&amp;"_"&amp;IF(COUNTIF($B$5:B1456,B1456)&lt;10,"00"&amp;COUNTIF($B$5:B1456,B1456),IF(COUNTIF($B$5:B1456,B1456)&lt;100,"0"&amp;COUNTIF($B$5:B1456,B1456),COUNTIF($B$5:B1456,B1456))))</f>
        <v>VIS_20291030_001</v>
      </c>
      <c r="B1456" s="40">
        <v>47421</v>
      </c>
      <c r="C1456" s="47" t="str">
        <f t="shared" si="44"/>
        <v>Вт</v>
      </c>
      <c r="I1456" s="46"/>
      <c r="J1456" s="39">
        <f t="shared" si="45"/>
        <v>47415</v>
      </c>
      <c r="K1456" t="str">
        <f ca="1">IF(AND(B1456&gt;='План недели'!$B$4,B1456&lt;'План недели'!$D$4,D1456&lt;&gt;"",G1456&lt;&gt;"Отменён"),COUNTIFS($B$5:B1456,"&gt;="&amp;'План недели'!$B$4,$B$5:B1456,"&lt;"&amp;'План недели'!$D$4,$D$5:D1456,"&lt;&gt;",$G$5:G1456,"&lt;&gt;Отменён"),"")</f>
        <v/>
      </c>
    </row>
    <row r="1457" spans="1:11">
      <c r="A1457" t="str">
        <f>IF(B1457="","","VIS_"&amp;(YEAR(B1457)*10000+MONTH(B1457)*100+DAY(B1457))&amp;"_"&amp;IF(COUNTIF($B$5:B1457,B1457)&lt;10,"00"&amp;COUNTIF($B$5:B1457,B1457),IF(COUNTIF($B$5:B1457,B1457)&lt;100,"0"&amp;COUNTIF($B$5:B1457,B1457),COUNTIF($B$5:B1457,B1457))))</f>
        <v>VIS_20291031_001</v>
      </c>
      <c r="B1457" s="40">
        <v>47422</v>
      </c>
      <c r="C1457" s="47" t="str">
        <f t="shared" si="44"/>
        <v>Ср</v>
      </c>
      <c r="I1457" s="46"/>
      <c r="J1457" s="39">
        <f t="shared" si="45"/>
        <v>47422</v>
      </c>
      <c r="K1457" t="str">
        <f ca="1">IF(AND(B1457&gt;='План недели'!$B$4,B1457&lt;'План недели'!$D$4,D1457&lt;&gt;"",G1457&lt;&gt;"Отменён"),COUNTIFS($B$5:B1457,"&gt;="&amp;'План недели'!$B$4,$B$5:B1457,"&lt;"&amp;'План недели'!$D$4,$D$5:D1457,"&lt;&gt;",$G$5:G1457,"&lt;&gt;Отменён"),"")</f>
        <v/>
      </c>
    </row>
    <row r="1458" spans="1:11">
      <c r="A1458" t="str">
        <f>IF(B1458="","","VIS_"&amp;(YEAR(B1458)*10000+MONTH(B1458)*100+DAY(B1458))&amp;"_"&amp;IF(COUNTIF($B$5:B1458,B1458)&lt;10,"00"&amp;COUNTIF($B$5:B1458,B1458),IF(COUNTIF($B$5:B1458,B1458)&lt;100,"0"&amp;COUNTIF($B$5:B1458,B1458),COUNTIF($B$5:B1458,B1458))))</f>
        <v>VIS_20291101_001</v>
      </c>
      <c r="B1458" s="40">
        <v>47423</v>
      </c>
      <c r="C1458" s="47" t="str">
        <f t="shared" si="44"/>
        <v>Чт</v>
      </c>
      <c r="I1458" s="46"/>
      <c r="J1458" s="39">
        <f t="shared" si="45"/>
        <v>47422</v>
      </c>
      <c r="K1458" t="str">
        <f ca="1">IF(AND(B1458&gt;='План недели'!$B$4,B1458&lt;'План недели'!$D$4,D1458&lt;&gt;"",G1458&lt;&gt;"Отменён"),COUNTIFS($B$5:B1458,"&gt;="&amp;'План недели'!$B$4,$B$5:B1458,"&lt;"&amp;'План недели'!$D$4,$D$5:D1458,"&lt;&gt;",$G$5:G1458,"&lt;&gt;Отменён"),"")</f>
        <v/>
      </c>
    </row>
    <row r="1459" spans="1:11">
      <c r="A1459" t="str">
        <f>IF(B1459="","","VIS_"&amp;(YEAR(B1459)*10000+MONTH(B1459)*100+DAY(B1459))&amp;"_"&amp;IF(COUNTIF($B$5:B1459,B1459)&lt;10,"00"&amp;COUNTIF($B$5:B1459,B1459),IF(COUNTIF($B$5:B1459,B1459)&lt;100,"0"&amp;COUNTIF($B$5:B1459,B1459),COUNTIF($B$5:B1459,B1459))))</f>
        <v>VIS_20291102_001</v>
      </c>
      <c r="B1459" s="40">
        <v>47424</v>
      </c>
      <c r="C1459" s="47" t="str">
        <f t="shared" si="44"/>
        <v>Пт</v>
      </c>
      <c r="I1459" s="46"/>
      <c r="J1459" s="39">
        <f t="shared" si="45"/>
        <v>47422</v>
      </c>
      <c r="K1459" t="str">
        <f ca="1">IF(AND(B1459&gt;='План недели'!$B$4,B1459&lt;'План недели'!$D$4,D1459&lt;&gt;"",G1459&lt;&gt;"Отменён"),COUNTIFS($B$5:B1459,"&gt;="&amp;'План недели'!$B$4,$B$5:B1459,"&lt;"&amp;'План недели'!$D$4,$D$5:D1459,"&lt;&gt;",$G$5:G1459,"&lt;&gt;Отменён"),"")</f>
        <v/>
      </c>
    </row>
    <row r="1460" spans="1:11">
      <c r="A1460" t="str">
        <f>IF(B1460="","","VIS_"&amp;(YEAR(B1460)*10000+MONTH(B1460)*100+DAY(B1460))&amp;"_"&amp;IF(COUNTIF($B$5:B1460,B1460)&lt;10,"00"&amp;COUNTIF($B$5:B1460,B1460),IF(COUNTIF($B$5:B1460,B1460)&lt;100,"0"&amp;COUNTIF($B$5:B1460,B1460),COUNTIF($B$5:B1460,B1460))))</f>
        <v>VIS_20291103_001</v>
      </c>
      <c r="B1460" s="42">
        <v>47425</v>
      </c>
      <c r="C1460" s="49" t="str">
        <f t="shared" si="44"/>
        <v>Сб</v>
      </c>
      <c r="I1460" s="46"/>
      <c r="J1460" s="39">
        <f t="shared" si="45"/>
        <v>47422</v>
      </c>
      <c r="K1460" t="str">
        <f ca="1">IF(AND(B1460&gt;='План недели'!$B$4,B1460&lt;'План недели'!$D$4,D1460&lt;&gt;"",G1460&lt;&gt;"Отменён"),COUNTIFS($B$5:B1460,"&gt;="&amp;'План недели'!$B$4,$B$5:B1460,"&lt;"&amp;'План недели'!$D$4,$D$5:D1460,"&lt;&gt;",$G$5:G1460,"&lt;&gt;Отменён"),"")</f>
        <v/>
      </c>
    </row>
    <row r="1461" spans="1:11">
      <c r="A1461" t="str">
        <f>IF(B1461="","","VIS_"&amp;(YEAR(B1461)*10000+MONTH(B1461)*100+DAY(B1461))&amp;"_"&amp;IF(COUNTIF($B$5:B1461,B1461)&lt;10,"00"&amp;COUNTIF($B$5:B1461,B1461),IF(COUNTIF($B$5:B1461,B1461)&lt;100,"0"&amp;COUNTIF($B$5:B1461,B1461),COUNTIF($B$5:B1461,B1461))))</f>
        <v>VIS_20291104_001</v>
      </c>
      <c r="B1461" s="42">
        <v>47426</v>
      </c>
      <c r="C1461" s="49" t="str">
        <f t="shared" si="44"/>
        <v>Вс</v>
      </c>
      <c r="I1461" s="46"/>
      <c r="J1461" s="39">
        <f t="shared" si="45"/>
        <v>47422</v>
      </c>
      <c r="K1461" t="str">
        <f ca="1">IF(AND(B1461&gt;='План недели'!$B$4,B1461&lt;'План недели'!$D$4,D1461&lt;&gt;"",G1461&lt;&gt;"Отменён"),COUNTIFS($B$5:B1461,"&gt;="&amp;'План недели'!$B$4,$B$5:B1461,"&lt;"&amp;'План недели'!$D$4,$D$5:D1461,"&lt;&gt;",$G$5:G1461,"&lt;&gt;Отменён"),"")</f>
        <v/>
      </c>
    </row>
    <row r="1462" spans="1:11">
      <c r="A1462" t="str">
        <f>IF(B1462="","","VIS_"&amp;(YEAR(B1462)*10000+MONTH(B1462)*100+DAY(B1462))&amp;"_"&amp;IF(COUNTIF($B$5:B1462,B1462)&lt;10,"00"&amp;COUNTIF($B$5:B1462,B1462),IF(COUNTIF($B$5:B1462,B1462)&lt;100,"0"&amp;COUNTIF($B$5:B1462,B1462),COUNTIF($B$5:B1462,B1462))))</f>
        <v>VIS_20291105_001</v>
      </c>
      <c r="B1462" s="40">
        <v>47427</v>
      </c>
      <c r="C1462" s="47" t="str">
        <f t="shared" si="44"/>
        <v>Пн</v>
      </c>
      <c r="I1462" s="46"/>
      <c r="J1462" s="39">
        <f t="shared" si="45"/>
        <v>47422</v>
      </c>
      <c r="K1462" t="str">
        <f ca="1">IF(AND(B1462&gt;='План недели'!$B$4,B1462&lt;'План недели'!$D$4,D1462&lt;&gt;"",G1462&lt;&gt;"Отменён"),COUNTIFS($B$5:B1462,"&gt;="&amp;'План недели'!$B$4,$B$5:B1462,"&lt;"&amp;'План недели'!$D$4,$D$5:D1462,"&lt;&gt;",$G$5:G1462,"&lt;&gt;Отменён"),"")</f>
        <v/>
      </c>
    </row>
    <row r="1463" spans="1:11">
      <c r="A1463" t="str">
        <f>IF(B1463="","","VIS_"&amp;(YEAR(B1463)*10000+MONTH(B1463)*100+DAY(B1463))&amp;"_"&amp;IF(COUNTIF($B$5:B1463,B1463)&lt;10,"00"&amp;COUNTIF($B$5:B1463,B1463),IF(COUNTIF($B$5:B1463,B1463)&lt;100,"0"&amp;COUNTIF($B$5:B1463,B1463),COUNTIF($B$5:B1463,B1463))))</f>
        <v>VIS_20291106_001</v>
      </c>
      <c r="B1463" s="40">
        <v>47428</v>
      </c>
      <c r="C1463" s="47" t="str">
        <f t="shared" si="44"/>
        <v>Вт</v>
      </c>
      <c r="I1463" s="46"/>
      <c r="J1463" s="39">
        <f t="shared" si="45"/>
        <v>47422</v>
      </c>
      <c r="K1463" t="str">
        <f ca="1">IF(AND(B1463&gt;='План недели'!$B$4,B1463&lt;'План недели'!$D$4,D1463&lt;&gt;"",G1463&lt;&gt;"Отменён"),COUNTIFS($B$5:B1463,"&gt;="&amp;'План недели'!$B$4,$B$5:B1463,"&lt;"&amp;'План недели'!$D$4,$D$5:D1463,"&lt;&gt;",$G$5:G1463,"&lt;&gt;Отменён"),"")</f>
        <v/>
      </c>
    </row>
    <row r="1464" spans="1:11">
      <c r="A1464" t="str">
        <f>IF(B1464="","","VIS_"&amp;(YEAR(B1464)*10000+MONTH(B1464)*100+DAY(B1464))&amp;"_"&amp;IF(COUNTIF($B$5:B1464,B1464)&lt;10,"00"&amp;COUNTIF($B$5:B1464,B1464),IF(COUNTIF($B$5:B1464,B1464)&lt;100,"0"&amp;COUNTIF($B$5:B1464,B1464),COUNTIF($B$5:B1464,B1464))))</f>
        <v>VIS_20291107_001</v>
      </c>
      <c r="B1464" s="40">
        <v>47429</v>
      </c>
      <c r="C1464" s="47" t="str">
        <f t="shared" si="44"/>
        <v>Ср</v>
      </c>
      <c r="I1464" s="46"/>
      <c r="J1464" s="39">
        <f t="shared" si="45"/>
        <v>47429</v>
      </c>
      <c r="K1464" t="str">
        <f ca="1">IF(AND(B1464&gt;='План недели'!$B$4,B1464&lt;'План недели'!$D$4,D1464&lt;&gt;"",G1464&lt;&gt;"Отменён"),COUNTIFS($B$5:B1464,"&gt;="&amp;'План недели'!$B$4,$B$5:B1464,"&lt;"&amp;'План недели'!$D$4,$D$5:D1464,"&lt;&gt;",$G$5:G1464,"&lt;&gt;Отменён"),"")</f>
        <v/>
      </c>
    </row>
    <row r="1465" spans="1:11">
      <c r="A1465" t="str">
        <f>IF(B1465="","","VIS_"&amp;(YEAR(B1465)*10000+MONTH(B1465)*100+DAY(B1465))&amp;"_"&amp;IF(COUNTIF($B$5:B1465,B1465)&lt;10,"00"&amp;COUNTIF($B$5:B1465,B1465),IF(COUNTIF($B$5:B1465,B1465)&lt;100,"0"&amp;COUNTIF($B$5:B1465,B1465),COUNTIF($B$5:B1465,B1465))))</f>
        <v>VIS_20291108_001</v>
      </c>
      <c r="B1465" s="40">
        <v>47430</v>
      </c>
      <c r="C1465" s="47" t="str">
        <f t="shared" si="44"/>
        <v>Чт</v>
      </c>
      <c r="I1465" s="46"/>
      <c r="J1465" s="39">
        <f t="shared" si="45"/>
        <v>47429</v>
      </c>
      <c r="K1465" t="str">
        <f ca="1">IF(AND(B1465&gt;='План недели'!$B$4,B1465&lt;'План недели'!$D$4,D1465&lt;&gt;"",G1465&lt;&gt;"Отменён"),COUNTIFS($B$5:B1465,"&gt;="&amp;'План недели'!$B$4,$B$5:B1465,"&lt;"&amp;'План недели'!$D$4,$D$5:D1465,"&lt;&gt;",$G$5:G1465,"&lt;&gt;Отменён"),"")</f>
        <v/>
      </c>
    </row>
    <row r="1466" spans="1:11">
      <c r="A1466" t="str">
        <f>IF(B1466="","","VIS_"&amp;(YEAR(B1466)*10000+MONTH(B1466)*100+DAY(B1466))&amp;"_"&amp;IF(COUNTIF($B$5:B1466,B1466)&lt;10,"00"&amp;COUNTIF($B$5:B1466,B1466),IF(COUNTIF($B$5:B1466,B1466)&lt;100,"0"&amp;COUNTIF($B$5:B1466,B1466),COUNTIF($B$5:B1466,B1466))))</f>
        <v>VIS_20291109_001</v>
      </c>
      <c r="B1466" s="40">
        <v>47431</v>
      </c>
      <c r="C1466" s="47" t="str">
        <f t="shared" si="44"/>
        <v>Пт</v>
      </c>
      <c r="I1466" s="46"/>
      <c r="J1466" s="39">
        <f t="shared" si="45"/>
        <v>47429</v>
      </c>
      <c r="K1466" t="str">
        <f ca="1">IF(AND(B1466&gt;='План недели'!$B$4,B1466&lt;'План недели'!$D$4,D1466&lt;&gt;"",G1466&lt;&gt;"Отменён"),COUNTIFS($B$5:B1466,"&gt;="&amp;'План недели'!$B$4,$B$5:B1466,"&lt;"&amp;'План недели'!$D$4,$D$5:D1466,"&lt;&gt;",$G$5:G1466,"&lt;&gt;Отменён"),"")</f>
        <v/>
      </c>
    </row>
    <row r="1467" spans="1:11">
      <c r="A1467" t="str">
        <f>IF(B1467="","","VIS_"&amp;(YEAR(B1467)*10000+MONTH(B1467)*100+DAY(B1467))&amp;"_"&amp;IF(COUNTIF($B$5:B1467,B1467)&lt;10,"00"&amp;COUNTIF($B$5:B1467,B1467),IF(COUNTIF($B$5:B1467,B1467)&lt;100,"0"&amp;COUNTIF($B$5:B1467,B1467),COUNTIF($B$5:B1467,B1467))))</f>
        <v>VIS_20291110_001</v>
      </c>
      <c r="B1467" s="42">
        <v>47432</v>
      </c>
      <c r="C1467" s="49" t="str">
        <f t="shared" si="44"/>
        <v>Сб</v>
      </c>
      <c r="I1467" s="46"/>
      <c r="J1467" s="39">
        <f t="shared" si="45"/>
        <v>47429</v>
      </c>
      <c r="K1467" t="str">
        <f ca="1">IF(AND(B1467&gt;='План недели'!$B$4,B1467&lt;'План недели'!$D$4,D1467&lt;&gt;"",G1467&lt;&gt;"Отменён"),COUNTIFS($B$5:B1467,"&gt;="&amp;'План недели'!$B$4,$B$5:B1467,"&lt;"&amp;'План недели'!$D$4,$D$5:D1467,"&lt;&gt;",$G$5:G1467,"&lt;&gt;Отменён"),"")</f>
        <v/>
      </c>
    </row>
    <row r="1468" spans="1:11">
      <c r="A1468" t="str">
        <f>IF(B1468="","","VIS_"&amp;(YEAR(B1468)*10000+MONTH(B1468)*100+DAY(B1468))&amp;"_"&amp;IF(COUNTIF($B$5:B1468,B1468)&lt;10,"00"&amp;COUNTIF($B$5:B1468,B1468),IF(COUNTIF($B$5:B1468,B1468)&lt;100,"0"&amp;COUNTIF($B$5:B1468,B1468),COUNTIF($B$5:B1468,B1468))))</f>
        <v>VIS_20291111_001</v>
      </c>
      <c r="B1468" s="42">
        <v>47433</v>
      </c>
      <c r="C1468" s="49" t="str">
        <f t="shared" si="44"/>
        <v>Вс</v>
      </c>
      <c r="I1468" s="46"/>
      <c r="J1468" s="39">
        <f t="shared" si="45"/>
        <v>47429</v>
      </c>
      <c r="K1468" t="str">
        <f ca="1">IF(AND(B1468&gt;='План недели'!$B$4,B1468&lt;'План недели'!$D$4,D1468&lt;&gt;"",G1468&lt;&gt;"Отменён"),COUNTIFS($B$5:B1468,"&gt;="&amp;'План недели'!$B$4,$B$5:B1468,"&lt;"&amp;'План недели'!$D$4,$D$5:D1468,"&lt;&gt;",$G$5:G1468,"&lt;&gt;Отменён"),"")</f>
        <v/>
      </c>
    </row>
    <row r="1469" spans="1:11">
      <c r="A1469" t="str">
        <f>IF(B1469="","","VIS_"&amp;(YEAR(B1469)*10000+MONTH(B1469)*100+DAY(B1469))&amp;"_"&amp;IF(COUNTIF($B$5:B1469,B1469)&lt;10,"00"&amp;COUNTIF($B$5:B1469,B1469),IF(COUNTIF($B$5:B1469,B1469)&lt;100,"0"&amp;COUNTIF($B$5:B1469,B1469),COUNTIF($B$5:B1469,B1469))))</f>
        <v>VIS_20291112_001</v>
      </c>
      <c r="B1469" s="40">
        <v>47434</v>
      </c>
      <c r="C1469" s="47" t="str">
        <f t="shared" si="44"/>
        <v>Пн</v>
      </c>
      <c r="I1469" s="46"/>
      <c r="J1469" s="39">
        <f t="shared" si="45"/>
        <v>47429</v>
      </c>
      <c r="K1469" t="str">
        <f ca="1">IF(AND(B1469&gt;='План недели'!$B$4,B1469&lt;'План недели'!$D$4,D1469&lt;&gt;"",G1469&lt;&gt;"Отменён"),COUNTIFS($B$5:B1469,"&gt;="&amp;'План недели'!$B$4,$B$5:B1469,"&lt;"&amp;'План недели'!$D$4,$D$5:D1469,"&lt;&gt;",$G$5:G1469,"&lt;&gt;Отменён"),"")</f>
        <v/>
      </c>
    </row>
    <row r="1470" spans="1:11">
      <c r="A1470" t="str">
        <f>IF(B1470="","","VIS_"&amp;(YEAR(B1470)*10000+MONTH(B1470)*100+DAY(B1470))&amp;"_"&amp;IF(COUNTIF($B$5:B1470,B1470)&lt;10,"00"&amp;COUNTIF($B$5:B1470,B1470),IF(COUNTIF($B$5:B1470,B1470)&lt;100,"0"&amp;COUNTIF($B$5:B1470,B1470),COUNTIF($B$5:B1470,B1470))))</f>
        <v>VIS_20291113_001</v>
      </c>
      <c r="B1470" s="40">
        <v>47435</v>
      </c>
      <c r="C1470" s="47" t="str">
        <f t="shared" si="44"/>
        <v>Вт</v>
      </c>
      <c r="I1470" s="46"/>
      <c r="J1470" s="39">
        <f t="shared" si="45"/>
        <v>47429</v>
      </c>
      <c r="K1470" t="str">
        <f ca="1">IF(AND(B1470&gt;='План недели'!$B$4,B1470&lt;'План недели'!$D$4,D1470&lt;&gt;"",G1470&lt;&gt;"Отменён"),COUNTIFS($B$5:B1470,"&gt;="&amp;'План недели'!$B$4,$B$5:B1470,"&lt;"&amp;'План недели'!$D$4,$D$5:D1470,"&lt;&gt;",$G$5:G1470,"&lt;&gt;Отменён"),"")</f>
        <v/>
      </c>
    </row>
    <row r="1471" spans="1:11">
      <c r="A1471" t="str">
        <f>IF(B1471="","","VIS_"&amp;(YEAR(B1471)*10000+MONTH(B1471)*100+DAY(B1471))&amp;"_"&amp;IF(COUNTIF($B$5:B1471,B1471)&lt;10,"00"&amp;COUNTIF($B$5:B1471,B1471),IF(COUNTIF($B$5:B1471,B1471)&lt;100,"0"&amp;COUNTIF($B$5:B1471,B1471),COUNTIF($B$5:B1471,B1471))))</f>
        <v>VIS_20291114_001</v>
      </c>
      <c r="B1471" s="40">
        <v>47436</v>
      </c>
      <c r="C1471" s="47" t="str">
        <f t="shared" si="44"/>
        <v>Ср</v>
      </c>
      <c r="I1471" s="46"/>
      <c r="J1471" s="39">
        <f t="shared" si="45"/>
        <v>47436</v>
      </c>
      <c r="K1471" t="str">
        <f ca="1">IF(AND(B1471&gt;='План недели'!$B$4,B1471&lt;'План недели'!$D$4,D1471&lt;&gt;"",G1471&lt;&gt;"Отменён"),COUNTIFS($B$5:B1471,"&gt;="&amp;'План недели'!$B$4,$B$5:B1471,"&lt;"&amp;'План недели'!$D$4,$D$5:D1471,"&lt;&gt;",$G$5:G1471,"&lt;&gt;Отменён"),"")</f>
        <v/>
      </c>
    </row>
    <row r="1472" spans="1:11">
      <c r="A1472" t="str">
        <f>IF(B1472="","","VIS_"&amp;(YEAR(B1472)*10000+MONTH(B1472)*100+DAY(B1472))&amp;"_"&amp;IF(COUNTIF($B$5:B1472,B1472)&lt;10,"00"&amp;COUNTIF($B$5:B1472,B1472),IF(COUNTIF($B$5:B1472,B1472)&lt;100,"0"&amp;COUNTIF($B$5:B1472,B1472),COUNTIF($B$5:B1472,B1472))))</f>
        <v>VIS_20291115_001</v>
      </c>
      <c r="B1472" s="40">
        <v>47437</v>
      </c>
      <c r="C1472" s="47" t="str">
        <f t="shared" si="44"/>
        <v>Чт</v>
      </c>
      <c r="I1472" s="46"/>
      <c r="J1472" s="39">
        <f t="shared" si="45"/>
        <v>47436</v>
      </c>
      <c r="K1472" t="str">
        <f ca="1">IF(AND(B1472&gt;='План недели'!$B$4,B1472&lt;'План недели'!$D$4,D1472&lt;&gt;"",G1472&lt;&gt;"Отменён"),COUNTIFS($B$5:B1472,"&gt;="&amp;'План недели'!$B$4,$B$5:B1472,"&lt;"&amp;'План недели'!$D$4,$D$5:D1472,"&lt;&gt;",$G$5:G1472,"&lt;&gt;Отменён"),"")</f>
        <v/>
      </c>
    </row>
    <row r="1473" spans="1:11">
      <c r="A1473" t="str">
        <f>IF(B1473="","","VIS_"&amp;(YEAR(B1473)*10000+MONTH(B1473)*100+DAY(B1473))&amp;"_"&amp;IF(COUNTIF($B$5:B1473,B1473)&lt;10,"00"&amp;COUNTIF($B$5:B1473,B1473),IF(COUNTIF($B$5:B1473,B1473)&lt;100,"0"&amp;COUNTIF($B$5:B1473,B1473),COUNTIF($B$5:B1473,B1473))))</f>
        <v>VIS_20291116_001</v>
      </c>
      <c r="B1473" s="40">
        <v>47438</v>
      </c>
      <c r="C1473" s="47" t="str">
        <f t="shared" si="44"/>
        <v>Пт</v>
      </c>
      <c r="I1473" s="46"/>
      <c r="J1473" s="39">
        <f t="shared" si="45"/>
        <v>47436</v>
      </c>
      <c r="K1473" t="str">
        <f ca="1">IF(AND(B1473&gt;='План недели'!$B$4,B1473&lt;'План недели'!$D$4,D1473&lt;&gt;"",G1473&lt;&gt;"Отменён"),COUNTIFS($B$5:B1473,"&gt;="&amp;'План недели'!$B$4,$B$5:B1473,"&lt;"&amp;'План недели'!$D$4,$D$5:D1473,"&lt;&gt;",$G$5:G1473,"&lt;&gt;Отменён"),"")</f>
        <v/>
      </c>
    </row>
    <row r="1474" spans="1:11">
      <c r="A1474" t="str">
        <f>IF(B1474="","","VIS_"&amp;(YEAR(B1474)*10000+MONTH(B1474)*100+DAY(B1474))&amp;"_"&amp;IF(COUNTIF($B$5:B1474,B1474)&lt;10,"00"&amp;COUNTIF($B$5:B1474,B1474),IF(COUNTIF($B$5:B1474,B1474)&lt;100,"0"&amp;COUNTIF($B$5:B1474,B1474),COUNTIF($B$5:B1474,B1474))))</f>
        <v>VIS_20291117_001</v>
      </c>
      <c r="B1474" s="42">
        <v>47439</v>
      </c>
      <c r="C1474" s="49" t="str">
        <f t="shared" si="44"/>
        <v>Сб</v>
      </c>
      <c r="I1474" s="46"/>
      <c r="J1474" s="39">
        <f t="shared" si="45"/>
        <v>47436</v>
      </c>
      <c r="K1474" t="str">
        <f ca="1">IF(AND(B1474&gt;='План недели'!$B$4,B1474&lt;'План недели'!$D$4,D1474&lt;&gt;"",G1474&lt;&gt;"Отменён"),COUNTIFS($B$5:B1474,"&gt;="&amp;'План недели'!$B$4,$B$5:B1474,"&lt;"&amp;'План недели'!$D$4,$D$5:D1474,"&lt;&gt;",$G$5:G1474,"&lt;&gt;Отменён"),"")</f>
        <v/>
      </c>
    </row>
    <row r="1475" spans="1:11">
      <c r="A1475" t="str">
        <f>IF(B1475="","","VIS_"&amp;(YEAR(B1475)*10000+MONTH(B1475)*100+DAY(B1475))&amp;"_"&amp;IF(COUNTIF($B$5:B1475,B1475)&lt;10,"00"&amp;COUNTIF($B$5:B1475,B1475),IF(COUNTIF($B$5:B1475,B1475)&lt;100,"0"&amp;COUNTIF($B$5:B1475,B1475),COUNTIF($B$5:B1475,B1475))))</f>
        <v>VIS_20291118_001</v>
      </c>
      <c r="B1475" s="42">
        <v>47440</v>
      </c>
      <c r="C1475" s="49" t="str">
        <f t="shared" si="44"/>
        <v>Вс</v>
      </c>
      <c r="I1475" s="46"/>
      <c r="J1475" s="39">
        <f t="shared" si="45"/>
        <v>47436</v>
      </c>
      <c r="K1475" t="str">
        <f ca="1">IF(AND(B1475&gt;='План недели'!$B$4,B1475&lt;'План недели'!$D$4,D1475&lt;&gt;"",G1475&lt;&gt;"Отменён"),COUNTIFS($B$5:B1475,"&gt;="&amp;'План недели'!$B$4,$B$5:B1475,"&lt;"&amp;'План недели'!$D$4,$D$5:D1475,"&lt;&gt;",$G$5:G1475,"&lt;&gt;Отменён"),"")</f>
        <v/>
      </c>
    </row>
    <row r="1476" spans="1:11">
      <c r="A1476" t="str">
        <f>IF(B1476="","","VIS_"&amp;(YEAR(B1476)*10000+MONTH(B1476)*100+DAY(B1476))&amp;"_"&amp;IF(COUNTIF($B$5:B1476,B1476)&lt;10,"00"&amp;COUNTIF($B$5:B1476,B1476),IF(COUNTIF($B$5:B1476,B1476)&lt;100,"0"&amp;COUNTIF($B$5:B1476,B1476),COUNTIF($B$5:B1476,B1476))))</f>
        <v>VIS_20291119_001</v>
      </c>
      <c r="B1476" s="40">
        <v>47441</v>
      </c>
      <c r="C1476" s="47" t="str">
        <f t="shared" si="44"/>
        <v>Пн</v>
      </c>
      <c r="I1476" s="46"/>
      <c r="J1476" s="39">
        <f t="shared" si="45"/>
        <v>47436</v>
      </c>
      <c r="K1476" t="str">
        <f ca="1">IF(AND(B1476&gt;='План недели'!$B$4,B1476&lt;'План недели'!$D$4,D1476&lt;&gt;"",G1476&lt;&gt;"Отменён"),COUNTIFS($B$5:B1476,"&gt;="&amp;'План недели'!$B$4,$B$5:B1476,"&lt;"&amp;'План недели'!$D$4,$D$5:D1476,"&lt;&gt;",$G$5:G1476,"&lt;&gt;Отменён"),"")</f>
        <v/>
      </c>
    </row>
    <row r="1477" spans="1:11">
      <c r="A1477" t="str">
        <f>IF(B1477="","","VIS_"&amp;(YEAR(B1477)*10000+MONTH(B1477)*100+DAY(B1477))&amp;"_"&amp;IF(COUNTIF($B$5:B1477,B1477)&lt;10,"00"&amp;COUNTIF($B$5:B1477,B1477),IF(COUNTIF($B$5:B1477,B1477)&lt;100,"0"&amp;COUNTIF($B$5:B1477,B1477),COUNTIF($B$5:B1477,B1477))))</f>
        <v>VIS_20291120_001</v>
      </c>
      <c r="B1477" s="40">
        <v>47442</v>
      </c>
      <c r="C1477" s="47" t="str">
        <f t="shared" ref="C1477:C1540" si="46">IF(B1477="","",CHOOSE(WEEKDAY(B1477,2),"Пн","Вт","Ср","Чт","Пт","Сб","Вс"))</f>
        <v>Вт</v>
      </c>
      <c r="I1477" s="46"/>
      <c r="J1477" s="39">
        <f t="shared" ref="J1477:J1540" si="47">IF(B1477="","",B1477-MOD(WEEKDAY(B1477,2)-3,7))</f>
        <v>47436</v>
      </c>
      <c r="K1477" t="str">
        <f ca="1">IF(AND(B1477&gt;='План недели'!$B$4,B1477&lt;'План недели'!$D$4,D1477&lt;&gt;"",G1477&lt;&gt;"Отменён"),COUNTIFS($B$5:B1477,"&gt;="&amp;'План недели'!$B$4,$B$5:B1477,"&lt;"&amp;'План недели'!$D$4,$D$5:D1477,"&lt;&gt;",$G$5:G1477,"&lt;&gt;Отменён"),"")</f>
        <v/>
      </c>
    </row>
    <row r="1478" spans="1:11">
      <c r="A1478" t="str">
        <f>IF(B1478="","","VIS_"&amp;(YEAR(B1478)*10000+MONTH(B1478)*100+DAY(B1478))&amp;"_"&amp;IF(COUNTIF($B$5:B1478,B1478)&lt;10,"00"&amp;COUNTIF($B$5:B1478,B1478),IF(COUNTIF($B$5:B1478,B1478)&lt;100,"0"&amp;COUNTIF($B$5:B1478,B1478),COUNTIF($B$5:B1478,B1478))))</f>
        <v>VIS_20291121_001</v>
      </c>
      <c r="B1478" s="40">
        <v>47443</v>
      </c>
      <c r="C1478" s="47" t="str">
        <f t="shared" si="46"/>
        <v>Ср</v>
      </c>
      <c r="I1478" s="46"/>
      <c r="J1478" s="39">
        <f t="shared" si="47"/>
        <v>47443</v>
      </c>
      <c r="K1478" t="str">
        <f ca="1">IF(AND(B1478&gt;='План недели'!$B$4,B1478&lt;'План недели'!$D$4,D1478&lt;&gt;"",G1478&lt;&gt;"Отменён"),COUNTIFS($B$5:B1478,"&gt;="&amp;'План недели'!$B$4,$B$5:B1478,"&lt;"&amp;'План недели'!$D$4,$D$5:D1478,"&lt;&gt;",$G$5:G1478,"&lt;&gt;Отменён"),"")</f>
        <v/>
      </c>
    </row>
    <row r="1479" spans="1:11">
      <c r="A1479" t="str">
        <f>IF(B1479="","","VIS_"&amp;(YEAR(B1479)*10000+MONTH(B1479)*100+DAY(B1479))&amp;"_"&amp;IF(COUNTIF($B$5:B1479,B1479)&lt;10,"00"&amp;COUNTIF($B$5:B1479,B1479),IF(COUNTIF($B$5:B1479,B1479)&lt;100,"0"&amp;COUNTIF($B$5:B1479,B1479),COUNTIF($B$5:B1479,B1479))))</f>
        <v>VIS_20291122_001</v>
      </c>
      <c r="B1479" s="40">
        <v>47444</v>
      </c>
      <c r="C1479" s="47" t="str">
        <f t="shared" si="46"/>
        <v>Чт</v>
      </c>
      <c r="I1479" s="46"/>
      <c r="J1479" s="39">
        <f t="shared" si="47"/>
        <v>47443</v>
      </c>
      <c r="K1479" t="str">
        <f ca="1">IF(AND(B1479&gt;='План недели'!$B$4,B1479&lt;'План недели'!$D$4,D1479&lt;&gt;"",G1479&lt;&gt;"Отменён"),COUNTIFS($B$5:B1479,"&gt;="&amp;'План недели'!$B$4,$B$5:B1479,"&lt;"&amp;'План недели'!$D$4,$D$5:D1479,"&lt;&gt;",$G$5:G1479,"&lt;&gt;Отменён"),"")</f>
        <v/>
      </c>
    </row>
    <row r="1480" spans="1:11">
      <c r="A1480" t="str">
        <f>IF(B1480="","","VIS_"&amp;(YEAR(B1480)*10000+MONTH(B1480)*100+DAY(B1480))&amp;"_"&amp;IF(COUNTIF($B$5:B1480,B1480)&lt;10,"00"&amp;COUNTIF($B$5:B1480,B1480),IF(COUNTIF($B$5:B1480,B1480)&lt;100,"0"&amp;COUNTIF($B$5:B1480,B1480),COUNTIF($B$5:B1480,B1480))))</f>
        <v>VIS_20291123_001</v>
      </c>
      <c r="B1480" s="40">
        <v>47445</v>
      </c>
      <c r="C1480" s="47" t="str">
        <f t="shared" si="46"/>
        <v>Пт</v>
      </c>
      <c r="I1480" s="46"/>
      <c r="J1480" s="39">
        <f t="shared" si="47"/>
        <v>47443</v>
      </c>
      <c r="K1480" t="str">
        <f ca="1">IF(AND(B1480&gt;='План недели'!$B$4,B1480&lt;'План недели'!$D$4,D1480&lt;&gt;"",G1480&lt;&gt;"Отменён"),COUNTIFS($B$5:B1480,"&gt;="&amp;'План недели'!$B$4,$B$5:B1480,"&lt;"&amp;'План недели'!$D$4,$D$5:D1480,"&lt;&gt;",$G$5:G1480,"&lt;&gt;Отменён"),"")</f>
        <v/>
      </c>
    </row>
    <row r="1481" spans="1:11">
      <c r="A1481" t="str">
        <f>IF(B1481="","","VIS_"&amp;(YEAR(B1481)*10000+MONTH(B1481)*100+DAY(B1481))&amp;"_"&amp;IF(COUNTIF($B$5:B1481,B1481)&lt;10,"00"&amp;COUNTIF($B$5:B1481,B1481),IF(COUNTIF($B$5:B1481,B1481)&lt;100,"0"&amp;COUNTIF($B$5:B1481,B1481),COUNTIF($B$5:B1481,B1481))))</f>
        <v>VIS_20291124_001</v>
      </c>
      <c r="B1481" s="42">
        <v>47446</v>
      </c>
      <c r="C1481" s="49" t="str">
        <f t="shared" si="46"/>
        <v>Сб</v>
      </c>
      <c r="I1481" s="46"/>
      <c r="J1481" s="39">
        <f t="shared" si="47"/>
        <v>47443</v>
      </c>
      <c r="K1481" t="str">
        <f ca="1">IF(AND(B1481&gt;='План недели'!$B$4,B1481&lt;'План недели'!$D$4,D1481&lt;&gt;"",G1481&lt;&gt;"Отменён"),COUNTIFS($B$5:B1481,"&gt;="&amp;'План недели'!$B$4,$B$5:B1481,"&lt;"&amp;'План недели'!$D$4,$D$5:D1481,"&lt;&gt;",$G$5:G1481,"&lt;&gt;Отменён"),"")</f>
        <v/>
      </c>
    </row>
    <row r="1482" spans="1:11">
      <c r="A1482" t="str">
        <f>IF(B1482="","","VIS_"&amp;(YEAR(B1482)*10000+MONTH(B1482)*100+DAY(B1482))&amp;"_"&amp;IF(COUNTIF($B$5:B1482,B1482)&lt;10,"00"&amp;COUNTIF($B$5:B1482,B1482),IF(COUNTIF($B$5:B1482,B1482)&lt;100,"0"&amp;COUNTIF($B$5:B1482,B1482),COUNTIF($B$5:B1482,B1482))))</f>
        <v>VIS_20291125_001</v>
      </c>
      <c r="B1482" s="42">
        <v>47447</v>
      </c>
      <c r="C1482" s="49" t="str">
        <f t="shared" si="46"/>
        <v>Вс</v>
      </c>
      <c r="I1482" s="46"/>
      <c r="J1482" s="39">
        <f t="shared" si="47"/>
        <v>47443</v>
      </c>
      <c r="K1482" t="str">
        <f ca="1">IF(AND(B1482&gt;='План недели'!$B$4,B1482&lt;'План недели'!$D$4,D1482&lt;&gt;"",G1482&lt;&gt;"Отменён"),COUNTIFS($B$5:B1482,"&gt;="&amp;'План недели'!$B$4,$B$5:B1482,"&lt;"&amp;'План недели'!$D$4,$D$5:D1482,"&lt;&gt;",$G$5:G1482,"&lt;&gt;Отменён"),"")</f>
        <v/>
      </c>
    </row>
    <row r="1483" spans="1:11">
      <c r="A1483" t="str">
        <f>IF(B1483="","","VIS_"&amp;(YEAR(B1483)*10000+MONTH(B1483)*100+DAY(B1483))&amp;"_"&amp;IF(COUNTIF($B$5:B1483,B1483)&lt;10,"00"&amp;COUNTIF($B$5:B1483,B1483),IF(COUNTIF($B$5:B1483,B1483)&lt;100,"0"&amp;COUNTIF($B$5:B1483,B1483),COUNTIF($B$5:B1483,B1483))))</f>
        <v>VIS_20291126_001</v>
      </c>
      <c r="B1483" s="40">
        <v>47448</v>
      </c>
      <c r="C1483" s="47" t="str">
        <f t="shared" si="46"/>
        <v>Пн</v>
      </c>
      <c r="I1483" s="46"/>
      <c r="J1483" s="39">
        <f t="shared" si="47"/>
        <v>47443</v>
      </c>
      <c r="K1483" t="str">
        <f ca="1">IF(AND(B1483&gt;='План недели'!$B$4,B1483&lt;'План недели'!$D$4,D1483&lt;&gt;"",G1483&lt;&gt;"Отменён"),COUNTIFS($B$5:B1483,"&gt;="&amp;'План недели'!$B$4,$B$5:B1483,"&lt;"&amp;'План недели'!$D$4,$D$5:D1483,"&lt;&gt;",$G$5:G1483,"&lt;&gt;Отменён"),"")</f>
        <v/>
      </c>
    </row>
    <row r="1484" spans="1:11">
      <c r="A1484" t="str">
        <f>IF(B1484="","","VIS_"&amp;(YEAR(B1484)*10000+MONTH(B1484)*100+DAY(B1484))&amp;"_"&amp;IF(COUNTIF($B$5:B1484,B1484)&lt;10,"00"&amp;COUNTIF($B$5:B1484,B1484),IF(COUNTIF($B$5:B1484,B1484)&lt;100,"0"&amp;COUNTIF($B$5:B1484,B1484),COUNTIF($B$5:B1484,B1484))))</f>
        <v>VIS_20291127_001</v>
      </c>
      <c r="B1484" s="40">
        <v>47449</v>
      </c>
      <c r="C1484" s="47" t="str">
        <f t="shared" si="46"/>
        <v>Вт</v>
      </c>
      <c r="I1484" s="46"/>
      <c r="J1484" s="39">
        <f t="shared" si="47"/>
        <v>47443</v>
      </c>
      <c r="K1484" t="str">
        <f ca="1">IF(AND(B1484&gt;='План недели'!$B$4,B1484&lt;'План недели'!$D$4,D1484&lt;&gt;"",G1484&lt;&gt;"Отменён"),COUNTIFS($B$5:B1484,"&gt;="&amp;'План недели'!$B$4,$B$5:B1484,"&lt;"&amp;'План недели'!$D$4,$D$5:D1484,"&lt;&gt;",$G$5:G1484,"&lt;&gt;Отменён"),"")</f>
        <v/>
      </c>
    </row>
    <row r="1485" spans="1:11">
      <c r="A1485" t="str">
        <f>IF(B1485="","","VIS_"&amp;(YEAR(B1485)*10000+MONTH(B1485)*100+DAY(B1485))&amp;"_"&amp;IF(COUNTIF($B$5:B1485,B1485)&lt;10,"00"&amp;COUNTIF($B$5:B1485,B1485),IF(COUNTIF($B$5:B1485,B1485)&lt;100,"0"&amp;COUNTIF($B$5:B1485,B1485),COUNTIF($B$5:B1485,B1485))))</f>
        <v>VIS_20291128_001</v>
      </c>
      <c r="B1485" s="40">
        <v>47450</v>
      </c>
      <c r="C1485" s="47" t="str">
        <f t="shared" si="46"/>
        <v>Ср</v>
      </c>
      <c r="I1485" s="46"/>
      <c r="J1485" s="39">
        <f t="shared" si="47"/>
        <v>47450</v>
      </c>
      <c r="K1485" t="str">
        <f ca="1">IF(AND(B1485&gt;='План недели'!$B$4,B1485&lt;'План недели'!$D$4,D1485&lt;&gt;"",G1485&lt;&gt;"Отменён"),COUNTIFS($B$5:B1485,"&gt;="&amp;'План недели'!$B$4,$B$5:B1485,"&lt;"&amp;'План недели'!$D$4,$D$5:D1485,"&lt;&gt;",$G$5:G1485,"&lt;&gt;Отменён"),"")</f>
        <v/>
      </c>
    </row>
    <row r="1486" spans="1:11">
      <c r="A1486" t="str">
        <f>IF(B1486="","","VIS_"&amp;(YEAR(B1486)*10000+MONTH(B1486)*100+DAY(B1486))&amp;"_"&amp;IF(COUNTIF($B$5:B1486,B1486)&lt;10,"00"&amp;COUNTIF($B$5:B1486,B1486),IF(COUNTIF($B$5:B1486,B1486)&lt;100,"0"&amp;COUNTIF($B$5:B1486,B1486),COUNTIF($B$5:B1486,B1486))))</f>
        <v>VIS_20291129_001</v>
      </c>
      <c r="B1486" s="40">
        <v>47451</v>
      </c>
      <c r="C1486" s="47" t="str">
        <f t="shared" si="46"/>
        <v>Чт</v>
      </c>
      <c r="I1486" s="46"/>
      <c r="J1486" s="39">
        <f t="shared" si="47"/>
        <v>47450</v>
      </c>
      <c r="K1486" t="str">
        <f ca="1">IF(AND(B1486&gt;='План недели'!$B$4,B1486&lt;'План недели'!$D$4,D1486&lt;&gt;"",G1486&lt;&gt;"Отменён"),COUNTIFS($B$5:B1486,"&gt;="&amp;'План недели'!$B$4,$B$5:B1486,"&lt;"&amp;'План недели'!$D$4,$D$5:D1486,"&lt;&gt;",$G$5:G1486,"&lt;&gt;Отменён"),"")</f>
        <v/>
      </c>
    </row>
    <row r="1487" spans="1:11">
      <c r="A1487" t="str">
        <f>IF(B1487="","","VIS_"&amp;(YEAR(B1487)*10000+MONTH(B1487)*100+DAY(B1487))&amp;"_"&amp;IF(COUNTIF($B$5:B1487,B1487)&lt;10,"00"&amp;COUNTIF($B$5:B1487,B1487),IF(COUNTIF($B$5:B1487,B1487)&lt;100,"0"&amp;COUNTIF($B$5:B1487,B1487),COUNTIF($B$5:B1487,B1487))))</f>
        <v>VIS_20291130_001</v>
      </c>
      <c r="B1487" s="40">
        <v>47452</v>
      </c>
      <c r="C1487" s="47" t="str">
        <f t="shared" si="46"/>
        <v>Пт</v>
      </c>
      <c r="I1487" s="46"/>
      <c r="J1487" s="39">
        <f t="shared" si="47"/>
        <v>47450</v>
      </c>
      <c r="K1487" t="str">
        <f ca="1">IF(AND(B1487&gt;='План недели'!$B$4,B1487&lt;'План недели'!$D$4,D1487&lt;&gt;"",G1487&lt;&gt;"Отменён"),COUNTIFS($B$5:B1487,"&gt;="&amp;'План недели'!$B$4,$B$5:B1487,"&lt;"&amp;'План недели'!$D$4,$D$5:D1487,"&lt;&gt;",$G$5:G1487,"&lt;&gt;Отменён"),"")</f>
        <v/>
      </c>
    </row>
    <row r="1488" spans="1:11">
      <c r="A1488" t="str">
        <f>IF(B1488="","","VIS_"&amp;(YEAR(B1488)*10000+MONTH(B1488)*100+DAY(B1488))&amp;"_"&amp;IF(COUNTIF($B$5:B1488,B1488)&lt;10,"00"&amp;COUNTIF($B$5:B1488,B1488),IF(COUNTIF($B$5:B1488,B1488)&lt;100,"0"&amp;COUNTIF($B$5:B1488,B1488),COUNTIF($B$5:B1488,B1488))))</f>
        <v>VIS_20291201_001</v>
      </c>
      <c r="B1488" s="42">
        <v>47453</v>
      </c>
      <c r="C1488" s="49" t="str">
        <f t="shared" si="46"/>
        <v>Сб</v>
      </c>
      <c r="I1488" s="46"/>
      <c r="J1488" s="39">
        <f t="shared" si="47"/>
        <v>47450</v>
      </c>
      <c r="K1488" t="str">
        <f ca="1">IF(AND(B1488&gt;='План недели'!$B$4,B1488&lt;'План недели'!$D$4,D1488&lt;&gt;"",G1488&lt;&gt;"Отменён"),COUNTIFS($B$5:B1488,"&gt;="&amp;'План недели'!$B$4,$B$5:B1488,"&lt;"&amp;'План недели'!$D$4,$D$5:D1488,"&lt;&gt;",$G$5:G1488,"&lt;&gt;Отменён"),"")</f>
        <v/>
      </c>
    </row>
    <row r="1489" spans="1:11">
      <c r="A1489" t="str">
        <f>IF(B1489="","","VIS_"&amp;(YEAR(B1489)*10000+MONTH(B1489)*100+DAY(B1489))&amp;"_"&amp;IF(COUNTIF($B$5:B1489,B1489)&lt;10,"00"&amp;COUNTIF($B$5:B1489,B1489),IF(COUNTIF($B$5:B1489,B1489)&lt;100,"0"&amp;COUNTIF($B$5:B1489,B1489),COUNTIF($B$5:B1489,B1489))))</f>
        <v>VIS_20291202_001</v>
      </c>
      <c r="B1489" s="42">
        <v>47454</v>
      </c>
      <c r="C1489" s="49" t="str">
        <f t="shared" si="46"/>
        <v>Вс</v>
      </c>
      <c r="I1489" s="46"/>
      <c r="J1489" s="39">
        <f t="shared" si="47"/>
        <v>47450</v>
      </c>
      <c r="K1489" t="str">
        <f ca="1">IF(AND(B1489&gt;='План недели'!$B$4,B1489&lt;'План недели'!$D$4,D1489&lt;&gt;"",G1489&lt;&gt;"Отменён"),COUNTIFS($B$5:B1489,"&gt;="&amp;'План недели'!$B$4,$B$5:B1489,"&lt;"&amp;'План недели'!$D$4,$D$5:D1489,"&lt;&gt;",$G$5:G1489,"&lt;&gt;Отменён"),"")</f>
        <v/>
      </c>
    </row>
    <row r="1490" spans="1:11">
      <c r="A1490" t="str">
        <f>IF(B1490="","","VIS_"&amp;(YEAR(B1490)*10000+MONTH(B1490)*100+DAY(B1490))&amp;"_"&amp;IF(COUNTIF($B$5:B1490,B1490)&lt;10,"00"&amp;COUNTIF($B$5:B1490,B1490),IF(COUNTIF($B$5:B1490,B1490)&lt;100,"0"&amp;COUNTIF($B$5:B1490,B1490),COUNTIF($B$5:B1490,B1490))))</f>
        <v>VIS_20291203_001</v>
      </c>
      <c r="B1490" s="40">
        <v>47455</v>
      </c>
      <c r="C1490" s="47" t="str">
        <f t="shared" si="46"/>
        <v>Пн</v>
      </c>
      <c r="I1490" s="46"/>
      <c r="J1490" s="39">
        <f t="shared" si="47"/>
        <v>47450</v>
      </c>
      <c r="K1490" t="str">
        <f ca="1">IF(AND(B1490&gt;='План недели'!$B$4,B1490&lt;'План недели'!$D$4,D1490&lt;&gt;"",G1490&lt;&gt;"Отменён"),COUNTIFS($B$5:B1490,"&gt;="&amp;'План недели'!$B$4,$B$5:B1490,"&lt;"&amp;'План недели'!$D$4,$D$5:D1490,"&lt;&gt;",$G$5:G1490,"&lt;&gt;Отменён"),"")</f>
        <v/>
      </c>
    </row>
    <row r="1491" spans="1:11">
      <c r="A1491" t="str">
        <f>IF(B1491="","","VIS_"&amp;(YEAR(B1491)*10000+MONTH(B1491)*100+DAY(B1491))&amp;"_"&amp;IF(COUNTIF($B$5:B1491,B1491)&lt;10,"00"&amp;COUNTIF($B$5:B1491,B1491),IF(COUNTIF($B$5:B1491,B1491)&lt;100,"0"&amp;COUNTIF($B$5:B1491,B1491),COUNTIF($B$5:B1491,B1491))))</f>
        <v>VIS_20291204_001</v>
      </c>
      <c r="B1491" s="40">
        <v>47456</v>
      </c>
      <c r="C1491" s="47" t="str">
        <f t="shared" si="46"/>
        <v>Вт</v>
      </c>
      <c r="I1491" s="46"/>
      <c r="J1491" s="39">
        <f t="shared" si="47"/>
        <v>47450</v>
      </c>
      <c r="K1491" t="str">
        <f ca="1">IF(AND(B1491&gt;='План недели'!$B$4,B1491&lt;'План недели'!$D$4,D1491&lt;&gt;"",G1491&lt;&gt;"Отменён"),COUNTIFS($B$5:B1491,"&gt;="&amp;'План недели'!$B$4,$B$5:B1491,"&lt;"&amp;'План недели'!$D$4,$D$5:D1491,"&lt;&gt;",$G$5:G1491,"&lt;&gt;Отменён"),"")</f>
        <v/>
      </c>
    </row>
    <row r="1492" spans="1:11">
      <c r="A1492" t="str">
        <f>IF(B1492="","","VIS_"&amp;(YEAR(B1492)*10000+MONTH(B1492)*100+DAY(B1492))&amp;"_"&amp;IF(COUNTIF($B$5:B1492,B1492)&lt;10,"00"&amp;COUNTIF($B$5:B1492,B1492),IF(COUNTIF($B$5:B1492,B1492)&lt;100,"0"&amp;COUNTIF($B$5:B1492,B1492),COUNTIF($B$5:B1492,B1492))))</f>
        <v>VIS_20291205_001</v>
      </c>
      <c r="B1492" s="40">
        <v>47457</v>
      </c>
      <c r="C1492" s="47" t="str">
        <f t="shared" si="46"/>
        <v>Ср</v>
      </c>
      <c r="I1492" s="46"/>
      <c r="J1492" s="39">
        <f t="shared" si="47"/>
        <v>47457</v>
      </c>
      <c r="K1492" t="str">
        <f ca="1">IF(AND(B1492&gt;='План недели'!$B$4,B1492&lt;'План недели'!$D$4,D1492&lt;&gt;"",G1492&lt;&gt;"Отменён"),COUNTIFS($B$5:B1492,"&gt;="&amp;'План недели'!$B$4,$B$5:B1492,"&lt;"&amp;'План недели'!$D$4,$D$5:D1492,"&lt;&gt;",$G$5:G1492,"&lt;&gt;Отменён"),"")</f>
        <v/>
      </c>
    </row>
    <row r="1493" spans="1:11">
      <c r="A1493" t="str">
        <f>IF(B1493="","","VIS_"&amp;(YEAR(B1493)*10000+MONTH(B1493)*100+DAY(B1493))&amp;"_"&amp;IF(COUNTIF($B$5:B1493,B1493)&lt;10,"00"&amp;COUNTIF($B$5:B1493,B1493),IF(COUNTIF($B$5:B1493,B1493)&lt;100,"0"&amp;COUNTIF($B$5:B1493,B1493),COUNTIF($B$5:B1493,B1493))))</f>
        <v>VIS_20291206_001</v>
      </c>
      <c r="B1493" s="40">
        <v>47458</v>
      </c>
      <c r="C1493" s="47" t="str">
        <f t="shared" si="46"/>
        <v>Чт</v>
      </c>
      <c r="I1493" s="46"/>
      <c r="J1493" s="39">
        <f t="shared" si="47"/>
        <v>47457</v>
      </c>
      <c r="K1493" t="str">
        <f ca="1">IF(AND(B1493&gt;='План недели'!$B$4,B1493&lt;'План недели'!$D$4,D1493&lt;&gt;"",G1493&lt;&gt;"Отменён"),COUNTIFS($B$5:B1493,"&gt;="&amp;'План недели'!$B$4,$B$5:B1493,"&lt;"&amp;'План недели'!$D$4,$D$5:D1493,"&lt;&gt;",$G$5:G1493,"&lt;&gt;Отменён"),"")</f>
        <v/>
      </c>
    </row>
    <row r="1494" spans="1:11">
      <c r="A1494" t="str">
        <f>IF(B1494="","","VIS_"&amp;(YEAR(B1494)*10000+MONTH(B1494)*100+DAY(B1494))&amp;"_"&amp;IF(COUNTIF($B$5:B1494,B1494)&lt;10,"00"&amp;COUNTIF($B$5:B1494,B1494),IF(COUNTIF($B$5:B1494,B1494)&lt;100,"0"&amp;COUNTIF($B$5:B1494,B1494),COUNTIF($B$5:B1494,B1494))))</f>
        <v>VIS_20291207_001</v>
      </c>
      <c r="B1494" s="40">
        <v>47459</v>
      </c>
      <c r="C1494" s="47" t="str">
        <f t="shared" si="46"/>
        <v>Пт</v>
      </c>
      <c r="I1494" s="46"/>
      <c r="J1494" s="39">
        <f t="shared" si="47"/>
        <v>47457</v>
      </c>
      <c r="K1494" t="str">
        <f ca="1">IF(AND(B1494&gt;='План недели'!$B$4,B1494&lt;'План недели'!$D$4,D1494&lt;&gt;"",G1494&lt;&gt;"Отменён"),COUNTIFS($B$5:B1494,"&gt;="&amp;'План недели'!$B$4,$B$5:B1494,"&lt;"&amp;'План недели'!$D$4,$D$5:D1494,"&lt;&gt;",$G$5:G1494,"&lt;&gt;Отменён"),"")</f>
        <v/>
      </c>
    </row>
    <row r="1495" spans="1:11">
      <c r="A1495" t="str">
        <f>IF(B1495="","","VIS_"&amp;(YEAR(B1495)*10000+MONTH(B1495)*100+DAY(B1495))&amp;"_"&amp;IF(COUNTIF($B$5:B1495,B1495)&lt;10,"00"&amp;COUNTIF($B$5:B1495,B1495),IF(COUNTIF($B$5:B1495,B1495)&lt;100,"0"&amp;COUNTIF($B$5:B1495,B1495),COUNTIF($B$5:B1495,B1495))))</f>
        <v>VIS_20291208_001</v>
      </c>
      <c r="B1495" s="42">
        <v>47460</v>
      </c>
      <c r="C1495" s="49" t="str">
        <f t="shared" si="46"/>
        <v>Сб</v>
      </c>
      <c r="I1495" s="46"/>
      <c r="J1495" s="39">
        <f t="shared" si="47"/>
        <v>47457</v>
      </c>
      <c r="K1495" t="str">
        <f ca="1">IF(AND(B1495&gt;='План недели'!$B$4,B1495&lt;'План недели'!$D$4,D1495&lt;&gt;"",G1495&lt;&gt;"Отменён"),COUNTIFS($B$5:B1495,"&gt;="&amp;'План недели'!$B$4,$B$5:B1495,"&lt;"&amp;'План недели'!$D$4,$D$5:D1495,"&lt;&gt;",$G$5:G1495,"&lt;&gt;Отменён"),"")</f>
        <v/>
      </c>
    </row>
    <row r="1496" spans="1:11">
      <c r="A1496" t="str">
        <f>IF(B1496="","","VIS_"&amp;(YEAR(B1496)*10000+MONTH(B1496)*100+DAY(B1496))&amp;"_"&amp;IF(COUNTIF($B$5:B1496,B1496)&lt;10,"00"&amp;COUNTIF($B$5:B1496,B1496),IF(COUNTIF($B$5:B1496,B1496)&lt;100,"0"&amp;COUNTIF($B$5:B1496,B1496),COUNTIF($B$5:B1496,B1496))))</f>
        <v>VIS_20291209_001</v>
      </c>
      <c r="B1496" s="42">
        <v>47461</v>
      </c>
      <c r="C1496" s="49" t="str">
        <f t="shared" si="46"/>
        <v>Вс</v>
      </c>
      <c r="I1496" s="46"/>
      <c r="J1496" s="39">
        <f t="shared" si="47"/>
        <v>47457</v>
      </c>
      <c r="K1496" t="str">
        <f ca="1">IF(AND(B1496&gt;='План недели'!$B$4,B1496&lt;'План недели'!$D$4,D1496&lt;&gt;"",G1496&lt;&gt;"Отменён"),COUNTIFS($B$5:B1496,"&gt;="&amp;'План недели'!$B$4,$B$5:B1496,"&lt;"&amp;'План недели'!$D$4,$D$5:D1496,"&lt;&gt;",$G$5:G1496,"&lt;&gt;Отменён"),"")</f>
        <v/>
      </c>
    </row>
    <row r="1497" spans="1:11">
      <c r="A1497" t="str">
        <f>IF(B1497="","","VIS_"&amp;(YEAR(B1497)*10000+MONTH(B1497)*100+DAY(B1497))&amp;"_"&amp;IF(COUNTIF($B$5:B1497,B1497)&lt;10,"00"&amp;COUNTIF($B$5:B1497,B1497),IF(COUNTIF($B$5:B1497,B1497)&lt;100,"0"&amp;COUNTIF($B$5:B1497,B1497),COUNTIF($B$5:B1497,B1497))))</f>
        <v>VIS_20291210_001</v>
      </c>
      <c r="B1497" s="40">
        <v>47462</v>
      </c>
      <c r="C1497" s="47" t="str">
        <f t="shared" si="46"/>
        <v>Пн</v>
      </c>
      <c r="I1497" s="46"/>
      <c r="J1497" s="39">
        <f t="shared" si="47"/>
        <v>47457</v>
      </c>
      <c r="K1497" t="str">
        <f ca="1">IF(AND(B1497&gt;='План недели'!$B$4,B1497&lt;'План недели'!$D$4,D1497&lt;&gt;"",G1497&lt;&gt;"Отменён"),COUNTIFS($B$5:B1497,"&gt;="&amp;'План недели'!$B$4,$B$5:B1497,"&lt;"&amp;'План недели'!$D$4,$D$5:D1497,"&lt;&gt;",$G$5:G1497,"&lt;&gt;Отменён"),"")</f>
        <v/>
      </c>
    </row>
    <row r="1498" spans="1:11">
      <c r="A1498" t="str">
        <f>IF(B1498="","","VIS_"&amp;(YEAR(B1498)*10000+MONTH(B1498)*100+DAY(B1498))&amp;"_"&amp;IF(COUNTIF($B$5:B1498,B1498)&lt;10,"00"&amp;COUNTIF($B$5:B1498,B1498),IF(COUNTIF($B$5:B1498,B1498)&lt;100,"0"&amp;COUNTIF($B$5:B1498,B1498),COUNTIF($B$5:B1498,B1498))))</f>
        <v>VIS_20291211_001</v>
      </c>
      <c r="B1498" s="40">
        <v>47463</v>
      </c>
      <c r="C1498" s="47" t="str">
        <f t="shared" si="46"/>
        <v>Вт</v>
      </c>
      <c r="I1498" s="46"/>
      <c r="J1498" s="39">
        <f t="shared" si="47"/>
        <v>47457</v>
      </c>
      <c r="K1498" t="str">
        <f ca="1">IF(AND(B1498&gt;='План недели'!$B$4,B1498&lt;'План недели'!$D$4,D1498&lt;&gt;"",G1498&lt;&gt;"Отменён"),COUNTIFS($B$5:B1498,"&gt;="&amp;'План недели'!$B$4,$B$5:B1498,"&lt;"&amp;'План недели'!$D$4,$D$5:D1498,"&lt;&gt;",$G$5:G1498,"&lt;&gt;Отменён"),"")</f>
        <v/>
      </c>
    </row>
    <row r="1499" spans="1:11">
      <c r="A1499" t="str">
        <f>IF(B1499="","","VIS_"&amp;(YEAR(B1499)*10000+MONTH(B1499)*100+DAY(B1499))&amp;"_"&amp;IF(COUNTIF($B$5:B1499,B1499)&lt;10,"00"&amp;COUNTIF($B$5:B1499,B1499),IF(COUNTIF($B$5:B1499,B1499)&lt;100,"0"&amp;COUNTIF($B$5:B1499,B1499),COUNTIF($B$5:B1499,B1499))))</f>
        <v>VIS_20291212_001</v>
      </c>
      <c r="B1499" s="40">
        <v>47464</v>
      </c>
      <c r="C1499" s="47" t="str">
        <f t="shared" si="46"/>
        <v>Ср</v>
      </c>
      <c r="I1499" s="46"/>
      <c r="J1499" s="39">
        <f t="shared" si="47"/>
        <v>47464</v>
      </c>
      <c r="K1499" t="str">
        <f ca="1">IF(AND(B1499&gt;='План недели'!$B$4,B1499&lt;'План недели'!$D$4,D1499&lt;&gt;"",G1499&lt;&gt;"Отменён"),COUNTIFS($B$5:B1499,"&gt;="&amp;'План недели'!$B$4,$B$5:B1499,"&lt;"&amp;'План недели'!$D$4,$D$5:D1499,"&lt;&gt;",$G$5:G1499,"&lt;&gt;Отменён"),"")</f>
        <v/>
      </c>
    </row>
    <row r="1500" spans="1:11">
      <c r="A1500" t="str">
        <f>IF(B1500="","","VIS_"&amp;(YEAR(B1500)*10000+MONTH(B1500)*100+DAY(B1500))&amp;"_"&amp;IF(COUNTIF($B$5:B1500,B1500)&lt;10,"00"&amp;COUNTIF($B$5:B1500,B1500),IF(COUNTIF($B$5:B1500,B1500)&lt;100,"0"&amp;COUNTIF($B$5:B1500,B1500),COUNTIF($B$5:B1500,B1500))))</f>
        <v>VIS_20291213_001</v>
      </c>
      <c r="B1500" s="40">
        <v>47465</v>
      </c>
      <c r="C1500" s="47" t="str">
        <f t="shared" si="46"/>
        <v>Чт</v>
      </c>
      <c r="I1500" s="46"/>
      <c r="J1500" s="39">
        <f t="shared" si="47"/>
        <v>47464</v>
      </c>
      <c r="K1500" t="str">
        <f ca="1">IF(AND(B1500&gt;='План недели'!$B$4,B1500&lt;'План недели'!$D$4,D1500&lt;&gt;"",G1500&lt;&gt;"Отменён"),COUNTIFS($B$5:B1500,"&gt;="&amp;'План недели'!$B$4,$B$5:B1500,"&lt;"&amp;'План недели'!$D$4,$D$5:D1500,"&lt;&gt;",$G$5:G1500,"&lt;&gt;Отменён"),"")</f>
        <v/>
      </c>
    </row>
    <row r="1501" spans="1:11">
      <c r="A1501" t="str">
        <f>IF(B1501="","","VIS_"&amp;(YEAR(B1501)*10000+MONTH(B1501)*100+DAY(B1501))&amp;"_"&amp;IF(COUNTIF($B$5:B1501,B1501)&lt;10,"00"&amp;COUNTIF($B$5:B1501,B1501),IF(COUNTIF($B$5:B1501,B1501)&lt;100,"0"&amp;COUNTIF($B$5:B1501,B1501),COUNTIF($B$5:B1501,B1501))))</f>
        <v>VIS_20291214_001</v>
      </c>
      <c r="B1501" s="40">
        <v>47466</v>
      </c>
      <c r="C1501" s="47" t="str">
        <f t="shared" si="46"/>
        <v>Пт</v>
      </c>
      <c r="I1501" s="46"/>
      <c r="J1501" s="39">
        <f t="shared" si="47"/>
        <v>47464</v>
      </c>
      <c r="K1501" t="str">
        <f ca="1">IF(AND(B1501&gt;='План недели'!$B$4,B1501&lt;'План недели'!$D$4,D1501&lt;&gt;"",G1501&lt;&gt;"Отменён"),COUNTIFS($B$5:B1501,"&gt;="&amp;'План недели'!$B$4,$B$5:B1501,"&lt;"&amp;'План недели'!$D$4,$D$5:D1501,"&lt;&gt;",$G$5:G1501,"&lt;&gt;Отменён"),"")</f>
        <v/>
      </c>
    </row>
    <row r="1502" spans="1:11">
      <c r="A1502" t="str">
        <f>IF(B1502="","","VIS_"&amp;(YEAR(B1502)*10000+MONTH(B1502)*100+DAY(B1502))&amp;"_"&amp;IF(COUNTIF($B$5:B1502,B1502)&lt;10,"00"&amp;COUNTIF($B$5:B1502,B1502),IF(COUNTIF($B$5:B1502,B1502)&lt;100,"0"&amp;COUNTIF($B$5:B1502,B1502),COUNTIF($B$5:B1502,B1502))))</f>
        <v>VIS_20291215_001</v>
      </c>
      <c r="B1502" s="42">
        <v>47467</v>
      </c>
      <c r="C1502" s="49" t="str">
        <f t="shared" si="46"/>
        <v>Сб</v>
      </c>
      <c r="I1502" s="46"/>
      <c r="J1502" s="39">
        <f t="shared" si="47"/>
        <v>47464</v>
      </c>
      <c r="K1502" t="str">
        <f ca="1">IF(AND(B1502&gt;='План недели'!$B$4,B1502&lt;'План недели'!$D$4,D1502&lt;&gt;"",G1502&lt;&gt;"Отменён"),COUNTIFS($B$5:B1502,"&gt;="&amp;'План недели'!$B$4,$B$5:B1502,"&lt;"&amp;'План недели'!$D$4,$D$5:D1502,"&lt;&gt;",$G$5:G1502,"&lt;&gt;Отменён"),"")</f>
        <v/>
      </c>
    </row>
    <row r="1503" spans="1:11">
      <c r="A1503" t="str">
        <f>IF(B1503="","","VIS_"&amp;(YEAR(B1503)*10000+MONTH(B1503)*100+DAY(B1503))&amp;"_"&amp;IF(COUNTIF($B$5:B1503,B1503)&lt;10,"00"&amp;COUNTIF($B$5:B1503,B1503),IF(COUNTIF($B$5:B1503,B1503)&lt;100,"0"&amp;COUNTIF($B$5:B1503,B1503),COUNTIF($B$5:B1503,B1503))))</f>
        <v>VIS_20291216_001</v>
      </c>
      <c r="B1503" s="42">
        <v>47468</v>
      </c>
      <c r="C1503" s="49" t="str">
        <f t="shared" si="46"/>
        <v>Вс</v>
      </c>
      <c r="I1503" s="46"/>
      <c r="J1503" s="39">
        <f t="shared" si="47"/>
        <v>47464</v>
      </c>
      <c r="K1503" t="str">
        <f ca="1">IF(AND(B1503&gt;='План недели'!$B$4,B1503&lt;'План недели'!$D$4,D1503&lt;&gt;"",G1503&lt;&gt;"Отменён"),COUNTIFS($B$5:B1503,"&gt;="&amp;'План недели'!$B$4,$B$5:B1503,"&lt;"&amp;'План недели'!$D$4,$D$5:D1503,"&lt;&gt;",$G$5:G1503,"&lt;&gt;Отменён"),"")</f>
        <v/>
      </c>
    </row>
    <row r="1504" spans="1:11">
      <c r="A1504" t="str">
        <f>IF(B1504="","","VIS_"&amp;(YEAR(B1504)*10000+MONTH(B1504)*100+DAY(B1504))&amp;"_"&amp;IF(COUNTIF($B$5:B1504,B1504)&lt;10,"00"&amp;COUNTIF($B$5:B1504,B1504),IF(COUNTIF($B$5:B1504,B1504)&lt;100,"0"&amp;COUNTIF($B$5:B1504,B1504),COUNTIF($B$5:B1504,B1504))))</f>
        <v>VIS_20291217_001</v>
      </c>
      <c r="B1504" s="40">
        <v>47469</v>
      </c>
      <c r="C1504" s="47" t="str">
        <f t="shared" si="46"/>
        <v>Пн</v>
      </c>
      <c r="I1504" s="46"/>
      <c r="J1504" s="39">
        <f t="shared" si="47"/>
        <v>47464</v>
      </c>
      <c r="K1504" t="str">
        <f ca="1">IF(AND(B1504&gt;='План недели'!$B$4,B1504&lt;'План недели'!$D$4,D1504&lt;&gt;"",G1504&lt;&gt;"Отменён"),COUNTIFS($B$5:B1504,"&gt;="&amp;'План недели'!$B$4,$B$5:B1504,"&lt;"&amp;'План недели'!$D$4,$D$5:D1504,"&lt;&gt;",$G$5:G1504,"&lt;&gt;Отменён"),"")</f>
        <v/>
      </c>
    </row>
    <row r="1505" spans="1:11">
      <c r="A1505" t="str">
        <f>IF(B1505="","","VIS_"&amp;(YEAR(B1505)*10000+MONTH(B1505)*100+DAY(B1505))&amp;"_"&amp;IF(COUNTIF($B$5:B1505,B1505)&lt;10,"00"&amp;COUNTIF($B$5:B1505,B1505),IF(COUNTIF($B$5:B1505,B1505)&lt;100,"0"&amp;COUNTIF($B$5:B1505,B1505),COUNTIF($B$5:B1505,B1505))))</f>
        <v>VIS_20291218_001</v>
      </c>
      <c r="B1505" s="40">
        <v>47470</v>
      </c>
      <c r="C1505" s="47" t="str">
        <f t="shared" si="46"/>
        <v>Вт</v>
      </c>
      <c r="I1505" s="46"/>
      <c r="J1505" s="39">
        <f t="shared" si="47"/>
        <v>47464</v>
      </c>
      <c r="K1505" t="str">
        <f ca="1">IF(AND(B1505&gt;='План недели'!$B$4,B1505&lt;'План недели'!$D$4,D1505&lt;&gt;"",G1505&lt;&gt;"Отменён"),COUNTIFS($B$5:B1505,"&gt;="&amp;'План недели'!$B$4,$B$5:B1505,"&lt;"&amp;'План недели'!$D$4,$D$5:D1505,"&lt;&gt;",$G$5:G1505,"&lt;&gt;Отменён"),"")</f>
        <v/>
      </c>
    </row>
    <row r="1506" spans="1:11">
      <c r="A1506" t="str">
        <f>IF(B1506="","","VIS_"&amp;(YEAR(B1506)*10000+MONTH(B1506)*100+DAY(B1506))&amp;"_"&amp;IF(COUNTIF($B$5:B1506,B1506)&lt;10,"00"&amp;COUNTIF($B$5:B1506,B1506),IF(COUNTIF($B$5:B1506,B1506)&lt;100,"0"&amp;COUNTIF($B$5:B1506,B1506),COUNTIF($B$5:B1506,B1506))))</f>
        <v>VIS_20291219_001</v>
      </c>
      <c r="B1506" s="40">
        <v>47471</v>
      </c>
      <c r="C1506" s="47" t="str">
        <f t="shared" si="46"/>
        <v>Ср</v>
      </c>
      <c r="I1506" s="46"/>
      <c r="J1506" s="39">
        <f t="shared" si="47"/>
        <v>47471</v>
      </c>
      <c r="K1506" t="str">
        <f ca="1">IF(AND(B1506&gt;='План недели'!$B$4,B1506&lt;'План недели'!$D$4,D1506&lt;&gt;"",G1506&lt;&gt;"Отменён"),COUNTIFS($B$5:B1506,"&gt;="&amp;'План недели'!$B$4,$B$5:B1506,"&lt;"&amp;'План недели'!$D$4,$D$5:D1506,"&lt;&gt;",$G$5:G1506,"&lt;&gt;Отменён"),"")</f>
        <v/>
      </c>
    </row>
    <row r="1507" spans="1:11">
      <c r="A1507" t="str">
        <f>IF(B1507="","","VIS_"&amp;(YEAR(B1507)*10000+MONTH(B1507)*100+DAY(B1507))&amp;"_"&amp;IF(COUNTIF($B$5:B1507,B1507)&lt;10,"00"&amp;COUNTIF($B$5:B1507,B1507),IF(COUNTIF($B$5:B1507,B1507)&lt;100,"0"&amp;COUNTIF($B$5:B1507,B1507),COUNTIF($B$5:B1507,B1507))))</f>
        <v>VIS_20291220_001</v>
      </c>
      <c r="B1507" s="40">
        <v>47472</v>
      </c>
      <c r="C1507" s="47" t="str">
        <f t="shared" si="46"/>
        <v>Чт</v>
      </c>
      <c r="I1507" s="46"/>
      <c r="J1507" s="39">
        <f t="shared" si="47"/>
        <v>47471</v>
      </c>
      <c r="K1507" t="str">
        <f ca="1">IF(AND(B1507&gt;='План недели'!$B$4,B1507&lt;'План недели'!$D$4,D1507&lt;&gt;"",G1507&lt;&gt;"Отменён"),COUNTIFS($B$5:B1507,"&gt;="&amp;'План недели'!$B$4,$B$5:B1507,"&lt;"&amp;'План недели'!$D$4,$D$5:D1507,"&lt;&gt;",$G$5:G1507,"&lt;&gt;Отменён"),"")</f>
        <v/>
      </c>
    </row>
    <row r="1508" spans="1:11">
      <c r="A1508" t="str">
        <f>IF(B1508="","","VIS_"&amp;(YEAR(B1508)*10000+MONTH(B1508)*100+DAY(B1508))&amp;"_"&amp;IF(COUNTIF($B$5:B1508,B1508)&lt;10,"00"&amp;COUNTIF($B$5:B1508,B1508),IF(COUNTIF($B$5:B1508,B1508)&lt;100,"0"&amp;COUNTIF($B$5:B1508,B1508),COUNTIF($B$5:B1508,B1508))))</f>
        <v>VIS_20291221_001</v>
      </c>
      <c r="B1508" s="40">
        <v>47473</v>
      </c>
      <c r="C1508" s="47" t="str">
        <f t="shared" si="46"/>
        <v>Пт</v>
      </c>
      <c r="I1508" s="46"/>
      <c r="J1508" s="39">
        <f t="shared" si="47"/>
        <v>47471</v>
      </c>
      <c r="K1508" t="str">
        <f ca="1">IF(AND(B1508&gt;='План недели'!$B$4,B1508&lt;'План недели'!$D$4,D1508&lt;&gt;"",G1508&lt;&gt;"Отменён"),COUNTIFS($B$5:B1508,"&gt;="&amp;'План недели'!$B$4,$B$5:B1508,"&lt;"&amp;'План недели'!$D$4,$D$5:D1508,"&lt;&gt;",$G$5:G1508,"&lt;&gt;Отменён"),"")</f>
        <v/>
      </c>
    </row>
    <row r="1509" spans="1:11">
      <c r="A1509" t="str">
        <f>IF(B1509="","","VIS_"&amp;(YEAR(B1509)*10000+MONTH(B1509)*100+DAY(B1509))&amp;"_"&amp;IF(COUNTIF($B$5:B1509,B1509)&lt;10,"00"&amp;COUNTIF($B$5:B1509,B1509),IF(COUNTIF($B$5:B1509,B1509)&lt;100,"0"&amp;COUNTIF($B$5:B1509,B1509),COUNTIF($B$5:B1509,B1509))))</f>
        <v>VIS_20291222_001</v>
      </c>
      <c r="B1509" s="42">
        <v>47474</v>
      </c>
      <c r="C1509" s="49" t="str">
        <f t="shared" si="46"/>
        <v>Сб</v>
      </c>
      <c r="I1509" s="46"/>
      <c r="J1509" s="39">
        <f t="shared" si="47"/>
        <v>47471</v>
      </c>
      <c r="K1509" t="str">
        <f ca="1">IF(AND(B1509&gt;='План недели'!$B$4,B1509&lt;'План недели'!$D$4,D1509&lt;&gt;"",G1509&lt;&gt;"Отменён"),COUNTIFS($B$5:B1509,"&gt;="&amp;'План недели'!$B$4,$B$5:B1509,"&lt;"&amp;'План недели'!$D$4,$D$5:D1509,"&lt;&gt;",$G$5:G1509,"&lt;&gt;Отменён"),"")</f>
        <v/>
      </c>
    </row>
    <row r="1510" spans="1:11">
      <c r="A1510" t="str">
        <f>IF(B1510="","","VIS_"&amp;(YEAR(B1510)*10000+MONTH(B1510)*100+DAY(B1510))&amp;"_"&amp;IF(COUNTIF($B$5:B1510,B1510)&lt;10,"00"&amp;COUNTIF($B$5:B1510,B1510),IF(COUNTIF($B$5:B1510,B1510)&lt;100,"0"&amp;COUNTIF($B$5:B1510,B1510),COUNTIF($B$5:B1510,B1510))))</f>
        <v>VIS_20291223_001</v>
      </c>
      <c r="B1510" s="42">
        <v>47475</v>
      </c>
      <c r="C1510" s="49" t="str">
        <f t="shared" si="46"/>
        <v>Вс</v>
      </c>
      <c r="I1510" s="46"/>
      <c r="J1510" s="39">
        <f t="shared" si="47"/>
        <v>47471</v>
      </c>
      <c r="K1510" t="str">
        <f ca="1">IF(AND(B1510&gt;='План недели'!$B$4,B1510&lt;'План недели'!$D$4,D1510&lt;&gt;"",G1510&lt;&gt;"Отменён"),COUNTIFS($B$5:B1510,"&gt;="&amp;'План недели'!$B$4,$B$5:B1510,"&lt;"&amp;'План недели'!$D$4,$D$5:D1510,"&lt;&gt;",$G$5:G1510,"&lt;&gt;Отменён"),"")</f>
        <v/>
      </c>
    </row>
    <row r="1511" spans="1:11">
      <c r="A1511" t="str">
        <f>IF(B1511="","","VIS_"&amp;(YEAR(B1511)*10000+MONTH(B1511)*100+DAY(B1511))&amp;"_"&amp;IF(COUNTIF($B$5:B1511,B1511)&lt;10,"00"&amp;COUNTIF($B$5:B1511,B1511),IF(COUNTIF($B$5:B1511,B1511)&lt;100,"0"&amp;COUNTIF($B$5:B1511,B1511),COUNTIF($B$5:B1511,B1511))))</f>
        <v>VIS_20291224_001</v>
      </c>
      <c r="B1511" s="40">
        <v>47476</v>
      </c>
      <c r="C1511" s="47" t="str">
        <f t="shared" si="46"/>
        <v>Пн</v>
      </c>
      <c r="I1511" s="46"/>
      <c r="J1511" s="39">
        <f t="shared" si="47"/>
        <v>47471</v>
      </c>
      <c r="K1511" t="str">
        <f ca="1">IF(AND(B1511&gt;='План недели'!$B$4,B1511&lt;'План недели'!$D$4,D1511&lt;&gt;"",G1511&lt;&gt;"Отменён"),COUNTIFS($B$5:B1511,"&gt;="&amp;'План недели'!$B$4,$B$5:B1511,"&lt;"&amp;'План недели'!$D$4,$D$5:D1511,"&lt;&gt;",$G$5:G1511,"&lt;&gt;Отменён"),"")</f>
        <v/>
      </c>
    </row>
    <row r="1512" spans="1:11">
      <c r="A1512" t="str">
        <f>IF(B1512="","","VIS_"&amp;(YEAR(B1512)*10000+MONTH(B1512)*100+DAY(B1512))&amp;"_"&amp;IF(COUNTIF($B$5:B1512,B1512)&lt;10,"00"&amp;COUNTIF($B$5:B1512,B1512),IF(COUNTIF($B$5:B1512,B1512)&lt;100,"0"&amp;COUNTIF($B$5:B1512,B1512),COUNTIF($B$5:B1512,B1512))))</f>
        <v>VIS_20291225_001</v>
      </c>
      <c r="B1512" s="40">
        <v>47477</v>
      </c>
      <c r="C1512" s="47" t="str">
        <f t="shared" si="46"/>
        <v>Вт</v>
      </c>
      <c r="I1512" s="46"/>
      <c r="J1512" s="39">
        <f t="shared" si="47"/>
        <v>47471</v>
      </c>
      <c r="K1512" t="str">
        <f ca="1">IF(AND(B1512&gt;='План недели'!$B$4,B1512&lt;'План недели'!$D$4,D1512&lt;&gt;"",G1512&lt;&gt;"Отменён"),COUNTIFS($B$5:B1512,"&gt;="&amp;'План недели'!$B$4,$B$5:B1512,"&lt;"&amp;'План недели'!$D$4,$D$5:D1512,"&lt;&gt;",$G$5:G1512,"&lt;&gt;Отменён"),"")</f>
        <v/>
      </c>
    </row>
    <row r="1513" spans="1:11">
      <c r="A1513" t="str">
        <f>IF(B1513="","","VIS_"&amp;(YEAR(B1513)*10000+MONTH(B1513)*100+DAY(B1513))&amp;"_"&amp;IF(COUNTIF($B$5:B1513,B1513)&lt;10,"00"&amp;COUNTIF($B$5:B1513,B1513),IF(COUNTIF($B$5:B1513,B1513)&lt;100,"0"&amp;COUNTIF($B$5:B1513,B1513),COUNTIF($B$5:B1513,B1513))))</f>
        <v>VIS_20291226_001</v>
      </c>
      <c r="B1513" s="40">
        <v>47478</v>
      </c>
      <c r="C1513" s="47" t="str">
        <f t="shared" si="46"/>
        <v>Ср</v>
      </c>
      <c r="I1513" s="46"/>
      <c r="J1513" s="39">
        <f t="shared" si="47"/>
        <v>47478</v>
      </c>
      <c r="K1513" t="str">
        <f ca="1">IF(AND(B1513&gt;='План недели'!$B$4,B1513&lt;'План недели'!$D$4,D1513&lt;&gt;"",G1513&lt;&gt;"Отменён"),COUNTIFS($B$5:B1513,"&gt;="&amp;'План недели'!$B$4,$B$5:B1513,"&lt;"&amp;'План недели'!$D$4,$D$5:D1513,"&lt;&gt;",$G$5:G1513,"&lt;&gt;Отменён"),"")</f>
        <v/>
      </c>
    </row>
    <row r="1514" spans="1:11">
      <c r="A1514" t="str">
        <f>IF(B1514="","","VIS_"&amp;(YEAR(B1514)*10000+MONTH(B1514)*100+DAY(B1514))&amp;"_"&amp;IF(COUNTIF($B$5:B1514,B1514)&lt;10,"00"&amp;COUNTIF($B$5:B1514,B1514),IF(COUNTIF($B$5:B1514,B1514)&lt;100,"0"&amp;COUNTIF($B$5:B1514,B1514),COUNTIF($B$5:B1514,B1514))))</f>
        <v>VIS_20291227_001</v>
      </c>
      <c r="B1514" s="40">
        <v>47479</v>
      </c>
      <c r="C1514" s="47" t="str">
        <f t="shared" si="46"/>
        <v>Чт</v>
      </c>
      <c r="I1514" s="46"/>
      <c r="J1514" s="39">
        <f t="shared" si="47"/>
        <v>47478</v>
      </c>
      <c r="K1514" t="str">
        <f ca="1">IF(AND(B1514&gt;='План недели'!$B$4,B1514&lt;'План недели'!$D$4,D1514&lt;&gt;"",G1514&lt;&gt;"Отменён"),COUNTIFS($B$5:B1514,"&gt;="&amp;'План недели'!$B$4,$B$5:B1514,"&lt;"&amp;'План недели'!$D$4,$D$5:D1514,"&lt;&gt;",$G$5:G1514,"&lt;&gt;Отменён"),"")</f>
        <v/>
      </c>
    </row>
    <row r="1515" spans="1:11">
      <c r="A1515" t="str">
        <f>IF(B1515="","","VIS_"&amp;(YEAR(B1515)*10000+MONTH(B1515)*100+DAY(B1515))&amp;"_"&amp;IF(COUNTIF($B$5:B1515,B1515)&lt;10,"00"&amp;COUNTIF($B$5:B1515,B1515),IF(COUNTIF($B$5:B1515,B1515)&lt;100,"0"&amp;COUNTIF($B$5:B1515,B1515),COUNTIF($B$5:B1515,B1515))))</f>
        <v>VIS_20291228_001</v>
      </c>
      <c r="B1515" s="40">
        <v>47480</v>
      </c>
      <c r="C1515" s="47" t="str">
        <f t="shared" si="46"/>
        <v>Пт</v>
      </c>
      <c r="I1515" s="46"/>
      <c r="J1515" s="39">
        <f t="shared" si="47"/>
        <v>47478</v>
      </c>
      <c r="K1515" t="str">
        <f ca="1">IF(AND(B1515&gt;='План недели'!$B$4,B1515&lt;'План недели'!$D$4,D1515&lt;&gt;"",G1515&lt;&gt;"Отменён"),COUNTIFS($B$5:B1515,"&gt;="&amp;'План недели'!$B$4,$B$5:B1515,"&lt;"&amp;'План недели'!$D$4,$D$5:D1515,"&lt;&gt;",$G$5:G1515,"&lt;&gt;Отменён"),"")</f>
        <v/>
      </c>
    </row>
    <row r="1516" spans="1:11">
      <c r="A1516" t="str">
        <f>IF(B1516="","","VIS_"&amp;(YEAR(B1516)*10000+MONTH(B1516)*100+DAY(B1516))&amp;"_"&amp;IF(COUNTIF($B$5:B1516,B1516)&lt;10,"00"&amp;COUNTIF($B$5:B1516,B1516),IF(COUNTIF($B$5:B1516,B1516)&lt;100,"0"&amp;COUNTIF($B$5:B1516,B1516),COUNTIF($B$5:B1516,B1516))))</f>
        <v>VIS_20291229_001</v>
      </c>
      <c r="B1516" s="42">
        <v>47481</v>
      </c>
      <c r="C1516" s="49" t="str">
        <f t="shared" si="46"/>
        <v>Сб</v>
      </c>
      <c r="I1516" s="46"/>
      <c r="J1516" s="39">
        <f t="shared" si="47"/>
        <v>47478</v>
      </c>
      <c r="K1516" t="str">
        <f ca="1">IF(AND(B1516&gt;='План недели'!$B$4,B1516&lt;'План недели'!$D$4,D1516&lt;&gt;"",G1516&lt;&gt;"Отменён"),COUNTIFS($B$5:B1516,"&gt;="&amp;'План недели'!$B$4,$B$5:B1516,"&lt;"&amp;'План недели'!$D$4,$D$5:D1516,"&lt;&gt;",$G$5:G1516,"&lt;&gt;Отменён"),"")</f>
        <v/>
      </c>
    </row>
    <row r="1517" spans="1:11">
      <c r="A1517" t="str">
        <f>IF(B1517="","","VIS_"&amp;(YEAR(B1517)*10000+MONTH(B1517)*100+DAY(B1517))&amp;"_"&amp;IF(COUNTIF($B$5:B1517,B1517)&lt;10,"00"&amp;COUNTIF($B$5:B1517,B1517),IF(COUNTIF($B$5:B1517,B1517)&lt;100,"0"&amp;COUNTIF($B$5:B1517,B1517),COUNTIF($B$5:B1517,B1517))))</f>
        <v>VIS_20291230_001</v>
      </c>
      <c r="B1517" s="42">
        <v>47482</v>
      </c>
      <c r="C1517" s="49" t="str">
        <f t="shared" si="46"/>
        <v>Вс</v>
      </c>
      <c r="I1517" s="46"/>
      <c r="J1517" s="39">
        <f t="shared" si="47"/>
        <v>47478</v>
      </c>
      <c r="K1517" t="str">
        <f ca="1">IF(AND(B1517&gt;='План недели'!$B$4,B1517&lt;'План недели'!$D$4,D1517&lt;&gt;"",G1517&lt;&gt;"Отменён"),COUNTIFS($B$5:B1517,"&gt;="&amp;'План недели'!$B$4,$B$5:B1517,"&lt;"&amp;'План недели'!$D$4,$D$5:D1517,"&lt;&gt;",$G$5:G1517,"&lt;&gt;Отменён"),"")</f>
        <v/>
      </c>
    </row>
    <row r="1518" spans="1:11">
      <c r="A1518" t="str">
        <f>IF(B1518="","","VIS_"&amp;(YEAR(B1518)*10000+MONTH(B1518)*100+DAY(B1518))&amp;"_"&amp;IF(COUNTIF($B$5:B1518,B1518)&lt;10,"00"&amp;COUNTIF($B$5:B1518,B1518),IF(COUNTIF($B$5:B1518,B1518)&lt;100,"0"&amp;COUNTIF($B$5:B1518,B1518),COUNTIF($B$5:B1518,B1518))))</f>
        <v>VIS_20291231_001</v>
      </c>
      <c r="B1518" s="40">
        <v>47483</v>
      </c>
      <c r="C1518" s="47" t="str">
        <f t="shared" si="46"/>
        <v>Пн</v>
      </c>
      <c r="I1518" s="46"/>
      <c r="J1518" s="39">
        <f t="shared" si="47"/>
        <v>47478</v>
      </c>
      <c r="K1518" t="str">
        <f ca="1">IF(AND(B1518&gt;='План недели'!$B$4,B1518&lt;'План недели'!$D$4,D1518&lt;&gt;"",G1518&lt;&gt;"Отменён"),COUNTIFS($B$5:B1518,"&gt;="&amp;'План недели'!$B$4,$B$5:B1518,"&lt;"&amp;'План недели'!$D$4,$D$5:D1518,"&lt;&gt;",$G$5:G1518,"&lt;&gt;Отменён"),"")</f>
        <v/>
      </c>
    </row>
    <row r="1519" spans="1:11">
      <c r="A1519" t="str">
        <f>IF(B1519="","","VIS_"&amp;(YEAR(B1519)*10000+MONTH(B1519)*100+DAY(B1519))&amp;"_"&amp;IF(COUNTIF($B$5:B1519,B1519)&lt;10,"00"&amp;COUNTIF($B$5:B1519,B1519),IF(COUNTIF($B$5:B1519,B1519)&lt;100,"0"&amp;COUNTIF($B$5:B1519,B1519),COUNTIF($B$5:B1519,B1519))))</f>
        <v>VIS_20300101_001</v>
      </c>
      <c r="B1519" s="40">
        <v>47484</v>
      </c>
      <c r="C1519" s="47" t="str">
        <f t="shared" si="46"/>
        <v>Вт</v>
      </c>
      <c r="I1519" s="46"/>
      <c r="J1519" s="39">
        <f t="shared" si="47"/>
        <v>47478</v>
      </c>
      <c r="K1519" t="str">
        <f ca="1">IF(AND(B1519&gt;='План недели'!$B$4,B1519&lt;'План недели'!$D$4,D1519&lt;&gt;"",G1519&lt;&gt;"Отменён"),COUNTIFS($B$5:B1519,"&gt;="&amp;'План недели'!$B$4,$B$5:B1519,"&lt;"&amp;'План недели'!$D$4,$D$5:D1519,"&lt;&gt;",$G$5:G1519,"&lt;&gt;Отменён"),"")</f>
        <v/>
      </c>
    </row>
    <row r="1520" spans="1:11">
      <c r="A1520" t="str">
        <f>IF(B1520="","","VIS_"&amp;(YEAR(B1520)*10000+MONTH(B1520)*100+DAY(B1520))&amp;"_"&amp;IF(COUNTIF($B$5:B1520,B1520)&lt;10,"00"&amp;COUNTIF($B$5:B1520,B1520),IF(COUNTIF($B$5:B1520,B1520)&lt;100,"0"&amp;COUNTIF($B$5:B1520,B1520),COUNTIF($B$5:B1520,B1520))))</f>
        <v>VIS_20300102_001</v>
      </c>
      <c r="B1520" s="40">
        <v>47485</v>
      </c>
      <c r="C1520" s="47" t="str">
        <f t="shared" si="46"/>
        <v>Ср</v>
      </c>
      <c r="I1520" s="46"/>
      <c r="J1520" s="39">
        <f t="shared" si="47"/>
        <v>47485</v>
      </c>
      <c r="K1520" t="str">
        <f ca="1">IF(AND(B1520&gt;='План недели'!$B$4,B1520&lt;'План недели'!$D$4,D1520&lt;&gt;"",G1520&lt;&gt;"Отменён"),COUNTIFS($B$5:B1520,"&gt;="&amp;'План недели'!$B$4,$B$5:B1520,"&lt;"&amp;'План недели'!$D$4,$D$5:D1520,"&lt;&gt;",$G$5:G1520,"&lt;&gt;Отменён"),"")</f>
        <v/>
      </c>
    </row>
    <row r="1521" spans="1:11">
      <c r="A1521" t="str">
        <f>IF(B1521="","","VIS_"&amp;(YEAR(B1521)*10000+MONTH(B1521)*100+DAY(B1521))&amp;"_"&amp;IF(COUNTIF($B$5:B1521,B1521)&lt;10,"00"&amp;COUNTIF($B$5:B1521,B1521),IF(COUNTIF($B$5:B1521,B1521)&lt;100,"0"&amp;COUNTIF($B$5:B1521,B1521),COUNTIF($B$5:B1521,B1521))))</f>
        <v>VIS_20300103_001</v>
      </c>
      <c r="B1521" s="40">
        <v>47486</v>
      </c>
      <c r="C1521" s="47" t="str">
        <f t="shared" si="46"/>
        <v>Чт</v>
      </c>
      <c r="I1521" s="46"/>
      <c r="J1521" s="39">
        <f t="shared" si="47"/>
        <v>47485</v>
      </c>
      <c r="K1521" t="str">
        <f ca="1">IF(AND(B1521&gt;='План недели'!$B$4,B1521&lt;'План недели'!$D$4,D1521&lt;&gt;"",G1521&lt;&gt;"Отменён"),COUNTIFS($B$5:B1521,"&gt;="&amp;'План недели'!$B$4,$B$5:B1521,"&lt;"&amp;'План недели'!$D$4,$D$5:D1521,"&lt;&gt;",$G$5:G1521,"&lt;&gt;Отменён"),"")</f>
        <v/>
      </c>
    </row>
    <row r="1522" spans="1:11">
      <c r="A1522" t="str">
        <f>IF(B1522="","","VIS_"&amp;(YEAR(B1522)*10000+MONTH(B1522)*100+DAY(B1522))&amp;"_"&amp;IF(COUNTIF($B$5:B1522,B1522)&lt;10,"00"&amp;COUNTIF($B$5:B1522,B1522),IF(COUNTIF($B$5:B1522,B1522)&lt;100,"0"&amp;COUNTIF($B$5:B1522,B1522),COUNTIF($B$5:B1522,B1522))))</f>
        <v>VIS_20300104_001</v>
      </c>
      <c r="B1522" s="40">
        <v>47487</v>
      </c>
      <c r="C1522" s="47" t="str">
        <f t="shared" si="46"/>
        <v>Пт</v>
      </c>
      <c r="I1522" s="46"/>
      <c r="J1522" s="39">
        <f t="shared" si="47"/>
        <v>47485</v>
      </c>
      <c r="K1522" t="str">
        <f ca="1">IF(AND(B1522&gt;='План недели'!$B$4,B1522&lt;'План недели'!$D$4,D1522&lt;&gt;"",G1522&lt;&gt;"Отменён"),COUNTIFS($B$5:B1522,"&gt;="&amp;'План недели'!$B$4,$B$5:B1522,"&lt;"&amp;'План недели'!$D$4,$D$5:D1522,"&lt;&gt;",$G$5:G1522,"&lt;&gt;Отменён"),"")</f>
        <v/>
      </c>
    </row>
    <row r="1523" spans="1:11">
      <c r="A1523" t="str">
        <f>IF(B1523="","","VIS_"&amp;(YEAR(B1523)*10000+MONTH(B1523)*100+DAY(B1523))&amp;"_"&amp;IF(COUNTIF($B$5:B1523,B1523)&lt;10,"00"&amp;COUNTIF($B$5:B1523,B1523),IF(COUNTIF($B$5:B1523,B1523)&lt;100,"0"&amp;COUNTIF($B$5:B1523,B1523),COUNTIF($B$5:B1523,B1523))))</f>
        <v>VIS_20300105_001</v>
      </c>
      <c r="B1523" s="42">
        <v>47488</v>
      </c>
      <c r="C1523" s="49" t="str">
        <f t="shared" si="46"/>
        <v>Сб</v>
      </c>
      <c r="I1523" s="46"/>
      <c r="J1523" s="39">
        <f t="shared" si="47"/>
        <v>47485</v>
      </c>
      <c r="K1523" t="str">
        <f ca="1">IF(AND(B1523&gt;='План недели'!$B$4,B1523&lt;'План недели'!$D$4,D1523&lt;&gt;"",G1523&lt;&gt;"Отменён"),COUNTIFS($B$5:B1523,"&gt;="&amp;'План недели'!$B$4,$B$5:B1523,"&lt;"&amp;'План недели'!$D$4,$D$5:D1523,"&lt;&gt;",$G$5:G1523,"&lt;&gt;Отменён"),"")</f>
        <v/>
      </c>
    </row>
    <row r="1524" spans="1:11">
      <c r="A1524" t="str">
        <f>IF(B1524="","","VIS_"&amp;(YEAR(B1524)*10000+MONTH(B1524)*100+DAY(B1524))&amp;"_"&amp;IF(COUNTIF($B$5:B1524,B1524)&lt;10,"00"&amp;COUNTIF($B$5:B1524,B1524),IF(COUNTIF($B$5:B1524,B1524)&lt;100,"0"&amp;COUNTIF($B$5:B1524,B1524),COUNTIF($B$5:B1524,B1524))))</f>
        <v>VIS_20300106_001</v>
      </c>
      <c r="B1524" s="42">
        <v>47489</v>
      </c>
      <c r="C1524" s="49" t="str">
        <f t="shared" si="46"/>
        <v>Вс</v>
      </c>
      <c r="I1524" s="46"/>
      <c r="J1524" s="39">
        <f t="shared" si="47"/>
        <v>47485</v>
      </c>
      <c r="K1524" t="str">
        <f ca="1">IF(AND(B1524&gt;='План недели'!$B$4,B1524&lt;'План недели'!$D$4,D1524&lt;&gt;"",G1524&lt;&gt;"Отменён"),COUNTIFS($B$5:B1524,"&gt;="&amp;'План недели'!$B$4,$B$5:B1524,"&lt;"&amp;'План недели'!$D$4,$D$5:D1524,"&lt;&gt;",$G$5:G1524,"&lt;&gt;Отменён"),"")</f>
        <v/>
      </c>
    </row>
    <row r="1525" spans="1:11">
      <c r="A1525" t="str">
        <f>IF(B1525="","","VIS_"&amp;(YEAR(B1525)*10000+MONTH(B1525)*100+DAY(B1525))&amp;"_"&amp;IF(COUNTIF($B$5:B1525,B1525)&lt;10,"00"&amp;COUNTIF($B$5:B1525,B1525),IF(COUNTIF($B$5:B1525,B1525)&lt;100,"0"&amp;COUNTIF($B$5:B1525,B1525),COUNTIF($B$5:B1525,B1525))))</f>
        <v>VIS_20300107_001</v>
      </c>
      <c r="B1525" s="40">
        <v>47490</v>
      </c>
      <c r="C1525" s="47" t="str">
        <f t="shared" si="46"/>
        <v>Пн</v>
      </c>
      <c r="I1525" s="46"/>
      <c r="J1525" s="39">
        <f t="shared" si="47"/>
        <v>47485</v>
      </c>
      <c r="K1525" t="str">
        <f ca="1">IF(AND(B1525&gt;='План недели'!$B$4,B1525&lt;'План недели'!$D$4,D1525&lt;&gt;"",G1525&lt;&gt;"Отменён"),COUNTIFS($B$5:B1525,"&gt;="&amp;'План недели'!$B$4,$B$5:B1525,"&lt;"&amp;'План недели'!$D$4,$D$5:D1525,"&lt;&gt;",$G$5:G1525,"&lt;&gt;Отменён"),"")</f>
        <v/>
      </c>
    </row>
    <row r="1526" spans="1:11">
      <c r="A1526" t="str">
        <f>IF(B1526="","","VIS_"&amp;(YEAR(B1526)*10000+MONTH(B1526)*100+DAY(B1526))&amp;"_"&amp;IF(COUNTIF($B$5:B1526,B1526)&lt;10,"00"&amp;COUNTIF($B$5:B1526,B1526),IF(COUNTIF($B$5:B1526,B1526)&lt;100,"0"&amp;COUNTIF($B$5:B1526,B1526),COUNTIF($B$5:B1526,B1526))))</f>
        <v>VIS_20300108_001</v>
      </c>
      <c r="B1526" s="40">
        <v>47491</v>
      </c>
      <c r="C1526" s="47" t="str">
        <f t="shared" si="46"/>
        <v>Вт</v>
      </c>
      <c r="I1526" s="46"/>
      <c r="J1526" s="39">
        <f t="shared" si="47"/>
        <v>47485</v>
      </c>
      <c r="K1526" t="str">
        <f ca="1">IF(AND(B1526&gt;='План недели'!$B$4,B1526&lt;'План недели'!$D$4,D1526&lt;&gt;"",G1526&lt;&gt;"Отменён"),COUNTIFS($B$5:B1526,"&gt;="&amp;'План недели'!$B$4,$B$5:B1526,"&lt;"&amp;'План недели'!$D$4,$D$5:D1526,"&lt;&gt;",$G$5:G1526,"&lt;&gt;Отменён"),"")</f>
        <v/>
      </c>
    </row>
    <row r="1527" spans="1:11">
      <c r="A1527" t="str">
        <f>IF(B1527="","","VIS_"&amp;(YEAR(B1527)*10000+MONTH(B1527)*100+DAY(B1527))&amp;"_"&amp;IF(COUNTIF($B$5:B1527,B1527)&lt;10,"00"&amp;COUNTIF($B$5:B1527,B1527),IF(COUNTIF($B$5:B1527,B1527)&lt;100,"0"&amp;COUNTIF($B$5:B1527,B1527),COUNTIF($B$5:B1527,B1527))))</f>
        <v>VIS_20300109_001</v>
      </c>
      <c r="B1527" s="40">
        <v>47492</v>
      </c>
      <c r="C1527" s="47" t="str">
        <f t="shared" si="46"/>
        <v>Ср</v>
      </c>
      <c r="I1527" s="46"/>
      <c r="J1527" s="39">
        <f t="shared" si="47"/>
        <v>47492</v>
      </c>
      <c r="K1527" t="str">
        <f ca="1">IF(AND(B1527&gt;='План недели'!$B$4,B1527&lt;'План недели'!$D$4,D1527&lt;&gt;"",G1527&lt;&gt;"Отменён"),COUNTIFS($B$5:B1527,"&gt;="&amp;'План недели'!$B$4,$B$5:B1527,"&lt;"&amp;'План недели'!$D$4,$D$5:D1527,"&lt;&gt;",$G$5:G1527,"&lt;&gt;Отменён"),"")</f>
        <v/>
      </c>
    </row>
    <row r="1528" spans="1:11">
      <c r="A1528" t="str">
        <f>IF(B1528="","","VIS_"&amp;(YEAR(B1528)*10000+MONTH(B1528)*100+DAY(B1528))&amp;"_"&amp;IF(COUNTIF($B$5:B1528,B1528)&lt;10,"00"&amp;COUNTIF($B$5:B1528,B1528),IF(COUNTIF($B$5:B1528,B1528)&lt;100,"0"&amp;COUNTIF($B$5:B1528,B1528),COUNTIF($B$5:B1528,B1528))))</f>
        <v>VIS_20300110_001</v>
      </c>
      <c r="B1528" s="40">
        <v>47493</v>
      </c>
      <c r="C1528" s="47" t="str">
        <f t="shared" si="46"/>
        <v>Чт</v>
      </c>
      <c r="I1528" s="46"/>
      <c r="J1528" s="39">
        <f t="shared" si="47"/>
        <v>47492</v>
      </c>
      <c r="K1528" t="str">
        <f ca="1">IF(AND(B1528&gt;='План недели'!$B$4,B1528&lt;'План недели'!$D$4,D1528&lt;&gt;"",G1528&lt;&gt;"Отменён"),COUNTIFS($B$5:B1528,"&gt;="&amp;'План недели'!$B$4,$B$5:B1528,"&lt;"&amp;'План недели'!$D$4,$D$5:D1528,"&lt;&gt;",$G$5:G1528,"&lt;&gt;Отменён"),"")</f>
        <v/>
      </c>
    </row>
    <row r="1529" spans="1:11">
      <c r="A1529" t="str">
        <f>IF(B1529="","","VIS_"&amp;(YEAR(B1529)*10000+MONTH(B1529)*100+DAY(B1529))&amp;"_"&amp;IF(COUNTIF($B$5:B1529,B1529)&lt;10,"00"&amp;COUNTIF($B$5:B1529,B1529),IF(COUNTIF($B$5:B1529,B1529)&lt;100,"0"&amp;COUNTIF($B$5:B1529,B1529),COUNTIF($B$5:B1529,B1529))))</f>
        <v>VIS_20300111_001</v>
      </c>
      <c r="B1529" s="40">
        <v>47494</v>
      </c>
      <c r="C1529" s="47" t="str">
        <f t="shared" si="46"/>
        <v>Пт</v>
      </c>
      <c r="I1529" s="46"/>
      <c r="J1529" s="39">
        <f t="shared" si="47"/>
        <v>47492</v>
      </c>
      <c r="K1529" t="str">
        <f ca="1">IF(AND(B1529&gt;='План недели'!$B$4,B1529&lt;'План недели'!$D$4,D1529&lt;&gt;"",G1529&lt;&gt;"Отменён"),COUNTIFS($B$5:B1529,"&gt;="&amp;'План недели'!$B$4,$B$5:B1529,"&lt;"&amp;'План недели'!$D$4,$D$5:D1529,"&lt;&gt;",$G$5:G1529,"&lt;&gt;Отменён"),"")</f>
        <v/>
      </c>
    </row>
    <row r="1530" spans="1:11">
      <c r="A1530" t="str">
        <f>IF(B1530="","","VIS_"&amp;(YEAR(B1530)*10000+MONTH(B1530)*100+DAY(B1530))&amp;"_"&amp;IF(COUNTIF($B$5:B1530,B1530)&lt;10,"00"&amp;COUNTIF($B$5:B1530,B1530),IF(COUNTIF($B$5:B1530,B1530)&lt;100,"0"&amp;COUNTIF($B$5:B1530,B1530),COUNTIF($B$5:B1530,B1530))))</f>
        <v>VIS_20300112_001</v>
      </c>
      <c r="B1530" s="42">
        <v>47495</v>
      </c>
      <c r="C1530" s="49" t="str">
        <f t="shared" si="46"/>
        <v>Сб</v>
      </c>
      <c r="I1530" s="46"/>
      <c r="J1530" s="39">
        <f t="shared" si="47"/>
        <v>47492</v>
      </c>
      <c r="K1530" t="str">
        <f ca="1">IF(AND(B1530&gt;='План недели'!$B$4,B1530&lt;'План недели'!$D$4,D1530&lt;&gt;"",G1530&lt;&gt;"Отменён"),COUNTIFS($B$5:B1530,"&gt;="&amp;'План недели'!$B$4,$B$5:B1530,"&lt;"&amp;'План недели'!$D$4,$D$5:D1530,"&lt;&gt;",$G$5:G1530,"&lt;&gt;Отменён"),"")</f>
        <v/>
      </c>
    </row>
    <row r="1531" spans="1:11">
      <c r="A1531" t="str">
        <f>IF(B1531="","","VIS_"&amp;(YEAR(B1531)*10000+MONTH(B1531)*100+DAY(B1531))&amp;"_"&amp;IF(COUNTIF($B$5:B1531,B1531)&lt;10,"00"&amp;COUNTIF($B$5:B1531,B1531),IF(COUNTIF($B$5:B1531,B1531)&lt;100,"0"&amp;COUNTIF($B$5:B1531,B1531),COUNTIF($B$5:B1531,B1531))))</f>
        <v>VIS_20300113_001</v>
      </c>
      <c r="B1531" s="42">
        <v>47496</v>
      </c>
      <c r="C1531" s="49" t="str">
        <f t="shared" si="46"/>
        <v>Вс</v>
      </c>
      <c r="I1531" s="46"/>
      <c r="J1531" s="39">
        <f t="shared" si="47"/>
        <v>47492</v>
      </c>
      <c r="K1531" t="str">
        <f ca="1">IF(AND(B1531&gt;='План недели'!$B$4,B1531&lt;'План недели'!$D$4,D1531&lt;&gt;"",G1531&lt;&gt;"Отменён"),COUNTIFS($B$5:B1531,"&gt;="&amp;'План недели'!$B$4,$B$5:B1531,"&lt;"&amp;'План недели'!$D$4,$D$5:D1531,"&lt;&gt;",$G$5:G1531,"&lt;&gt;Отменён"),"")</f>
        <v/>
      </c>
    </row>
    <row r="1532" spans="1:11">
      <c r="A1532" t="str">
        <f>IF(B1532="","","VIS_"&amp;(YEAR(B1532)*10000+MONTH(B1532)*100+DAY(B1532))&amp;"_"&amp;IF(COUNTIF($B$5:B1532,B1532)&lt;10,"00"&amp;COUNTIF($B$5:B1532,B1532),IF(COUNTIF($B$5:B1532,B1532)&lt;100,"0"&amp;COUNTIF($B$5:B1532,B1532),COUNTIF($B$5:B1532,B1532))))</f>
        <v>VIS_20300114_001</v>
      </c>
      <c r="B1532" s="40">
        <v>47497</v>
      </c>
      <c r="C1532" s="47" t="str">
        <f t="shared" si="46"/>
        <v>Пн</v>
      </c>
      <c r="I1532" s="46"/>
      <c r="J1532" s="39">
        <f t="shared" si="47"/>
        <v>47492</v>
      </c>
      <c r="K1532" t="str">
        <f ca="1">IF(AND(B1532&gt;='План недели'!$B$4,B1532&lt;'План недели'!$D$4,D1532&lt;&gt;"",G1532&lt;&gt;"Отменён"),COUNTIFS($B$5:B1532,"&gt;="&amp;'План недели'!$B$4,$B$5:B1532,"&lt;"&amp;'План недели'!$D$4,$D$5:D1532,"&lt;&gt;",$G$5:G1532,"&lt;&gt;Отменён"),"")</f>
        <v/>
      </c>
    </row>
    <row r="1533" spans="1:11">
      <c r="A1533" t="str">
        <f>IF(B1533="","","VIS_"&amp;(YEAR(B1533)*10000+MONTH(B1533)*100+DAY(B1533))&amp;"_"&amp;IF(COUNTIF($B$5:B1533,B1533)&lt;10,"00"&amp;COUNTIF($B$5:B1533,B1533),IF(COUNTIF($B$5:B1533,B1533)&lt;100,"0"&amp;COUNTIF($B$5:B1533,B1533),COUNTIF($B$5:B1533,B1533))))</f>
        <v>VIS_20300115_001</v>
      </c>
      <c r="B1533" s="40">
        <v>47498</v>
      </c>
      <c r="C1533" s="47" t="str">
        <f t="shared" si="46"/>
        <v>Вт</v>
      </c>
      <c r="I1533" s="46"/>
      <c r="J1533" s="39">
        <f t="shared" si="47"/>
        <v>47492</v>
      </c>
      <c r="K1533" t="str">
        <f ca="1">IF(AND(B1533&gt;='План недели'!$B$4,B1533&lt;'План недели'!$D$4,D1533&lt;&gt;"",G1533&lt;&gt;"Отменён"),COUNTIFS($B$5:B1533,"&gt;="&amp;'План недели'!$B$4,$B$5:B1533,"&lt;"&amp;'План недели'!$D$4,$D$5:D1533,"&lt;&gt;",$G$5:G1533,"&lt;&gt;Отменён"),"")</f>
        <v/>
      </c>
    </row>
    <row r="1534" spans="1:11">
      <c r="A1534" t="str">
        <f>IF(B1534="","","VIS_"&amp;(YEAR(B1534)*10000+MONTH(B1534)*100+DAY(B1534))&amp;"_"&amp;IF(COUNTIF($B$5:B1534,B1534)&lt;10,"00"&amp;COUNTIF($B$5:B1534,B1534),IF(COUNTIF($B$5:B1534,B1534)&lt;100,"0"&amp;COUNTIF($B$5:B1534,B1534),COUNTIF($B$5:B1534,B1534))))</f>
        <v>VIS_20300116_001</v>
      </c>
      <c r="B1534" s="40">
        <v>47499</v>
      </c>
      <c r="C1534" s="47" t="str">
        <f t="shared" si="46"/>
        <v>Ср</v>
      </c>
      <c r="I1534" s="46"/>
      <c r="J1534" s="39">
        <f t="shared" si="47"/>
        <v>47499</v>
      </c>
      <c r="K1534" t="str">
        <f ca="1">IF(AND(B1534&gt;='План недели'!$B$4,B1534&lt;'План недели'!$D$4,D1534&lt;&gt;"",G1534&lt;&gt;"Отменён"),COUNTIFS($B$5:B1534,"&gt;="&amp;'План недели'!$B$4,$B$5:B1534,"&lt;"&amp;'План недели'!$D$4,$D$5:D1534,"&lt;&gt;",$G$5:G1534,"&lt;&gt;Отменён"),"")</f>
        <v/>
      </c>
    </row>
    <row r="1535" spans="1:11">
      <c r="A1535" t="str">
        <f>IF(B1535="","","VIS_"&amp;(YEAR(B1535)*10000+MONTH(B1535)*100+DAY(B1535))&amp;"_"&amp;IF(COUNTIF($B$5:B1535,B1535)&lt;10,"00"&amp;COUNTIF($B$5:B1535,B1535),IF(COUNTIF($B$5:B1535,B1535)&lt;100,"0"&amp;COUNTIF($B$5:B1535,B1535),COUNTIF($B$5:B1535,B1535))))</f>
        <v>VIS_20300117_001</v>
      </c>
      <c r="B1535" s="40">
        <v>47500</v>
      </c>
      <c r="C1535" s="47" t="str">
        <f t="shared" si="46"/>
        <v>Чт</v>
      </c>
      <c r="I1535" s="46"/>
      <c r="J1535" s="39">
        <f t="shared" si="47"/>
        <v>47499</v>
      </c>
      <c r="K1535" t="str">
        <f ca="1">IF(AND(B1535&gt;='План недели'!$B$4,B1535&lt;'План недели'!$D$4,D1535&lt;&gt;"",G1535&lt;&gt;"Отменён"),COUNTIFS($B$5:B1535,"&gt;="&amp;'План недели'!$B$4,$B$5:B1535,"&lt;"&amp;'План недели'!$D$4,$D$5:D1535,"&lt;&gt;",$G$5:G1535,"&lt;&gt;Отменён"),"")</f>
        <v/>
      </c>
    </row>
    <row r="1536" spans="1:11">
      <c r="A1536" t="str">
        <f>IF(B1536="","","VIS_"&amp;(YEAR(B1536)*10000+MONTH(B1536)*100+DAY(B1536))&amp;"_"&amp;IF(COUNTIF($B$5:B1536,B1536)&lt;10,"00"&amp;COUNTIF($B$5:B1536,B1536),IF(COUNTIF($B$5:B1536,B1536)&lt;100,"0"&amp;COUNTIF($B$5:B1536,B1536),COUNTIF($B$5:B1536,B1536))))</f>
        <v>VIS_20300118_001</v>
      </c>
      <c r="B1536" s="40">
        <v>47501</v>
      </c>
      <c r="C1536" s="47" t="str">
        <f t="shared" si="46"/>
        <v>Пт</v>
      </c>
      <c r="I1536" s="46"/>
      <c r="J1536" s="39">
        <f t="shared" si="47"/>
        <v>47499</v>
      </c>
      <c r="K1536" t="str">
        <f ca="1">IF(AND(B1536&gt;='План недели'!$B$4,B1536&lt;'План недели'!$D$4,D1536&lt;&gt;"",G1536&lt;&gt;"Отменён"),COUNTIFS($B$5:B1536,"&gt;="&amp;'План недели'!$B$4,$B$5:B1536,"&lt;"&amp;'План недели'!$D$4,$D$5:D1536,"&lt;&gt;",$G$5:G1536,"&lt;&gt;Отменён"),"")</f>
        <v/>
      </c>
    </row>
    <row r="1537" spans="1:11">
      <c r="A1537" t="str">
        <f>IF(B1537="","","VIS_"&amp;(YEAR(B1537)*10000+MONTH(B1537)*100+DAY(B1537))&amp;"_"&amp;IF(COUNTIF($B$5:B1537,B1537)&lt;10,"00"&amp;COUNTIF($B$5:B1537,B1537),IF(COUNTIF($B$5:B1537,B1537)&lt;100,"0"&amp;COUNTIF($B$5:B1537,B1537),COUNTIF($B$5:B1537,B1537))))</f>
        <v>VIS_20300119_001</v>
      </c>
      <c r="B1537" s="42">
        <v>47502</v>
      </c>
      <c r="C1537" s="49" t="str">
        <f t="shared" si="46"/>
        <v>Сб</v>
      </c>
      <c r="I1537" s="46"/>
      <c r="J1537" s="39">
        <f t="shared" si="47"/>
        <v>47499</v>
      </c>
      <c r="K1537" t="str">
        <f ca="1">IF(AND(B1537&gt;='План недели'!$B$4,B1537&lt;'План недели'!$D$4,D1537&lt;&gt;"",G1537&lt;&gt;"Отменён"),COUNTIFS($B$5:B1537,"&gt;="&amp;'План недели'!$B$4,$B$5:B1537,"&lt;"&amp;'План недели'!$D$4,$D$5:D1537,"&lt;&gt;",$G$5:G1537,"&lt;&gt;Отменён"),"")</f>
        <v/>
      </c>
    </row>
    <row r="1538" spans="1:11">
      <c r="A1538" t="str">
        <f>IF(B1538="","","VIS_"&amp;(YEAR(B1538)*10000+MONTH(B1538)*100+DAY(B1538))&amp;"_"&amp;IF(COUNTIF($B$5:B1538,B1538)&lt;10,"00"&amp;COUNTIF($B$5:B1538,B1538),IF(COUNTIF($B$5:B1538,B1538)&lt;100,"0"&amp;COUNTIF($B$5:B1538,B1538),COUNTIF($B$5:B1538,B1538))))</f>
        <v>VIS_20300120_001</v>
      </c>
      <c r="B1538" s="42">
        <v>47503</v>
      </c>
      <c r="C1538" s="49" t="str">
        <f t="shared" si="46"/>
        <v>Вс</v>
      </c>
      <c r="I1538" s="46"/>
      <c r="J1538" s="39">
        <f t="shared" si="47"/>
        <v>47499</v>
      </c>
      <c r="K1538" t="str">
        <f ca="1">IF(AND(B1538&gt;='План недели'!$B$4,B1538&lt;'План недели'!$D$4,D1538&lt;&gt;"",G1538&lt;&gt;"Отменён"),COUNTIFS($B$5:B1538,"&gt;="&amp;'План недели'!$B$4,$B$5:B1538,"&lt;"&amp;'План недели'!$D$4,$D$5:D1538,"&lt;&gt;",$G$5:G1538,"&lt;&gt;Отменён"),"")</f>
        <v/>
      </c>
    </row>
    <row r="1539" spans="1:11">
      <c r="A1539" t="str">
        <f>IF(B1539="","","VIS_"&amp;(YEAR(B1539)*10000+MONTH(B1539)*100+DAY(B1539))&amp;"_"&amp;IF(COUNTIF($B$5:B1539,B1539)&lt;10,"00"&amp;COUNTIF($B$5:B1539,B1539),IF(COUNTIF($B$5:B1539,B1539)&lt;100,"0"&amp;COUNTIF($B$5:B1539,B1539),COUNTIF($B$5:B1539,B1539))))</f>
        <v>VIS_20300121_001</v>
      </c>
      <c r="B1539" s="40">
        <v>47504</v>
      </c>
      <c r="C1539" s="47" t="str">
        <f t="shared" si="46"/>
        <v>Пн</v>
      </c>
      <c r="I1539" s="46"/>
      <c r="J1539" s="39">
        <f t="shared" si="47"/>
        <v>47499</v>
      </c>
      <c r="K1539" t="str">
        <f ca="1">IF(AND(B1539&gt;='План недели'!$B$4,B1539&lt;'План недели'!$D$4,D1539&lt;&gt;"",G1539&lt;&gt;"Отменён"),COUNTIFS($B$5:B1539,"&gt;="&amp;'План недели'!$B$4,$B$5:B1539,"&lt;"&amp;'План недели'!$D$4,$D$5:D1539,"&lt;&gt;",$G$5:G1539,"&lt;&gt;Отменён"),"")</f>
        <v/>
      </c>
    </row>
    <row r="1540" spans="1:11">
      <c r="A1540" t="str">
        <f>IF(B1540="","","VIS_"&amp;(YEAR(B1540)*10000+MONTH(B1540)*100+DAY(B1540))&amp;"_"&amp;IF(COUNTIF($B$5:B1540,B1540)&lt;10,"00"&amp;COUNTIF($B$5:B1540,B1540),IF(COUNTIF($B$5:B1540,B1540)&lt;100,"0"&amp;COUNTIF($B$5:B1540,B1540),COUNTIF($B$5:B1540,B1540))))</f>
        <v>VIS_20300122_001</v>
      </c>
      <c r="B1540" s="40">
        <v>47505</v>
      </c>
      <c r="C1540" s="47" t="str">
        <f t="shared" si="46"/>
        <v>Вт</v>
      </c>
      <c r="I1540" s="46"/>
      <c r="J1540" s="39">
        <f t="shared" si="47"/>
        <v>47499</v>
      </c>
      <c r="K1540" t="str">
        <f ca="1">IF(AND(B1540&gt;='План недели'!$B$4,B1540&lt;'План недели'!$D$4,D1540&lt;&gt;"",G1540&lt;&gt;"Отменён"),COUNTIFS($B$5:B1540,"&gt;="&amp;'План недели'!$B$4,$B$5:B1540,"&lt;"&amp;'План недели'!$D$4,$D$5:D1540,"&lt;&gt;",$G$5:G1540,"&lt;&gt;Отменён"),"")</f>
        <v/>
      </c>
    </row>
    <row r="1541" spans="1:11">
      <c r="A1541" t="str">
        <f>IF(B1541="","","VIS_"&amp;(YEAR(B1541)*10000+MONTH(B1541)*100+DAY(B1541))&amp;"_"&amp;IF(COUNTIF($B$5:B1541,B1541)&lt;10,"00"&amp;COUNTIF($B$5:B1541,B1541),IF(COUNTIF($B$5:B1541,B1541)&lt;100,"0"&amp;COUNTIF($B$5:B1541,B1541),COUNTIF($B$5:B1541,B1541))))</f>
        <v>VIS_20300123_001</v>
      </c>
      <c r="B1541" s="40">
        <v>47506</v>
      </c>
      <c r="C1541" s="47" t="str">
        <f t="shared" ref="C1541:C1604" si="48">IF(B1541="","",CHOOSE(WEEKDAY(B1541,2),"Пн","Вт","Ср","Чт","Пт","Сб","Вс"))</f>
        <v>Ср</v>
      </c>
      <c r="I1541" s="46"/>
      <c r="J1541" s="39">
        <f t="shared" ref="J1541:J1604" si="49">IF(B1541="","",B1541-MOD(WEEKDAY(B1541,2)-3,7))</f>
        <v>47506</v>
      </c>
      <c r="K1541" t="str">
        <f ca="1">IF(AND(B1541&gt;='План недели'!$B$4,B1541&lt;'План недели'!$D$4,D1541&lt;&gt;"",G1541&lt;&gt;"Отменён"),COUNTIFS($B$5:B1541,"&gt;="&amp;'План недели'!$B$4,$B$5:B1541,"&lt;"&amp;'План недели'!$D$4,$D$5:D1541,"&lt;&gt;",$G$5:G1541,"&lt;&gt;Отменён"),"")</f>
        <v/>
      </c>
    </row>
    <row r="1542" spans="1:11">
      <c r="A1542" t="str">
        <f>IF(B1542="","","VIS_"&amp;(YEAR(B1542)*10000+MONTH(B1542)*100+DAY(B1542))&amp;"_"&amp;IF(COUNTIF($B$5:B1542,B1542)&lt;10,"00"&amp;COUNTIF($B$5:B1542,B1542),IF(COUNTIF($B$5:B1542,B1542)&lt;100,"0"&amp;COUNTIF($B$5:B1542,B1542),COUNTIF($B$5:B1542,B1542))))</f>
        <v>VIS_20300124_001</v>
      </c>
      <c r="B1542" s="40">
        <v>47507</v>
      </c>
      <c r="C1542" s="47" t="str">
        <f t="shared" si="48"/>
        <v>Чт</v>
      </c>
      <c r="I1542" s="46"/>
      <c r="J1542" s="39">
        <f t="shared" si="49"/>
        <v>47506</v>
      </c>
      <c r="K1542" t="str">
        <f ca="1">IF(AND(B1542&gt;='План недели'!$B$4,B1542&lt;'План недели'!$D$4,D1542&lt;&gt;"",G1542&lt;&gt;"Отменён"),COUNTIFS($B$5:B1542,"&gt;="&amp;'План недели'!$B$4,$B$5:B1542,"&lt;"&amp;'План недели'!$D$4,$D$5:D1542,"&lt;&gt;",$G$5:G1542,"&lt;&gt;Отменён"),"")</f>
        <v/>
      </c>
    </row>
    <row r="1543" spans="1:11">
      <c r="A1543" t="str">
        <f>IF(B1543="","","VIS_"&amp;(YEAR(B1543)*10000+MONTH(B1543)*100+DAY(B1543))&amp;"_"&amp;IF(COUNTIF($B$5:B1543,B1543)&lt;10,"00"&amp;COUNTIF($B$5:B1543,B1543),IF(COUNTIF($B$5:B1543,B1543)&lt;100,"0"&amp;COUNTIF($B$5:B1543,B1543),COUNTIF($B$5:B1543,B1543))))</f>
        <v>VIS_20300125_001</v>
      </c>
      <c r="B1543" s="40">
        <v>47508</v>
      </c>
      <c r="C1543" s="47" t="str">
        <f t="shared" si="48"/>
        <v>Пт</v>
      </c>
      <c r="I1543" s="46"/>
      <c r="J1543" s="39">
        <f t="shared" si="49"/>
        <v>47506</v>
      </c>
      <c r="K1543" t="str">
        <f ca="1">IF(AND(B1543&gt;='План недели'!$B$4,B1543&lt;'План недели'!$D$4,D1543&lt;&gt;"",G1543&lt;&gt;"Отменён"),COUNTIFS($B$5:B1543,"&gt;="&amp;'План недели'!$B$4,$B$5:B1543,"&lt;"&amp;'План недели'!$D$4,$D$5:D1543,"&lt;&gt;",$G$5:G1543,"&lt;&gt;Отменён"),"")</f>
        <v/>
      </c>
    </row>
    <row r="1544" spans="1:11">
      <c r="A1544" t="str">
        <f>IF(B1544="","","VIS_"&amp;(YEAR(B1544)*10000+MONTH(B1544)*100+DAY(B1544))&amp;"_"&amp;IF(COUNTIF($B$5:B1544,B1544)&lt;10,"00"&amp;COUNTIF($B$5:B1544,B1544),IF(COUNTIF($B$5:B1544,B1544)&lt;100,"0"&amp;COUNTIF($B$5:B1544,B1544),COUNTIF($B$5:B1544,B1544))))</f>
        <v>VIS_20300126_001</v>
      </c>
      <c r="B1544" s="42">
        <v>47509</v>
      </c>
      <c r="C1544" s="49" t="str">
        <f t="shared" si="48"/>
        <v>Сб</v>
      </c>
      <c r="I1544" s="46"/>
      <c r="J1544" s="39">
        <f t="shared" si="49"/>
        <v>47506</v>
      </c>
      <c r="K1544" t="str">
        <f ca="1">IF(AND(B1544&gt;='План недели'!$B$4,B1544&lt;'План недели'!$D$4,D1544&lt;&gt;"",G1544&lt;&gt;"Отменён"),COUNTIFS($B$5:B1544,"&gt;="&amp;'План недели'!$B$4,$B$5:B1544,"&lt;"&amp;'План недели'!$D$4,$D$5:D1544,"&lt;&gt;",$G$5:G1544,"&lt;&gt;Отменён"),"")</f>
        <v/>
      </c>
    </row>
    <row r="1545" spans="1:11">
      <c r="A1545" t="str">
        <f>IF(B1545="","","VIS_"&amp;(YEAR(B1545)*10000+MONTH(B1545)*100+DAY(B1545))&amp;"_"&amp;IF(COUNTIF($B$5:B1545,B1545)&lt;10,"00"&amp;COUNTIF($B$5:B1545,B1545),IF(COUNTIF($B$5:B1545,B1545)&lt;100,"0"&amp;COUNTIF($B$5:B1545,B1545),COUNTIF($B$5:B1545,B1545))))</f>
        <v>VIS_20300127_001</v>
      </c>
      <c r="B1545" s="42">
        <v>47510</v>
      </c>
      <c r="C1545" s="49" t="str">
        <f t="shared" si="48"/>
        <v>Вс</v>
      </c>
      <c r="I1545" s="46"/>
      <c r="J1545" s="39">
        <f t="shared" si="49"/>
        <v>47506</v>
      </c>
      <c r="K1545" t="str">
        <f ca="1">IF(AND(B1545&gt;='План недели'!$B$4,B1545&lt;'План недели'!$D$4,D1545&lt;&gt;"",G1545&lt;&gt;"Отменён"),COUNTIFS($B$5:B1545,"&gt;="&amp;'План недели'!$B$4,$B$5:B1545,"&lt;"&amp;'План недели'!$D$4,$D$5:D1545,"&lt;&gt;",$G$5:G1545,"&lt;&gt;Отменён"),"")</f>
        <v/>
      </c>
    </row>
    <row r="1546" spans="1:11">
      <c r="A1546" t="str">
        <f>IF(B1546="","","VIS_"&amp;(YEAR(B1546)*10000+MONTH(B1546)*100+DAY(B1546))&amp;"_"&amp;IF(COUNTIF($B$5:B1546,B1546)&lt;10,"00"&amp;COUNTIF($B$5:B1546,B1546),IF(COUNTIF($B$5:B1546,B1546)&lt;100,"0"&amp;COUNTIF($B$5:B1546,B1546),COUNTIF($B$5:B1546,B1546))))</f>
        <v>VIS_20300128_001</v>
      </c>
      <c r="B1546" s="40">
        <v>47511</v>
      </c>
      <c r="C1546" s="47" t="str">
        <f t="shared" si="48"/>
        <v>Пн</v>
      </c>
      <c r="I1546" s="46"/>
      <c r="J1546" s="39">
        <f t="shared" si="49"/>
        <v>47506</v>
      </c>
      <c r="K1546" t="str">
        <f ca="1">IF(AND(B1546&gt;='План недели'!$B$4,B1546&lt;'План недели'!$D$4,D1546&lt;&gt;"",G1546&lt;&gt;"Отменён"),COUNTIFS($B$5:B1546,"&gt;="&amp;'План недели'!$B$4,$B$5:B1546,"&lt;"&amp;'План недели'!$D$4,$D$5:D1546,"&lt;&gt;",$G$5:G1546,"&lt;&gt;Отменён"),"")</f>
        <v/>
      </c>
    </row>
    <row r="1547" spans="1:11">
      <c r="A1547" t="str">
        <f>IF(B1547="","","VIS_"&amp;(YEAR(B1547)*10000+MONTH(B1547)*100+DAY(B1547))&amp;"_"&amp;IF(COUNTIF($B$5:B1547,B1547)&lt;10,"00"&amp;COUNTIF($B$5:B1547,B1547),IF(COUNTIF($B$5:B1547,B1547)&lt;100,"0"&amp;COUNTIF($B$5:B1547,B1547),COUNTIF($B$5:B1547,B1547))))</f>
        <v>VIS_20300129_001</v>
      </c>
      <c r="B1547" s="40">
        <v>47512</v>
      </c>
      <c r="C1547" s="47" t="str">
        <f t="shared" si="48"/>
        <v>Вт</v>
      </c>
      <c r="I1547" s="46"/>
      <c r="J1547" s="39">
        <f t="shared" si="49"/>
        <v>47506</v>
      </c>
      <c r="K1547" t="str">
        <f ca="1">IF(AND(B1547&gt;='План недели'!$B$4,B1547&lt;'План недели'!$D$4,D1547&lt;&gt;"",G1547&lt;&gt;"Отменён"),COUNTIFS($B$5:B1547,"&gt;="&amp;'План недели'!$B$4,$B$5:B1547,"&lt;"&amp;'План недели'!$D$4,$D$5:D1547,"&lt;&gt;",$G$5:G1547,"&lt;&gt;Отменён"),"")</f>
        <v/>
      </c>
    </row>
    <row r="1548" spans="1:11">
      <c r="A1548" t="str">
        <f>IF(B1548="","","VIS_"&amp;(YEAR(B1548)*10000+MONTH(B1548)*100+DAY(B1548))&amp;"_"&amp;IF(COUNTIF($B$5:B1548,B1548)&lt;10,"00"&amp;COUNTIF($B$5:B1548,B1548),IF(COUNTIF($B$5:B1548,B1548)&lt;100,"0"&amp;COUNTIF($B$5:B1548,B1548),COUNTIF($B$5:B1548,B1548))))</f>
        <v>VIS_20300130_001</v>
      </c>
      <c r="B1548" s="40">
        <v>47513</v>
      </c>
      <c r="C1548" s="47" t="str">
        <f t="shared" si="48"/>
        <v>Ср</v>
      </c>
      <c r="I1548" s="46"/>
      <c r="J1548" s="39">
        <f t="shared" si="49"/>
        <v>47513</v>
      </c>
      <c r="K1548" t="str">
        <f ca="1">IF(AND(B1548&gt;='План недели'!$B$4,B1548&lt;'План недели'!$D$4,D1548&lt;&gt;"",G1548&lt;&gt;"Отменён"),COUNTIFS($B$5:B1548,"&gt;="&amp;'План недели'!$B$4,$B$5:B1548,"&lt;"&amp;'План недели'!$D$4,$D$5:D1548,"&lt;&gt;",$G$5:G1548,"&lt;&gt;Отменён"),"")</f>
        <v/>
      </c>
    </row>
    <row r="1549" spans="1:11">
      <c r="A1549" t="str">
        <f>IF(B1549="","","VIS_"&amp;(YEAR(B1549)*10000+MONTH(B1549)*100+DAY(B1549))&amp;"_"&amp;IF(COUNTIF($B$5:B1549,B1549)&lt;10,"00"&amp;COUNTIF($B$5:B1549,B1549),IF(COUNTIF($B$5:B1549,B1549)&lt;100,"0"&amp;COUNTIF($B$5:B1549,B1549),COUNTIF($B$5:B1549,B1549))))</f>
        <v>VIS_20300131_001</v>
      </c>
      <c r="B1549" s="40">
        <v>47514</v>
      </c>
      <c r="C1549" s="47" t="str">
        <f t="shared" si="48"/>
        <v>Чт</v>
      </c>
      <c r="I1549" s="46"/>
      <c r="J1549" s="39">
        <f t="shared" si="49"/>
        <v>47513</v>
      </c>
      <c r="K1549" t="str">
        <f ca="1">IF(AND(B1549&gt;='План недели'!$B$4,B1549&lt;'План недели'!$D$4,D1549&lt;&gt;"",G1549&lt;&gt;"Отменён"),COUNTIFS($B$5:B1549,"&gt;="&amp;'План недели'!$B$4,$B$5:B1549,"&lt;"&amp;'План недели'!$D$4,$D$5:D1549,"&lt;&gt;",$G$5:G1549,"&lt;&gt;Отменён"),"")</f>
        <v/>
      </c>
    </row>
    <row r="1550" spans="1:11">
      <c r="A1550" t="str">
        <f>IF(B1550="","","VIS_"&amp;(YEAR(B1550)*10000+MONTH(B1550)*100+DAY(B1550))&amp;"_"&amp;IF(COUNTIF($B$5:B1550,B1550)&lt;10,"00"&amp;COUNTIF($B$5:B1550,B1550),IF(COUNTIF($B$5:B1550,B1550)&lt;100,"0"&amp;COUNTIF($B$5:B1550,B1550),COUNTIF($B$5:B1550,B1550))))</f>
        <v>VIS_20300201_001</v>
      </c>
      <c r="B1550" s="40">
        <v>47515</v>
      </c>
      <c r="C1550" s="47" t="str">
        <f t="shared" si="48"/>
        <v>Пт</v>
      </c>
      <c r="I1550" s="46"/>
      <c r="J1550" s="39">
        <f t="shared" si="49"/>
        <v>47513</v>
      </c>
      <c r="K1550" t="str">
        <f ca="1">IF(AND(B1550&gt;='План недели'!$B$4,B1550&lt;'План недели'!$D$4,D1550&lt;&gt;"",G1550&lt;&gt;"Отменён"),COUNTIFS($B$5:B1550,"&gt;="&amp;'План недели'!$B$4,$B$5:B1550,"&lt;"&amp;'План недели'!$D$4,$D$5:D1550,"&lt;&gt;",$G$5:G1550,"&lt;&gt;Отменён"),"")</f>
        <v/>
      </c>
    </row>
    <row r="1551" spans="1:11">
      <c r="A1551" t="str">
        <f>IF(B1551="","","VIS_"&amp;(YEAR(B1551)*10000+MONTH(B1551)*100+DAY(B1551))&amp;"_"&amp;IF(COUNTIF($B$5:B1551,B1551)&lt;10,"00"&amp;COUNTIF($B$5:B1551,B1551),IF(COUNTIF($B$5:B1551,B1551)&lt;100,"0"&amp;COUNTIF($B$5:B1551,B1551),COUNTIF($B$5:B1551,B1551))))</f>
        <v>VIS_20300202_001</v>
      </c>
      <c r="B1551" s="42">
        <v>47516</v>
      </c>
      <c r="C1551" s="49" t="str">
        <f t="shared" si="48"/>
        <v>Сб</v>
      </c>
      <c r="I1551" s="46"/>
      <c r="J1551" s="39">
        <f t="shared" si="49"/>
        <v>47513</v>
      </c>
      <c r="K1551" t="str">
        <f ca="1">IF(AND(B1551&gt;='План недели'!$B$4,B1551&lt;'План недели'!$D$4,D1551&lt;&gt;"",G1551&lt;&gt;"Отменён"),COUNTIFS($B$5:B1551,"&gt;="&amp;'План недели'!$B$4,$B$5:B1551,"&lt;"&amp;'План недели'!$D$4,$D$5:D1551,"&lt;&gt;",$G$5:G1551,"&lt;&gt;Отменён"),"")</f>
        <v/>
      </c>
    </row>
    <row r="1552" spans="1:11">
      <c r="A1552" t="str">
        <f>IF(B1552="","","VIS_"&amp;(YEAR(B1552)*10000+MONTH(B1552)*100+DAY(B1552))&amp;"_"&amp;IF(COUNTIF($B$5:B1552,B1552)&lt;10,"00"&amp;COUNTIF($B$5:B1552,B1552),IF(COUNTIF($B$5:B1552,B1552)&lt;100,"0"&amp;COUNTIF($B$5:B1552,B1552),COUNTIF($B$5:B1552,B1552))))</f>
        <v>VIS_20300203_001</v>
      </c>
      <c r="B1552" s="42">
        <v>47517</v>
      </c>
      <c r="C1552" s="49" t="str">
        <f t="shared" si="48"/>
        <v>Вс</v>
      </c>
      <c r="I1552" s="46"/>
      <c r="J1552" s="39">
        <f t="shared" si="49"/>
        <v>47513</v>
      </c>
      <c r="K1552" t="str">
        <f ca="1">IF(AND(B1552&gt;='План недели'!$B$4,B1552&lt;'План недели'!$D$4,D1552&lt;&gt;"",G1552&lt;&gt;"Отменён"),COUNTIFS($B$5:B1552,"&gt;="&amp;'План недели'!$B$4,$B$5:B1552,"&lt;"&amp;'План недели'!$D$4,$D$5:D1552,"&lt;&gt;",$G$5:G1552,"&lt;&gt;Отменён"),"")</f>
        <v/>
      </c>
    </row>
    <row r="1553" spans="1:11">
      <c r="A1553" t="str">
        <f>IF(B1553="","","VIS_"&amp;(YEAR(B1553)*10000+MONTH(B1553)*100+DAY(B1553))&amp;"_"&amp;IF(COUNTIF($B$5:B1553,B1553)&lt;10,"00"&amp;COUNTIF($B$5:B1553,B1553),IF(COUNTIF($B$5:B1553,B1553)&lt;100,"0"&amp;COUNTIF($B$5:B1553,B1553),COUNTIF($B$5:B1553,B1553))))</f>
        <v>VIS_20300204_001</v>
      </c>
      <c r="B1553" s="40">
        <v>47518</v>
      </c>
      <c r="C1553" s="47" t="str">
        <f t="shared" si="48"/>
        <v>Пн</v>
      </c>
      <c r="I1553" s="46"/>
      <c r="J1553" s="39">
        <f t="shared" si="49"/>
        <v>47513</v>
      </c>
      <c r="K1553" t="str">
        <f ca="1">IF(AND(B1553&gt;='План недели'!$B$4,B1553&lt;'План недели'!$D$4,D1553&lt;&gt;"",G1553&lt;&gt;"Отменён"),COUNTIFS($B$5:B1553,"&gt;="&amp;'План недели'!$B$4,$B$5:B1553,"&lt;"&amp;'План недели'!$D$4,$D$5:D1553,"&lt;&gt;",$G$5:G1553,"&lt;&gt;Отменён"),"")</f>
        <v/>
      </c>
    </row>
    <row r="1554" spans="1:11">
      <c r="A1554" t="str">
        <f>IF(B1554="","","VIS_"&amp;(YEAR(B1554)*10000+MONTH(B1554)*100+DAY(B1554))&amp;"_"&amp;IF(COUNTIF($B$5:B1554,B1554)&lt;10,"00"&amp;COUNTIF($B$5:B1554,B1554),IF(COUNTIF($B$5:B1554,B1554)&lt;100,"0"&amp;COUNTIF($B$5:B1554,B1554),COUNTIF($B$5:B1554,B1554))))</f>
        <v>VIS_20300205_001</v>
      </c>
      <c r="B1554" s="40">
        <v>47519</v>
      </c>
      <c r="C1554" s="47" t="str">
        <f t="shared" si="48"/>
        <v>Вт</v>
      </c>
      <c r="I1554" s="46"/>
      <c r="J1554" s="39">
        <f t="shared" si="49"/>
        <v>47513</v>
      </c>
      <c r="K1554" t="str">
        <f ca="1">IF(AND(B1554&gt;='План недели'!$B$4,B1554&lt;'План недели'!$D$4,D1554&lt;&gt;"",G1554&lt;&gt;"Отменён"),COUNTIFS($B$5:B1554,"&gt;="&amp;'План недели'!$B$4,$B$5:B1554,"&lt;"&amp;'План недели'!$D$4,$D$5:D1554,"&lt;&gt;",$G$5:G1554,"&lt;&gt;Отменён"),"")</f>
        <v/>
      </c>
    </row>
    <row r="1555" spans="1:11">
      <c r="A1555" t="str">
        <f>IF(B1555="","","VIS_"&amp;(YEAR(B1555)*10000+MONTH(B1555)*100+DAY(B1555))&amp;"_"&amp;IF(COUNTIF($B$5:B1555,B1555)&lt;10,"00"&amp;COUNTIF($B$5:B1555,B1555),IF(COUNTIF($B$5:B1555,B1555)&lt;100,"0"&amp;COUNTIF($B$5:B1555,B1555),COUNTIF($B$5:B1555,B1555))))</f>
        <v>VIS_20300206_001</v>
      </c>
      <c r="B1555" s="40">
        <v>47520</v>
      </c>
      <c r="C1555" s="47" t="str">
        <f t="shared" si="48"/>
        <v>Ср</v>
      </c>
      <c r="I1555" s="46"/>
      <c r="J1555" s="39">
        <f t="shared" si="49"/>
        <v>47520</v>
      </c>
      <c r="K1555" t="str">
        <f ca="1">IF(AND(B1555&gt;='План недели'!$B$4,B1555&lt;'План недели'!$D$4,D1555&lt;&gt;"",G1555&lt;&gt;"Отменён"),COUNTIFS($B$5:B1555,"&gt;="&amp;'План недели'!$B$4,$B$5:B1555,"&lt;"&amp;'План недели'!$D$4,$D$5:D1555,"&lt;&gt;",$G$5:G1555,"&lt;&gt;Отменён"),"")</f>
        <v/>
      </c>
    </row>
    <row r="1556" spans="1:11">
      <c r="A1556" t="str">
        <f>IF(B1556="","","VIS_"&amp;(YEAR(B1556)*10000+MONTH(B1556)*100+DAY(B1556))&amp;"_"&amp;IF(COUNTIF($B$5:B1556,B1556)&lt;10,"00"&amp;COUNTIF($B$5:B1556,B1556),IF(COUNTIF($B$5:B1556,B1556)&lt;100,"0"&amp;COUNTIF($B$5:B1556,B1556),COUNTIF($B$5:B1556,B1556))))</f>
        <v>VIS_20300207_001</v>
      </c>
      <c r="B1556" s="40">
        <v>47521</v>
      </c>
      <c r="C1556" s="47" t="str">
        <f t="shared" si="48"/>
        <v>Чт</v>
      </c>
      <c r="I1556" s="46"/>
      <c r="J1556" s="39">
        <f t="shared" si="49"/>
        <v>47520</v>
      </c>
      <c r="K1556" t="str">
        <f ca="1">IF(AND(B1556&gt;='План недели'!$B$4,B1556&lt;'План недели'!$D$4,D1556&lt;&gt;"",G1556&lt;&gt;"Отменён"),COUNTIFS($B$5:B1556,"&gt;="&amp;'План недели'!$B$4,$B$5:B1556,"&lt;"&amp;'План недели'!$D$4,$D$5:D1556,"&lt;&gt;",$G$5:G1556,"&lt;&gt;Отменён"),"")</f>
        <v/>
      </c>
    </row>
    <row r="1557" spans="1:11">
      <c r="A1557" t="str">
        <f>IF(B1557="","","VIS_"&amp;(YEAR(B1557)*10000+MONTH(B1557)*100+DAY(B1557))&amp;"_"&amp;IF(COUNTIF($B$5:B1557,B1557)&lt;10,"00"&amp;COUNTIF($B$5:B1557,B1557),IF(COUNTIF($B$5:B1557,B1557)&lt;100,"0"&amp;COUNTIF($B$5:B1557,B1557),COUNTIF($B$5:B1557,B1557))))</f>
        <v>VIS_20300208_001</v>
      </c>
      <c r="B1557" s="40">
        <v>47522</v>
      </c>
      <c r="C1557" s="47" t="str">
        <f t="shared" si="48"/>
        <v>Пт</v>
      </c>
      <c r="I1557" s="46"/>
      <c r="J1557" s="39">
        <f t="shared" si="49"/>
        <v>47520</v>
      </c>
      <c r="K1557" t="str">
        <f ca="1">IF(AND(B1557&gt;='План недели'!$B$4,B1557&lt;'План недели'!$D$4,D1557&lt;&gt;"",G1557&lt;&gt;"Отменён"),COUNTIFS($B$5:B1557,"&gt;="&amp;'План недели'!$B$4,$B$5:B1557,"&lt;"&amp;'План недели'!$D$4,$D$5:D1557,"&lt;&gt;",$G$5:G1557,"&lt;&gt;Отменён"),"")</f>
        <v/>
      </c>
    </row>
    <row r="1558" spans="1:11">
      <c r="A1558" t="str">
        <f>IF(B1558="","","VIS_"&amp;(YEAR(B1558)*10000+MONTH(B1558)*100+DAY(B1558))&amp;"_"&amp;IF(COUNTIF($B$5:B1558,B1558)&lt;10,"00"&amp;COUNTIF($B$5:B1558,B1558),IF(COUNTIF($B$5:B1558,B1558)&lt;100,"0"&amp;COUNTIF($B$5:B1558,B1558),COUNTIF($B$5:B1558,B1558))))</f>
        <v>VIS_20300209_001</v>
      </c>
      <c r="B1558" s="42">
        <v>47523</v>
      </c>
      <c r="C1558" s="49" t="str">
        <f t="shared" si="48"/>
        <v>Сб</v>
      </c>
      <c r="I1558" s="46"/>
      <c r="J1558" s="39">
        <f t="shared" si="49"/>
        <v>47520</v>
      </c>
      <c r="K1558" t="str">
        <f ca="1">IF(AND(B1558&gt;='План недели'!$B$4,B1558&lt;'План недели'!$D$4,D1558&lt;&gt;"",G1558&lt;&gt;"Отменён"),COUNTIFS($B$5:B1558,"&gt;="&amp;'План недели'!$B$4,$B$5:B1558,"&lt;"&amp;'План недели'!$D$4,$D$5:D1558,"&lt;&gt;",$G$5:G1558,"&lt;&gt;Отменён"),"")</f>
        <v/>
      </c>
    </row>
    <row r="1559" spans="1:11">
      <c r="A1559" t="str">
        <f>IF(B1559="","","VIS_"&amp;(YEAR(B1559)*10000+MONTH(B1559)*100+DAY(B1559))&amp;"_"&amp;IF(COUNTIF($B$5:B1559,B1559)&lt;10,"00"&amp;COUNTIF($B$5:B1559,B1559),IF(COUNTIF($B$5:B1559,B1559)&lt;100,"0"&amp;COUNTIF($B$5:B1559,B1559),COUNTIF($B$5:B1559,B1559))))</f>
        <v>VIS_20300210_001</v>
      </c>
      <c r="B1559" s="42">
        <v>47524</v>
      </c>
      <c r="C1559" s="49" t="str">
        <f t="shared" si="48"/>
        <v>Вс</v>
      </c>
      <c r="I1559" s="46"/>
      <c r="J1559" s="39">
        <f t="shared" si="49"/>
        <v>47520</v>
      </c>
      <c r="K1559" t="str">
        <f ca="1">IF(AND(B1559&gt;='План недели'!$B$4,B1559&lt;'План недели'!$D$4,D1559&lt;&gt;"",G1559&lt;&gt;"Отменён"),COUNTIFS($B$5:B1559,"&gt;="&amp;'План недели'!$B$4,$B$5:B1559,"&lt;"&amp;'План недели'!$D$4,$D$5:D1559,"&lt;&gt;",$G$5:G1559,"&lt;&gt;Отменён"),"")</f>
        <v/>
      </c>
    </row>
    <row r="1560" spans="1:11">
      <c r="A1560" t="str">
        <f>IF(B1560="","","VIS_"&amp;(YEAR(B1560)*10000+MONTH(B1560)*100+DAY(B1560))&amp;"_"&amp;IF(COUNTIF($B$5:B1560,B1560)&lt;10,"00"&amp;COUNTIF($B$5:B1560,B1560),IF(COUNTIF($B$5:B1560,B1560)&lt;100,"0"&amp;COUNTIF($B$5:B1560,B1560),COUNTIF($B$5:B1560,B1560))))</f>
        <v>VIS_20300211_001</v>
      </c>
      <c r="B1560" s="40">
        <v>47525</v>
      </c>
      <c r="C1560" s="47" t="str">
        <f t="shared" si="48"/>
        <v>Пн</v>
      </c>
      <c r="I1560" s="46"/>
      <c r="J1560" s="39">
        <f t="shared" si="49"/>
        <v>47520</v>
      </c>
      <c r="K1560" t="str">
        <f ca="1">IF(AND(B1560&gt;='План недели'!$B$4,B1560&lt;'План недели'!$D$4,D1560&lt;&gt;"",G1560&lt;&gt;"Отменён"),COUNTIFS($B$5:B1560,"&gt;="&amp;'План недели'!$B$4,$B$5:B1560,"&lt;"&amp;'План недели'!$D$4,$D$5:D1560,"&lt;&gt;",$G$5:G1560,"&lt;&gt;Отменён"),"")</f>
        <v/>
      </c>
    </row>
    <row r="1561" spans="1:11">
      <c r="A1561" t="str">
        <f>IF(B1561="","","VIS_"&amp;(YEAR(B1561)*10000+MONTH(B1561)*100+DAY(B1561))&amp;"_"&amp;IF(COUNTIF($B$5:B1561,B1561)&lt;10,"00"&amp;COUNTIF($B$5:B1561,B1561),IF(COUNTIF($B$5:B1561,B1561)&lt;100,"0"&amp;COUNTIF($B$5:B1561,B1561),COUNTIF($B$5:B1561,B1561))))</f>
        <v>VIS_20300212_001</v>
      </c>
      <c r="B1561" s="40">
        <v>47526</v>
      </c>
      <c r="C1561" s="47" t="str">
        <f t="shared" si="48"/>
        <v>Вт</v>
      </c>
      <c r="I1561" s="46"/>
      <c r="J1561" s="39">
        <f t="shared" si="49"/>
        <v>47520</v>
      </c>
      <c r="K1561" t="str">
        <f ca="1">IF(AND(B1561&gt;='План недели'!$B$4,B1561&lt;'План недели'!$D$4,D1561&lt;&gt;"",G1561&lt;&gt;"Отменён"),COUNTIFS($B$5:B1561,"&gt;="&amp;'План недели'!$B$4,$B$5:B1561,"&lt;"&amp;'План недели'!$D$4,$D$5:D1561,"&lt;&gt;",$G$5:G1561,"&lt;&gt;Отменён"),"")</f>
        <v/>
      </c>
    </row>
    <row r="1562" spans="1:11">
      <c r="A1562" t="str">
        <f>IF(B1562="","","VIS_"&amp;(YEAR(B1562)*10000+MONTH(B1562)*100+DAY(B1562))&amp;"_"&amp;IF(COUNTIF($B$5:B1562,B1562)&lt;10,"00"&amp;COUNTIF($B$5:B1562,B1562),IF(COUNTIF($B$5:B1562,B1562)&lt;100,"0"&amp;COUNTIF($B$5:B1562,B1562),COUNTIF($B$5:B1562,B1562))))</f>
        <v>VIS_20300213_001</v>
      </c>
      <c r="B1562" s="40">
        <v>47527</v>
      </c>
      <c r="C1562" s="47" t="str">
        <f t="shared" si="48"/>
        <v>Ср</v>
      </c>
      <c r="I1562" s="46"/>
      <c r="J1562" s="39">
        <f t="shared" si="49"/>
        <v>47527</v>
      </c>
      <c r="K1562" t="str">
        <f ca="1">IF(AND(B1562&gt;='План недели'!$B$4,B1562&lt;'План недели'!$D$4,D1562&lt;&gt;"",G1562&lt;&gt;"Отменён"),COUNTIFS($B$5:B1562,"&gt;="&amp;'План недели'!$B$4,$B$5:B1562,"&lt;"&amp;'План недели'!$D$4,$D$5:D1562,"&lt;&gt;",$G$5:G1562,"&lt;&gt;Отменён"),"")</f>
        <v/>
      </c>
    </row>
    <row r="1563" spans="1:11">
      <c r="A1563" t="str">
        <f>IF(B1563="","","VIS_"&amp;(YEAR(B1563)*10000+MONTH(B1563)*100+DAY(B1563))&amp;"_"&amp;IF(COUNTIF($B$5:B1563,B1563)&lt;10,"00"&amp;COUNTIF($B$5:B1563,B1563),IF(COUNTIF($B$5:B1563,B1563)&lt;100,"0"&amp;COUNTIF($B$5:B1563,B1563),COUNTIF($B$5:B1563,B1563))))</f>
        <v>VIS_20300214_001</v>
      </c>
      <c r="B1563" s="40">
        <v>47528</v>
      </c>
      <c r="C1563" s="47" t="str">
        <f t="shared" si="48"/>
        <v>Чт</v>
      </c>
      <c r="I1563" s="46"/>
      <c r="J1563" s="39">
        <f t="shared" si="49"/>
        <v>47527</v>
      </c>
      <c r="K1563" t="str">
        <f ca="1">IF(AND(B1563&gt;='План недели'!$B$4,B1563&lt;'План недели'!$D$4,D1563&lt;&gt;"",G1563&lt;&gt;"Отменён"),COUNTIFS($B$5:B1563,"&gt;="&amp;'План недели'!$B$4,$B$5:B1563,"&lt;"&amp;'План недели'!$D$4,$D$5:D1563,"&lt;&gt;",$G$5:G1563,"&lt;&gt;Отменён"),"")</f>
        <v/>
      </c>
    </row>
    <row r="1564" spans="1:11">
      <c r="A1564" t="str">
        <f>IF(B1564="","","VIS_"&amp;(YEAR(B1564)*10000+MONTH(B1564)*100+DAY(B1564))&amp;"_"&amp;IF(COUNTIF($B$5:B1564,B1564)&lt;10,"00"&amp;COUNTIF($B$5:B1564,B1564),IF(COUNTIF($B$5:B1564,B1564)&lt;100,"0"&amp;COUNTIF($B$5:B1564,B1564),COUNTIF($B$5:B1564,B1564))))</f>
        <v>VIS_20300215_001</v>
      </c>
      <c r="B1564" s="40">
        <v>47529</v>
      </c>
      <c r="C1564" s="47" t="str">
        <f t="shared" si="48"/>
        <v>Пт</v>
      </c>
      <c r="I1564" s="46"/>
      <c r="J1564" s="39">
        <f t="shared" si="49"/>
        <v>47527</v>
      </c>
      <c r="K1564" t="str">
        <f ca="1">IF(AND(B1564&gt;='План недели'!$B$4,B1564&lt;'План недели'!$D$4,D1564&lt;&gt;"",G1564&lt;&gt;"Отменён"),COUNTIFS($B$5:B1564,"&gt;="&amp;'План недели'!$B$4,$B$5:B1564,"&lt;"&amp;'План недели'!$D$4,$D$5:D1564,"&lt;&gt;",$G$5:G1564,"&lt;&gt;Отменён"),"")</f>
        <v/>
      </c>
    </row>
    <row r="1565" spans="1:11">
      <c r="A1565" t="str">
        <f>IF(B1565="","","VIS_"&amp;(YEAR(B1565)*10000+MONTH(B1565)*100+DAY(B1565))&amp;"_"&amp;IF(COUNTIF($B$5:B1565,B1565)&lt;10,"00"&amp;COUNTIF($B$5:B1565,B1565),IF(COUNTIF($B$5:B1565,B1565)&lt;100,"0"&amp;COUNTIF($B$5:B1565,B1565),COUNTIF($B$5:B1565,B1565))))</f>
        <v>VIS_20300216_001</v>
      </c>
      <c r="B1565" s="42">
        <v>47530</v>
      </c>
      <c r="C1565" s="49" t="str">
        <f t="shared" si="48"/>
        <v>Сб</v>
      </c>
      <c r="I1565" s="46"/>
      <c r="J1565" s="39">
        <f t="shared" si="49"/>
        <v>47527</v>
      </c>
      <c r="K1565" t="str">
        <f ca="1">IF(AND(B1565&gt;='План недели'!$B$4,B1565&lt;'План недели'!$D$4,D1565&lt;&gt;"",G1565&lt;&gt;"Отменён"),COUNTIFS($B$5:B1565,"&gt;="&amp;'План недели'!$B$4,$B$5:B1565,"&lt;"&amp;'План недели'!$D$4,$D$5:D1565,"&lt;&gt;",$G$5:G1565,"&lt;&gt;Отменён"),"")</f>
        <v/>
      </c>
    </row>
    <row r="1566" spans="1:11">
      <c r="A1566" t="str">
        <f>IF(B1566="","","VIS_"&amp;(YEAR(B1566)*10000+MONTH(B1566)*100+DAY(B1566))&amp;"_"&amp;IF(COUNTIF($B$5:B1566,B1566)&lt;10,"00"&amp;COUNTIF($B$5:B1566,B1566),IF(COUNTIF($B$5:B1566,B1566)&lt;100,"0"&amp;COUNTIF($B$5:B1566,B1566),COUNTIF($B$5:B1566,B1566))))</f>
        <v>VIS_20300217_001</v>
      </c>
      <c r="B1566" s="42">
        <v>47531</v>
      </c>
      <c r="C1566" s="49" t="str">
        <f t="shared" si="48"/>
        <v>Вс</v>
      </c>
      <c r="I1566" s="46"/>
      <c r="J1566" s="39">
        <f t="shared" si="49"/>
        <v>47527</v>
      </c>
      <c r="K1566" t="str">
        <f ca="1">IF(AND(B1566&gt;='План недели'!$B$4,B1566&lt;'План недели'!$D$4,D1566&lt;&gt;"",G1566&lt;&gt;"Отменён"),COUNTIFS($B$5:B1566,"&gt;="&amp;'План недели'!$B$4,$B$5:B1566,"&lt;"&amp;'План недели'!$D$4,$D$5:D1566,"&lt;&gt;",$G$5:G1566,"&lt;&gt;Отменён"),"")</f>
        <v/>
      </c>
    </row>
    <row r="1567" spans="1:11">
      <c r="A1567" t="str">
        <f>IF(B1567="","","VIS_"&amp;(YEAR(B1567)*10000+MONTH(B1567)*100+DAY(B1567))&amp;"_"&amp;IF(COUNTIF($B$5:B1567,B1567)&lt;10,"00"&amp;COUNTIF($B$5:B1567,B1567),IF(COUNTIF($B$5:B1567,B1567)&lt;100,"0"&amp;COUNTIF($B$5:B1567,B1567),COUNTIF($B$5:B1567,B1567))))</f>
        <v>VIS_20300218_001</v>
      </c>
      <c r="B1567" s="40">
        <v>47532</v>
      </c>
      <c r="C1567" s="47" t="str">
        <f t="shared" si="48"/>
        <v>Пн</v>
      </c>
      <c r="I1567" s="46"/>
      <c r="J1567" s="39">
        <f t="shared" si="49"/>
        <v>47527</v>
      </c>
      <c r="K1567" t="str">
        <f ca="1">IF(AND(B1567&gt;='План недели'!$B$4,B1567&lt;'План недели'!$D$4,D1567&lt;&gt;"",G1567&lt;&gt;"Отменён"),COUNTIFS($B$5:B1567,"&gt;="&amp;'План недели'!$B$4,$B$5:B1567,"&lt;"&amp;'План недели'!$D$4,$D$5:D1567,"&lt;&gt;",$G$5:G1567,"&lt;&gt;Отменён"),"")</f>
        <v/>
      </c>
    </row>
    <row r="1568" spans="1:11">
      <c r="A1568" t="str">
        <f>IF(B1568="","","VIS_"&amp;(YEAR(B1568)*10000+MONTH(B1568)*100+DAY(B1568))&amp;"_"&amp;IF(COUNTIF($B$5:B1568,B1568)&lt;10,"00"&amp;COUNTIF($B$5:B1568,B1568),IF(COUNTIF($B$5:B1568,B1568)&lt;100,"0"&amp;COUNTIF($B$5:B1568,B1568),COUNTIF($B$5:B1568,B1568))))</f>
        <v>VIS_20300219_001</v>
      </c>
      <c r="B1568" s="40">
        <v>47533</v>
      </c>
      <c r="C1568" s="47" t="str">
        <f t="shared" si="48"/>
        <v>Вт</v>
      </c>
      <c r="I1568" s="46"/>
      <c r="J1568" s="39">
        <f t="shared" si="49"/>
        <v>47527</v>
      </c>
      <c r="K1568" t="str">
        <f ca="1">IF(AND(B1568&gt;='План недели'!$B$4,B1568&lt;'План недели'!$D$4,D1568&lt;&gt;"",G1568&lt;&gt;"Отменён"),COUNTIFS($B$5:B1568,"&gt;="&amp;'План недели'!$B$4,$B$5:B1568,"&lt;"&amp;'План недели'!$D$4,$D$5:D1568,"&lt;&gt;",$G$5:G1568,"&lt;&gt;Отменён"),"")</f>
        <v/>
      </c>
    </row>
    <row r="1569" spans="1:11">
      <c r="A1569" t="str">
        <f>IF(B1569="","","VIS_"&amp;(YEAR(B1569)*10000+MONTH(B1569)*100+DAY(B1569))&amp;"_"&amp;IF(COUNTIF($B$5:B1569,B1569)&lt;10,"00"&amp;COUNTIF($B$5:B1569,B1569),IF(COUNTIF($B$5:B1569,B1569)&lt;100,"0"&amp;COUNTIF($B$5:B1569,B1569),COUNTIF($B$5:B1569,B1569))))</f>
        <v>VIS_20300220_001</v>
      </c>
      <c r="B1569" s="40">
        <v>47534</v>
      </c>
      <c r="C1569" s="47" t="str">
        <f t="shared" si="48"/>
        <v>Ср</v>
      </c>
      <c r="I1569" s="46"/>
      <c r="J1569" s="39">
        <f t="shared" si="49"/>
        <v>47534</v>
      </c>
      <c r="K1569" t="str">
        <f ca="1">IF(AND(B1569&gt;='План недели'!$B$4,B1569&lt;'План недели'!$D$4,D1569&lt;&gt;"",G1569&lt;&gt;"Отменён"),COUNTIFS($B$5:B1569,"&gt;="&amp;'План недели'!$B$4,$B$5:B1569,"&lt;"&amp;'План недели'!$D$4,$D$5:D1569,"&lt;&gt;",$G$5:G1569,"&lt;&gt;Отменён"),"")</f>
        <v/>
      </c>
    </row>
    <row r="1570" spans="1:11">
      <c r="A1570" t="str">
        <f>IF(B1570="","","VIS_"&amp;(YEAR(B1570)*10000+MONTH(B1570)*100+DAY(B1570))&amp;"_"&amp;IF(COUNTIF($B$5:B1570,B1570)&lt;10,"00"&amp;COUNTIF($B$5:B1570,B1570),IF(COUNTIF($B$5:B1570,B1570)&lt;100,"0"&amp;COUNTIF($B$5:B1570,B1570),COUNTIF($B$5:B1570,B1570))))</f>
        <v>VIS_20300221_001</v>
      </c>
      <c r="B1570" s="40">
        <v>47535</v>
      </c>
      <c r="C1570" s="47" t="str">
        <f t="shared" si="48"/>
        <v>Чт</v>
      </c>
      <c r="I1570" s="46"/>
      <c r="J1570" s="39">
        <f t="shared" si="49"/>
        <v>47534</v>
      </c>
      <c r="K1570" t="str">
        <f ca="1">IF(AND(B1570&gt;='План недели'!$B$4,B1570&lt;'План недели'!$D$4,D1570&lt;&gt;"",G1570&lt;&gt;"Отменён"),COUNTIFS($B$5:B1570,"&gt;="&amp;'План недели'!$B$4,$B$5:B1570,"&lt;"&amp;'План недели'!$D$4,$D$5:D1570,"&lt;&gt;",$G$5:G1570,"&lt;&gt;Отменён"),"")</f>
        <v/>
      </c>
    </row>
    <row r="1571" spans="1:11">
      <c r="A1571" t="str">
        <f>IF(B1571="","","VIS_"&amp;(YEAR(B1571)*10000+MONTH(B1571)*100+DAY(B1571))&amp;"_"&amp;IF(COUNTIF($B$5:B1571,B1571)&lt;10,"00"&amp;COUNTIF($B$5:B1571,B1571),IF(COUNTIF($B$5:B1571,B1571)&lt;100,"0"&amp;COUNTIF($B$5:B1571,B1571),COUNTIF($B$5:B1571,B1571))))</f>
        <v>VIS_20300222_001</v>
      </c>
      <c r="B1571" s="40">
        <v>47536</v>
      </c>
      <c r="C1571" s="47" t="str">
        <f t="shared" si="48"/>
        <v>Пт</v>
      </c>
      <c r="I1571" s="46"/>
      <c r="J1571" s="39">
        <f t="shared" si="49"/>
        <v>47534</v>
      </c>
      <c r="K1571" t="str">
        <f ca="1">IF(AND(B1571&gt;='План недели'!$B$4,B1571&lt;'План недели'!$D$4,D1571&lt;&gt;"",G1571&lt;&gt;"Отменён"),COUNTIFS($B$5:B1571,"&gt;="&amp;'План недели'!$B$4,$B$5:B1571,"&lt;"&amp;'План недели'!$D$4,$D$5:D1571,"&lt;&gt;",$G$5:G1571,"&lt;&gt;Отменён"),"")</f>
        <v/>
      </c>
    </row>
    <row r="1572" spans="1:11">
      <c r="A1572" t="str">
        <f>IF(B1572="","","VIS_"&amp;(YEAR(B1572)*10000+MONTH(B1572)*100+DAY(B1572))&amp;"_"&amp;IF(COUNTIF($B$5:B1572,B1572)&lt;10,"00"&amp;COUNTIF($B$5:B1572,B1572),IF(COUNTIF($B$5:B1572,B1572)&lt;100,"0"&amp;COUNTIF($B$5:B1572,B1572),COUNTIF($B$5:B1572,B1572))))</f>
        <v>VIS_20300223_001</v>
      </c>
      <c r="B1572" s="42">
        <v>47537</v>
      </c>
      <c r="C1572" s="49" t="str">
        <f t="shared" si="48"/>
        <v>Сб</v>
      </c>
      <c r="I1572" s="46"/>
      <c r="J1572" s="39">
        <f t="shared" si="49"/>
        <v>47534</v>
      </c>
      <c r="K1572" t="str">
        <f ca="1">IF(AND(B1572&gt;='План недели'!$B$4,B1572&lt;'План недели'!$D$4,D1572&lt;&gt;"",G1572&lt;&gt;"Отменён"),COUNTIFS($B$5:B1572,"&gt;="&amp;'План недели'!$B$4,$B$5:B1572,"&lt;"&amp;'План недели'!$D$4,$D$5:D1572,"&lt;&gt;",$G$5:G1572,"&lt;&gt;Отменён"),"")</f>
        <v/>
      </c>
    </row>
    <row r="1573" spans="1:11">
      <c r="A1573" t="str">
        <f>IF(B1573="","","VIS_"&amp;(YEAR(B1573)*10000+MONTH(B1573)*100+DAY(B1573))&amp;"_"&amp;IF(COUNTIF($B$5:B1573,B1573)&lt;10,"00"&amp;COUNTIF($B$5:B1573,B1573),IF(COUNTIF($B$5:B1573,B1573)&lt;100,"0"&amp;COUNTIF($B$5:B1573,B1573),COUNTIF($B$5:B1573,B1573))))</f>
        <v>VIS_20300224_001</v>
      </c>
      <c r="B1573" s="42">
        <v>47538</v>
      </c>
      <c r="C1573" s="49" t="str">
        <f t="shared" si="48"/>
        <v>Вс</v>
      </c>
      <c r="I1573" s="46"/>
      <c r="J1573" s="39">
        <f t="shared" si="49"/>
        <v>47534</v>
      </c>
      <c r="K1573" t="str">
        <f ca="1">IF(AND(B1573&gt;='План недели'!$B$4,B1573&lt;'План недели'!$D$4,D1573&lt;&gt;"",G1573&lt;&gt;"Отменён"),COUNTIFS($B$5:B1573,"&gt;="&amp;'План недели'!$B$4,$B$5:B1573,"&lt;"&amp;'План недели'!$D$4,$D$5:D1573,"&lt;&gt;",$G$5:G1573,"&lt;&gt;Отменён"),"")</f>
        <v/>
      </c>
    </row>
    <row r="1574" spans="1:11">
      <c r="A1574" t="str">
        <f>IF(B1574="","","VIS_"&amp;(YEAR(B1574)*10000+MONTH(B1574)*100+DAY(B1574))&amp;"_"&amp;IF(COUNTIF($B$5:B1574,B1574)&lt;10,"00"&amp;COUNTIF($B$5:B1574,B1574),IF(COUNTIF($B$5:B1574,B1574)&lt;100,"0"&amp;COUNTIF($B$5:B1574,B1574),COUNTIF($B$5:B1574,B1574))))</f>
        <v>VIS_20300225_001</v>
      </c>
      <c r="B1574" s="40">
        <v>47539</v>
      </c>
      <c r="C1574" s="47" t="str">
        <f t="shared" si="48"/>
        <v>Пн</v>
      </c>
      <c r="I1574" s="46"/>
      <c r="J1574" s="39">
        <f t="shared" si="49"/>
        <v>47534</v>
      </c>
      <c r="K1574" t="str">
        <f ca="1">IF(AND(B1574&gt;='План недели'!$B$4,B1574&lt;'План недели'!$D$4,D1574&lt;&gt;"",G1574&lt;&gt;"Отменён"),COUNTIFS($B$5:B1574,"&gt;="&amp;'План недели'!$B$4,$B$5:B1574,"&lt;"&amp;'План недели'!$D$4,$D$5:D1574,"&lt;&gt;",$G$5:G1574,"&lt;&gt;Отменён"),"")</f>
        <v/>
      </c>
    </row>
    <row r="1575" spans="1:11">
      <c r="A1575" t="str">
        <f>IF(B1575="","","VIS_"&amp;(YEAR(B1575)*10000+MONTH(B1575)*100+DAY(B1575))&amp;"_"&amp;IF(COUNTIF($B$5:B1575,B1575)&lt;10,"00"&amp;COUNTIF($B$5:B1575,B1575),IF(COUNTIF($B$5:B1575,B1575)&lt;100,"0"&amp;COUNTIF($B$5:B1575,B1575),COUNTIF($B$5:B1575,B1575))))</f>
        <v>VIS_20300226_001</v>
      </c>
      <c r="B1575" s="40">
        <v>47540</v>
      </c>
      <c r="C1575" s="47" t="str">
        <f t="shared" si="48"/>
        <v>Вт</v>
      </c>
      <c r="I1575" s="46"/>
      <c r="J1575" s="39">
        <f t="shared" si="49"/>
        <v>47534</v>
      </c>
      <c r="K1575" t="str">
        <f ca="1">IF(AND(B1575&gt;='План недели'!$B$4,B1575&lt;'План недели'!$D$4,D1575&lt;&gt;"",G1575&lt;&gt;"Отменён"),COUNTIFS($B$5:B1575,"&gt;="&amp;'План недели'!$B$4,$B$5:B1575,"&lt;"&amp;'План недели'!$D$4,$D$5:D1575,"&lt;&gt;",$G$5:G1575,"&lt;&gt;Отменён"),"")</f>
        <v/>
      </c>
    </row>
    <row r="1576" spans="1:11">
      <c r="A1576" t="str">
        <f>IF(B1576="","","VIS_"&amp;(YEAR(B1576)*10000+MONTH(B1576)*100+DAY(B1576))&amp;"_"&amp;IF(COUNTIF($B$5:B1576,B1576)&lt;10,"00"&amp;COUNTIF($B$5:B1576,B1576),IF(COUNTIF($B$5:B1576,B1576)&lt;100,"0"&amp;COUNTIF($B$5:B1576,B1576),COUNTIF($B$5:B1576,B1576))))</f>
        <v>VIS_20300227_001</v>
      </c>
      <c r="B1576" s="40">
        <v>47541</v>
      </c>
      <c r="C1576" s="47" t="str">
        <f t="shared" si="48"/>
        <v>Ср</v>
      </c>
      <c r="I1576" s="46"/>
      <c r="J1576" s="39">
        <f t="shared" si="49"/>
        <v>47541</v>
      </c>
      <c r="K1576" t="str">
        <f ca="1">IF(AND(B1576&gt;='План недели'!$B$4,B1576&lt;'План недели'!$D$4,D1576&lt;&gt;"",G1576&lt;&gt;"Отменён"),COUNTIFS($B$5:B1576,"&gt;="&amp;'План недели'!$B$4,$B$5:B1576,"&lt;"&amp;'План недели'!$D$4,$D$5:D1576,"&lt;&gt;",$G$5:G1576,"&lt;&gt;Отменён"),"")</f>
        <v/>
      </c>
    </row>
    <row r="1577" spans="1:11">
      <c r="A1577" t="str">
        <f>IF(B1577="","","VIS_"&amp;(YEAR(B1577)*10000+MONTH(B1577)*100+DAY(B1577))&amp;"_"&amp;IF(COUNTIF($B$5:B1577,B1577)&lt;10,"00"&amp;COUNTIF($B$5:B1577,B1577),IF(COUNTIF($B$5:B1577,B1577)&lt;100,"0"&amp;COUNTIF($B$5:B1577,B1577),COUNTIF($B$5:B1577,B1577))))</f>
        <v>VIS_20300228_001</v>
      </c>
      <c r="B1577" s="40">
        <v>47542</v>
      </c>
      <c r="C1577" s="47" t="str">
        <f t="shared" si="48"/>
        <v>Чт</v>
      </c>
      <c r="I1577" s="46"/>
      <c r="J1577" s="39">
        <f t="shared" si="49"/>
        <v>47541</v>
      </c>
      <c r="K1577" t="str">
        <f ca="1">IF(AND(B1577&gt;='План недели'!$B$4,B1577&lt;'План недели'!$D$4,D1577&lt;&gt;"",G1577&lt;&gt;"Отменён"),COUNTIFS($B$5:B1577,"&gt;="&amp;'План недели'!$B$4,$B$5:B1577,"&lt;"&amp;'План недели'!$D$4,$D$5:D1577,"&lt;&gt;",$G$5:G1577,"&lt;&gt;Отменён"),"")</f>
        <v/>
      </c>
    </row>
    <row r="1578" spans="1:11">
      <c r="A1578" t="str">
        <f>IF(B1578="","","VIS_"&amp;(YEAR(B1578)*10000+MONTH(B1578)*100+DAY(B1578))&amp;"_"&amp;IF(COUNTIF($B$5:B1578,B1578)&lt;10,"00"&amp;COUNTIF($B$5:B1578,B1578),IF(COUNTIF($B$5:B1578,B1578)&lt;100,"0"&amp;COUNTIF($B$5:B1578,B1578),COUNTIF($B$5:B1578,B1578))))</f>
        <v>VIS_20300301_001</v>
      </c>
      <c r="B1578" s="40">
        <v>47543</v>
      </c>
      <c r="C1578" s="47" t="str">
        <f t="shared" si="48"/>
        <v>Пт</v>
      </c>
      <c r="I1578" s="46"/>
      <c r="J1578" s="39">
        <f t="shared" si="49"/>
        <v>47541</v>
      </c>
      <c r="K1578" t="str">
        <f ca="1">IF(AND(B1578&gt;='План недели'!$B$4,B1578&lt;'План недели'!$D$4,D1578&lt;&gt;"",G1578&lt;&gt;"Отменён"),COUNTIFS($B$5:B1578,"&gt;="&amp;'План недели'!$B$4,$B$5:B1578,"&lt;"&amp;'План недели'!$D$4,$D$5:D1578,"&lt;&gt;",$G$5:G1578,"&lt;&gt;Отменён"),"")</f>
        <v/>
      </c>
    </row>
    <row r="1579" spans="1:11">
      <c r="A1579" t="str">
        <f>IF(B1579="","","VIS_"&amp;(YEAR(B1579)*10000+MONTH(B1579)*100+DAY(B1579))&amp;"_"&amp;IF(COUNTIF($B$5:B1579,B1579)&lt;10,"00"&amp;COUNTIF($B$5:B1579,B1579),IF(COUNTIF($B$5:B1579,B1579)&lt;100,"0"&amp;COUNTIF($B$5:B1579,B1579),COUNTIF($B$5:B1579,B1579))))</f>
        <v>VIS_20300302_001</v>
      </c>
      <c r="B1579" s="42">
        <v>47544</v>
      </c>
      <c r="C1579" s="49" t="str">
        <f t="shared" si="48"/>
        <v>Сб</v>
      </c>
      <c r="I1579" s="46"/>
      <c r="J1579" s="39">
        <f t="shared" si="49"/>
        <v>47541</v>
      </c>
      <c r="K1579" t="str">
        <f ca="1">IF(AND(B1579&gt;='План недели'!$B$4,B1579&lt;'План недели'!$D$4,D1579&lt;&gt;"",G1579&lt;&gt;"Отменён"),COUNTIFS($B$5:B1579,"&gt;="&amp;'План недели'!$B$4,$B$5:B1579,"&lt;"&amp;'План недели'!$D$4,$D$5:D1579,"&lt;&gt;",$G$5:G1579,"&lt;&gt;Отменён"),"")</f>
        <v/>
      </c>
    </row>
    <row r="1580" spans="1:11">
      <c r="A1580" t="str">
        <f>IF(B1580="","","VIS_"&amp;(YEAR(B1580)*10000+MONTH(B1580)*100+DAY(B1580))&amp;"_"&amp;IF(COUNTIF($B$5:B1580,B1580)&lt;10,"00"&amp;COUNTIF($B$5:B1580,B1580),IF(COUNTIF($B$5:B1580,B1580)&lt;100,"0"&amp;COUNTIF($B$5:B1580,B1580),COUNTIF($B$5:B1580,B1580))))</f>
        <v>VIS_20300303_001</v>
      </c>
      <c r="B1580" s="42">
        <v>47545</v>
      </c>
      <c r="C1580" s="49" t="str">
        <f t="shared" si="48"/>
        <v>Вс</v>
      </c>
      <c r="I1580" s="46"/>
      <c r="J1580" s="39">
        <f t="shared" si="49"/>
        <v>47541</v>
      </c>
      <c r="K1580" t="str">
        <f ca="1">IF(AND(B1580&gt;='План недели'!$B$4,B1580&lt;'План недели'!$D$4,D1580&lt;&gt;"",G1580&lt;&gt;"Отменён"),COUNTIFS($B$5:B1580,"&gt;="&amp;'План недели'!$B$4,$B$5:B1580,"&lt;"&amp;'План недели'!$D$4,$D$5:D1580,"&lt;&gt;",$G$5:G1580,"&lt;&gt;Отменён"),"")</f>
        <v/>
      </c>
    </row>
    <row r="1581" spans="1:11">
      <c r="A1581" t="str">
        <f>IF(B1581="","","VIS_"&amp;(YEAR(B1581)*10000+MONTH(B1581)*100+DAY(B1581))&amp;"_"&amp;IF(COUNTIF($B$5:B1581,B1581)&lt;10,"00"&amp;COUNTIF($B$5:B1581,B1581),IF(COUNTIF($B$5:B1581,B1581)&lt;100,"0"&amp;COUNTIF($B$5:B1581,B1581),COUNTIF($B$5:B1581,B1581))))</f>
        <v>VIS_20300304_001</v>
      </c>
      <c r="B1581" s="40">
        <v>47546</v>
      </c>
      <c r="C1581" s="47" t="str">
        <f t="shared" si="48"/>
        <v>Пн</v>
      </c>
      <c r="I1581" s="46"/>
      <c r="J1581" s="39">
        <f t="shared" si="49"/>
        <v>47541</v>
      </c>
      <c r="K1581" t="str">
        <f ca="1">IF(AND(B1581&gt;='План недели'!$B$4,B1581&lt;'План недели'!$D$4,D1581&lt;&gt;"",G1581&lt;&gt;"Отменён"),COUNTIFS($B$5:B1581,"&gt;="&amp;'План недели'!$B$4,$B$5:B1581,"&lt;"&amp;'План недели'!$D$4,$D$5:D1581,"&lt;&gt;",$G$5:G1581,"&lt;&gt;Отменён"),"")</f>
        <v/>
      </c>
    </row>
    <row r="1582" spans="1:11">
      <c r="A1582" t="str">
        <f>IF(B1582="","","VIS_"&amp;(YEAR(B1582)*10000+MONTH(B1582)*100+DAY(B1582))&amp;"_"&amp;IF(COUNTIF($B$5:B1582,B1582)&lt;10,"00"&amp;COUNTIF($B$5:B1582,B1582),IF(COUNTIF($B$5:B1582,B1582)&lt;100,"0"&amp;COUNTIF($B$5:B1582,B1582),COUNTIF($B$5:B1582,B1582))))</f>
        <v>VIS_20300305_001</v>
      </c>
      <c r="B1582" s="40">
        <v>47547</v>
      </c>
      <c r="C1582" s="47" t="str">
        <f t="shared" si="48"/>
        <v>Вт</v>
      </c>
      <c r="I1582" s="46"/>
      <c r="J1582" s="39">
        <f t="shared" si="49"/>
        <v>47541</v>
      </c>
      <c r="K1582" t="str">
        <f ca="1">IF(AND(B1582&gt;='План недели'!$B$4,B1582&lt;'План недели'!$D$4,D1582&lt;&gt;"",G1582&lt;&gt;"Отменён"),COUNTIFS($B$5:B1582,"&gt;="&amp;'План недели'!$B$4,$B$5:B1582,"&lt;"&amp;'План недели'!$D$4,$D$5:D1582,"&lt;&gt;",$G$5:G1582,"&lt;&gt;Отменён"),"")</f>
        <v/>
      </c>
    </row>
    <row r="1583" spans="1:11">
      <c r="A1583" t="str">
        <f>IF(B1583="","","VIS_"&amp;(YEAR(B1583)*10000+MONTH(B1583)*100+DAY(B1583))&amp;"_"&amp;IF(COUNTIF($B$5:B1583,B1583)&lt;10,"00"&amp;COUNTIF($B$5:B1583,B1583),IF(COUNTIF($B$5:B1583,B1583)&lt;100,"0"&amp;COUNTIF($B$5:B1583,B1583),COUNTIF($B$5:B1583,B1583))))</f>
        <v>VIS_20300306_001</v>
      </c>
      <c r="B1583" s="40">
        <v>47548</v>
      </c>
      <c r="C1583" s="47" t="str">
        <f t="shared" si="48"/>
        <v>Ср</v>
      </c>
      <c r="I1583" s="46"/>
      <c r="J1583" s="39">
        <f t="shared" si="49"/>
        <v>47548</v>
      </c>
      <c r="K1583" t="str">
        <f ca="1">IF(AND(B1583&gt;='План недели'!$B$4,B1583&lt;'План недели'!$D$4,D1583&lt;&gt;"",G1583&lt;&gt;"Отменён"),COUNTIFS($B$5:B1583,"&gt;="&amp;'План недели'!$B$4,$B$5:B1583,"&lt;"&amp;'План недели'!$D$4,$D$5:D1583,"&lt;&gt;",$G$5:G1583,"&lt;&gt;Отменён"),"")</f>
        <v/>
      </c>
    </row>
    <row r="1584" spans="1:11">
      <c r="A1584" t="str">
        <f>IF(B1584="","","VIS_"&amp;(YEAR(B1584)*10000+MONTH(B1584)*100+DAY(B1584))&amp;"_"&amp;IF(COUNTIF($B$5:B1584,B1584)&lt;10,"00"&amp;COUNTIF($B$5:B1584,B1584),IF(COUNTIF($B$5:B1584,B1584)&lt;100,"0"&amp;COUNTIF($B$5:B1584,B1584),COUNTIF($B$5:B1584,B1584))))</f>
        <v>VIS_20300307_001</v>
      </c>
      <c r="B1584" s="40">
        <v>47549</v>
      </c>
      <c r="C1584" s="47" t="str">
        <f t="shared" si="48"/>
        <v>Чт</v>
      </c>
      <c r="I1584" s="46"/>
      <c r="J1584" s="39">
        <f t="shared" si="49"/>
        <v>47548</v>
      </c>
      <c r="K1584" t="str">
        <f ca="1">IF(AND(B1584&gt;='План недели'!$B$4,B1584&lt;'План недели'!$D$4,D1584&lt;&gt;"",G1584&lt;&gt;"Отменён"),COUNTIFS($B$5:B1584,"&gt;="&amp;'План недели'!$B$4,$B$5:B1584,"&lt;"&amp;'План недели'!$D$4,$D$5:D1584,"&lt;&gt;",$G$5:G1584,"&lt;&gt;Отменён"),"")</f>
        <v/>
      </c>
    </row>
    <row r="1585" spans="1:11">
      <c r="A1585" t="str">
        <f>IF(B1585="","","VIS_"&amp;(YEAR(B1585)*10000+MONTH(B1585)*100+DAY(B1585))&amp;"_"&amp;IF(COUNTIF($B$5:B1585,B1585)&lt;10,"00"&amp;COUNTIF($B$5:B1585,B1585),IF(COUNTIF($B$5:B1585,B1585)&lt;100,"0"&amp;COUNTIF($B$5:B1585,B1585),COUNTIF($B$5:B1585,B1585))))</f>
        <v>VIS_20300308_001</v>
      </c>
      <c r="B1585" s="40">
        <v>47550</v>
      </c>
      <c r="C1585" s="47" t="str">
        <f t="shared" si="48"/>
        <v>Пт</v>
      </c>
      <c r="I1585" s="46"/>
      <c r="J1585" s="39">
        <f t="shared" si="49"/>
        <v>47548</v>
      </c>
      <c r="K1585" t="str">
        <f ca="1">IF(AND(B1585&gt;='План недели'!$B$4,B1585&lt;'План недели'!$D$4,D1585&lt;&gt;"",G1585&lt;&gt;"Отменён"),COUNTIFS($B$5:B1585,"&gt;="&amp;'План недели'!$B$4,$B$5:B1585,"&lt;"&amp;'План недели'!$D$4,$D$5:D1585,"&lt;&gt;",$G$5:G1585,"&lt;&gt;Отменён"),"")</f>
        <v/>
      </c>
    </row>
    <row r="1586" spans="1:11">
      <c r="A1586" t="str">
        <f>IF(B1586="","","VIS_"&amp;(YEAR(B1586)*10000+MONTH(B1586)*100+DAY(B1586))&amp;"_"&amp;IF(COUNTIF($B$5:B1586,B1586)&lt;10,"00"&amp;COUNTIF($B$5:B1586,B1586),IF(COUNTIF($B$5:B1586,B1586)&lt;100,"0"&amp;COUNTIF($B$5:B1586,B1586),COUNTIF($B$5:B1586,B1586))))</f>
        <v>VIS_20300309_001</v>
      </c>
      <c r="B1586" s="42">
        <v>47551</v>
      </c>
      <c r="C1586" s="49" t="str">
        <f t="shared" si="48"/>
        <v>Сб</v>
      </c>
      <c r="I1586" s="46"/>
      <c r="J1586" s="39">
        <f t="shared" si="49"/>
        <v>47548</v>
      </c>
      <c r="K1586" t="str">
        <f ca="1">IF(AND(B1586&gt;='План недели'!$B$4,B1586&lt;'План недели'!$D$4,D1586&lt;&gt;"",G1586&lt;&gt;"Отменён"),COUNTIFS($B$5:B1586,"&gt;="&amp;'План недели'!$B$4,$B$5:B1586,"&lt;"&amp;'План недели'!$D$4,$D$5:D1586,"&lt;&gt;",$G$5:G1586,"&lt;&gt;Отменён"),"")</f>
        <v/>
      </c>
    </row>
    <row r="1587" spans="1:11">
      <c r="A1587" t="str">
        <f>IF(B1587="","","VIS_"&amp;(YEAR(B1587)*10000+MONTH(B1587)*100+DAY(B1587))&amp;"_"&amp;IF(COUNTIF($B$5:B1587,B1587)&lt;10,"00"&amp;COUNTIF($B$5:B1587,B1587),IF(COUNTIF($B$5:B1587,B1587)&lt;100,"0"&amp;COUNTIF($B$5:B1587,B1587),COUNTIF($B$5:B1587,B1587))))</f>
        <v>VIS_20300310_001</v>
      </c>
      <c r="B1587" s="42">
        <v>47552</v>
      </c>
      <c r="C1587" s="49" t="str">
        <f t="shared" si="48"/>
        <v>Вс</v>
      </c>
      <c r="I1587" s="46"/>
      <c r="J1587" s="39">
        <f t="shared" si="49"/>
        <v>47548</v>
      </c>
      <c r="K1587" t="str">
        <f ca="1">IF(AND(B1587&gt;='План недели'!$B$4,B1587&lt;'План недели'!$D$4,D1587&lt;&gt;"",G1587&lt;&gt;"Отменён"),COUNTIFS($B$5:B1587,"&gt;="&amp;'План недели'!$B$4,$B$5:B1587,"&lt;"&amp;'План недели'!$D$4,$D$5:D1587,"&lt;&gt;",$G$5:G1587,"&lt;&gt;Отменён"),"")</f>
        <v/>
      </c>
    </row>
    <row r="1588" spans="1:11">
      <c r="A1588" t="str">
        <f>IF(B1588="","","VIS_"&amp;(YEAR(B1588)*10000+MONTH(B1588)*100+DAY(B1588))&amp;"_"&amp;IF(COUNTIF($B$5:B1588,B1588)&lt;10,"00"&amp;COUNTIF($B$5:B1588,B1588),IF(COUNTIF($B$5:B1588,B1588)&lt;100,"0"&amp;COUNTIF($B$5:B1588,B1588),COUNTIF($B$5:B1588,B1588))))</f>
        <v>VIS_20300311_001</v>
      </c>
      <c r="B1588" s="40">
        <v>47553</v>
      </c>
      <c r="C1588" s="47" t="str">
        <f t="shared" si="48"/>
        <v>Пн</v>
      </c>
      <c r="I1588" s="46"/>
      <c r="J1588" s="39">
        <f t="shared" si="49"/>
        <v>47548</v>
      </c>
      <c r="K1588" t="str">
        <f ca="1">IF(AND(B1588&gt;='План недели'!$B$4,B1588&lt;'План недели'!$D$4,D1588&lt;&gt;"",G1588&lt;&gt;"Отменён"),COUNTIFS($B$5:B1588,"&gt;="&amp;'План недели'!$B$4,$B$5:B1588,"&lt;"&amp;'План недели'!$D$4,$D$5:D1588,"&lt;&gt;",$G$5:G1588,"&lt;&gt;Отменён"),"")</f>
        <v/>
      </c>
    </row>
    <row r="1589" spans="1:11">
      <c r="A1589" t="str">
        <f>IF(B1589="","","VIS_"&amp;(YEAR(B1589)*10000+MONTH(B1589)*100+DAY(B1589))&amp;"_"&amp;IF(COUNTIF($B$5:B1589,B1589)&lt;10,"00"&amp;COUNTIF($B$5:B1589,B1589),IF(COUNTIF($B$5:B1589,B1589)&lt;100,"0"&amp;COUNTIF($B$5:B1589,B1589),COUNTIF($B$5:B1589,B1589))))</f>
        <v>VIS_20300312_001</v>
      </c>
      <c r="B1589" s="40">
        <v>47554</v>
      </c>
      <c r="C1589" s="47" t="str">
        <f t="shared" si="48"/>
        <v>Вт</v>
      </c>
      <c r="I1589" s="46"/>
      <c r="J1589" s="39">
        <f t="shared" si="49"/>
        <v>47548</v>
      </c>
      <c r="K1589" t="str">
        <f ca="1">IF(AND(B1589&gt;='План недели'!$B$4,B1589&lt;'План недели'!$D$4,D1589&lt;&gt;"",G1589&lt;&gt;"Отменён"),COUNTIFS($B$5:B1589,"&gt;="&amp;'План недели'!$B$4,$B$5:B1589,"&lt;"&amp;'План недели'!$D$4,$D$5:D1589,"&lt;&gt;",$G$5:G1589,"&lt;&gt;Отменён"),"")</f>
        <v/>
      </c>
    </row>
    <row r="1590" spans="1:11">
      <c r="A1590" t="str">
        <f>IF(B1590="","","VIS_"&amp;(YEAR(B1590)*10000+MONTH(B1590)*100+DAY(B1590))&amp;"_"&amp;IF(COUNTIF($B$5:B1590,B1590)&lt;10,"00"&amp;COUNTIF($B$5:B1590,B1590),IF(COUNTIF($B$5:B1590,B1590)&lt;100,"0"&amp;COUNTIF($B$5:B1590,B1590),COUNTIF($B$5:B1590,B1590))))</f>
        <v>VIS_20300313_001</v>
      </c>
      <c r="B1590" s="40">
        <v>47555</v>
      </c>
      <c r="C1590" s="47" t="str">
        <f t="shared" si="48"/>
        <v>Ср</v>
      </c>
      <c r="I1590" s="46"/>
      <c r="J1590" s="39">
        <f t="shared" si="49"/>
        <v>47555</v>
      </c>
      <c r="K1590" t="str">
        <f ca="1">IF(AND(B1590&gt;='План недели'!$B$4,B1590&lt;'План недели'!$D$4,D1590&lt;&gt;"",G1590&lt;&gt;"Отменён"),COUNTIFS($B$5:B1590,"&gt;="&amp;'План недели'!$B$4,$B$5:B1590,"&lt;"&amp;'План недели'!$D$4,$D$5:D1590,"&lt;&gt;",$G$5:G1590,"&lt;&gt;Отменён"),"")</f>
        <v/>
      </c>
    </row>
    <row r="1591" spans="1:11">
      <c r="A1591" t="str">
        <f>IF(B1591="","","VIS_"&amp;(YEAR(B1591)*10000+MONTH(B1591)*100+DAY(B1591))&amp;"_"&amp;IF(COUNTIF($B$5:B1591,B1591)&lt;10,"00"&amp;COUNTIF($B$5:B1591,B1591),IF(COUNTIF($B$5:B1591,B1591)&lt;100,"0"&amp;COUNTIF($B$5:B1591,B1591),COUNTIF($B$5:B1591,B1591))))</f>
        <v>VIS_20300314_001</v>
      </c>
      <c r="B1591" s="40">
        <v>47556</v>
      </c>
      <c r="C1591" s="47" t="str">
        <f t="shared" si="48"/>
        <v>Чт</v>
      </c>
      <c r="I1591" s="46"/>
      <c r="J1591" s="39">
        <f t="shared" si="49"/>
        <v>47555</v>
      </c>
      <c r="K1591" t="str">
        <f ca="1">IF(AND(B1591&gt;='План недели'!$B$4,B1591&lt;'План недели'!$D$4,D1591&lt;&gt;"",G1591&lt;&gt;"Отменён"),COUNTIFS($B$5:B1591,"&gt;="&amp;'План недели'!$B$4,$B$5:B1591,"&lt;"&amp;'План недели'!$D$4,$D$5:D1591,"&lt;&gt;",$G$5:G1591,"&lt;&gt;Отменён"),"")</f>
        <v/>
      </c>
    </row>
    <row r="1592" spans="1:11">
      <c r="A1592" t="str">
        <f>IF(B1592="","","VIS_"&amp;(YEAR(B1592)*10000+MONTH(B1592)*100+DAY(B1592))&amp;"_"&amp;IF(COUNTIF($B$5:B1592,B1592)&lt;10,"00"&amp;COUNTIF($B$5:B1592,B1592),IF(COUNTIF($B$5:B1592,B1592)&lt;100,"0"&amp;COUNTIF($B$5:B1592,B1592),COUNTIF($B$5:B1592,B1592))))</f>
        <v>VIS_20300315_001</v>
      </c>
      <c r="B1592" s="40">
        <v>47557</v>
      </c>
      <c r="C1592" s="47" t="str">
        <f t="shared" si="48"/>
        <v>Пт</v>
      </c>
      <c r="I1592" s="46"/>
      <c r="J1592" s="39">
        <f t="shared" si="49"/>
        <v>47555</v>
      </c>
      <c r="K1592" t="str">
        <f ca="1">IF(AND(B1592&gt;='План недели'!$B$4,B1592&lt;'План недели'!$D$4,D1592&lt;&gt;"",G1592&lt;&gt;"Отменён"),COUNTIFS($B$5:B1592,"&gt;="&amp;'План недели'!$B$4,$B$5:B1592,"&lt;"&amp;'План недели'!$D$4,$D$5:D1592,"&lt;&gt;",$G$5:G1592,"&lt;&gt;Отменён"),"")</f>
        <v/>
      </c>
    </row>
    <row r="1593" spans="1:11">
      <c r="A1593" t="str">
        <f>IF(B1593="","","VIS_"&amp;(YEAR(B1593)*10000+MONTH(B1593)*100+DAY(B1593))&amp;"_"&amp;IF(COUNTIF($B$5:B1593,B1593)&lt;10,"00"&amp;COUNTIF($B$5:B1593,B1593),IF(COUNTIF($B$5:B1593,B1593)&lt;100,"0"&amp;COUNTIF($B$5:B1593,B1593),COUNTIF($B$5:B1593,B1593))))</f>
        <v>VIS_20300316_001</v>
      </c>
      <c r="B1593" s="42">
        <v>47558</v>
      </c>
      <c r="C1593" s="49" t="str">
        <f t="shared" si="48"/>
        <v>Сб</v>
      </c>
      <c r="I1593" s="46"/>
      <c r="J1593" s="39">
        <f t="shared" si="49"/>
        <v>47555</v>
      </c>
      <c r="K1593" t="str">
        <f ca="1">IF(AND(B1593&gt;='План недели'!$B$4,B1593&lt;'План недели'!$D$4,D1593&lt;&gt;"",G1593&lt;&gt;"Отменён"),COUNTIFS($B$5:B1593,"&gt;="&amp;'План недели'!$B$4,$B$5:B1593,"&lt;"&amp;'План недели'!$D$4,$D$5:D1593,"&lt;&gt;",$G$5:G1593,"&lt;&gt;Отменён"),"")</f>
        <v/>
      </c>
    </row>
    <row r="1594" spans="1:11">
      <c r="A1594" t="str">
        <f>IF(B1594="","","VIS_"&amp;(YEAR(B1594)*10000+MONTH(B1594)*100+DAY(B1594))&amp;"_"&amp;IF(COUNTIF($B$5:B1594,B1594)&lt;10,"00"&amp;COUNTIF($B$5:B1594,B1594),IF(COUNTIF($B$5:B1594,B1594)&lt;100,"0"&amp;COUNTIF($B$5:B1594,B1594),COUNTIF($B$5:B1594,B1594))))</f>
        <v>VIS_20300317_001</v>
      </c>
      <c r="B1594" s="42">
        <v>47559</v>
      </c>
      <c r="C1594" s="49" t="str">
        <f t="shared" si="48"/>
        <v>Вс</v>
      </c>
      <c r="I1594" s="46"/>
      <c r="J1594" s="39">
        <f t="shared" si="49"/>
        <v>47555</v>
      </c>
      <c r="K1594" t="str">
        <f ca="1">IF(AND(B1594&gt;='План недели'!$B$4,B1594&lt;'План недели'!$D$4,D1594&lt;&gt;"",G1594&lt;&gt;"Отменён"),COUNTIFS($B$5:B1594,"&gt;="&amp;'План недели'!$B$4,$B$5:B1594,"&lt;"&amp;'План недели'!$D$4,$D$5:D1594,"&lt;&gt;",$G$5:G1594,"&lt;&gt;Отменён"),"")</f>
        <v/>
      </c>
    </row>
    <row r="1595" spans="1:11">
      <c r="A1595" t="str">
        <f>IF(B1595="","","VIS_"&amp;(YEAR(B1595)*10000+MONTH(B1595)*100+DAY(B1595))&amp;"_"&amp;IF(COUNTIF($B$5:B1595,B1595)&lt;10,"00"&amp;COUNTIF($B$5:B1595,B1595),IF(COUNTIF($B$5:B1595,B1595)&lt;100,"0"&amp;COUNTIF($B$5:B1595,B1595),COUNTIF($B$5:B1595,B1595))))</f>
        <v>VIS_20300318_001</v>
      </c>
      <c r="B1595" s="40">
        <v>47560</v>
      </c>
      <c r="C1595" s="47" t="str">
        <f t="shared" si="48"/>
        <v>Пн</v>
      </c>
      <c r="I1595" s="46"/>
      <c r="J1595" s="39">
        <f t="shared" si="49"/>
        <v>47555</v>
      </c>
      <c r="K1595" t="str">
        <f ca="1">IF(AND(B1595&gt;='План недели'!$B$4,B1595&lt;'План недели'!$D$4,D1595&lt;&gt;"",G1595&lt;&gt;"Отменён"),COUNTIFS($B$5:B1595,"&gt;="&amp;'План недели'!$B$4,$B$5:B1595,"&lt;"&amp;'План недели'!$D$4,$D$5:D1595,"&lt;&gt;",$G$5:G1595,"&lt;&gt;Отменён"),"")</f>
        <v/>
      </c>
    </row>
    <row r="1596" spans="1:11">
      <c r="A1596" t="str">
        <f>IF(B1596="","","VIS_"&amp;(YEAR(B1596)*10000+MONTH(B1596)*100+DAY(B1596))&amp;"_"&amp;IF(COUNTIF($B$5:B1596,B1596)&lt;10,"00"&amp;COUNTIF($B$5:B1596,B1596),IF(COUNTIF($B$5:B1596,B1596)&lt;100,"0"&amp;COUNTIF($B$5:B1596,B1596),COUNTIF($B$5:B1596,B1596))))</f>
        <v>VIS_20300319_001</v>
      </c>
      <c r="B1596" s="40">
        <v>47561</v>
      </c>
      <c r="C1596" s="47" t="str">
        <f t="shared" si="48"/>
        <v>Вт</v>
      </c>
      <c r="I1596" s="46"/>
      <c r="J1596" s="39">
        <f t="shared" si="49"/>
        <v>47555</v>
      </c>
      <c r="K1596" t="str">
        <f ca="1">IF(AND(B1596&gt;='План недели'!$B$4,B1596&lt;'План недели'!$D$4,D1596&lt;&gt;"",G1596&lt;&gt;"Отменён"),COUNTIFS($B$5:B1596,"&gt;="&amp;'План недели'!$B$4,$B$5:B1596,"&lt;"&amp;'План недели'!$D$4,$D$5:D1596,"&lt;&gt;",$G$5:G1596,"&lt;&gt;Отменён"),"")</f>
        <v/>
      </c>
    </row>
    <row r="1597" spans="1:11">
      <c r="A1597" t="str">
        <f>IF(B1597="","","VIS_"&amp;(YEAR(B1597)*10000+MONTH(B1597)*100+DAY(B1597))&amp;"_"&amp;IF(COUNTIF($B$5:B1597,B1597)&lt;10,"00"&amp;COUNTIF($B$5:B1597,B1597),IF(COUNTIF($B$5:B1597,B1597)&lt;100,"0"&amp;COUNTIF($B$5:B1597,B1597),COUNTIF($B$5:B1597,B1597))))</f>
        <v>VIS_20300320_001</v>
      </c>
      <c r="B1597" s="40">
        <v>47562</v>
      </c>
      <c r="C1597" s="47" t="str">
        <f t="shared" si="48"/>
        <v>Ср</v>
      </c>
      <c r="I1597" s="46"/>
      <c r="J1597" s="39">
        <f t="shared" si="49"/>
        <v>47562</v>
      </c>
      <c r="K1597" t="str">
        <f ca="1">IF(AND(B1597&gt;='План недели'!$B$4,B1597&lt;'План недели'!$D$4,D1597&lt;&gt;"",G1597&lt;&gt;"Отменён"),COUNTIFS($B$5:B1597,"&gt;="&amp;'План недели'!$B$4,$B$5:B1597,"&lt;"&amp;'План недели'!$D$4,$D$5:D1597,"&lt;&gt;",$G$5:G1597,"&lt;&gt;Отменён"),"")</f>
        <v/>
      </c>
    </row>
    <row r="1598" spans="1:11">
      <c r="A1598" t="str">
        <f>IF(B1598="","","VIS_"&amp;(YEAR(B1598)*10000+MONTH(B1598)*100+DAY(B1598))&amp;"_"&amp;IF(COUNTIF($B$5:B1598,B1598)&lt;10,"00"&amp;COUNTIF($B$5:B1598,B1598),IF(COUNTIF($B$5:B1598,B1598)&lt;100,"0"&amp;COUNTIF($B$5:B1598,B1598),COUNTIF($B$5:B1598,B1598))))</f>
        <v>VIS_20300321_001</v>
      </c>
      <c r="B1598" s="40">
        <v>47563</v>
      </c>
      <c r="C1598" s="47" t="str">
        <f t="shared" si="48"/>
        <v>Чт</v>
      </c>
      <c r="I1598" s="46"/>
      <c r="J1598" s="39">
        <f t="shared" si="49"/>
        <v>47562</v>
      </c>
      <c r="K1598" t="str">
        <f ca="1">IF(AND(B1598&gt;='План недели'!$B$4,B1598&lt;'План недели'!$D$4,D1598&lt;&gt;"",G1598&lt;&gt;"Отменён"),COUNTIFS($B$5:B1598,"&gt;="&amp;'План недели'!$B$4,$B$5:B1598,"&lt;"&amp;'План недели'!$D$4,$D$5:D1598,"&lt;&gt;",$G$5:G1598,"&lt;&gt;Отменён"),"")</f>
        <v/>
      </c>
    </row>
    <row r="1599" spans="1:11">
      <c r="A1599" t="str">
        <f>IF(B1599="","","VIS_"&amp;(YEAR(B1599)*10000+MONTH(B1599)*100+DAY(B1599))&amp;"_"&amp;IF(COUNTIF($B$5:B1599,B1599)&lt;10,"00"&amp;COUNTIF($B$5:B1599,B1599),IF(COUNTIF($B$5:B1599,B1599)&lt;100,"0"&amp;COUNTIF($B$5:B1599,B1599),COUNTIF($B$5:B1599,B1599))))</f>
        <v>VIS_20300322_001</v>
      </c>
      <c r="B1599" s="40">
        <v>47564</v>
      </c>
      <c r="C1599" s="47" t="str">
        <f t="shared" si="48"/>
        <v>Пт</v>
      </c>
      <c r="I1599" s="46"/>
      <c r="J1599" s="39">
        <f t="shared" si="49"/>
        <v>47562</v>
      </c>
      <c r="K1599" t="str">
        <f ca="1">IF(AND(B1599&gt;='План недели'!$B$4,B1599&lt;'План недели'!$D$4,D1599&lt;&gt;"",G1599&lt;&gt;"Отменён"),COUNTIFS($B$5:B1599,"&gt;="&amp;'План недели'!$B$4,$B$5:B1599,"&lt;"&amp;'План недели'!$D$4,$D$5:D1599,"&lt;&gt;",$G$5:G1599,"&lt;&gt;Отменён"),"")</f>
        <v/>
      </c>
    </row>
    <row r="1600" spans="1:11">
      <c r="A1600" t="str">
        <f>IF(B1600="","","VIS_"&amp;(YEAR(B1600)*10000+MONTH(B1600)*100+DAY(B1600))&amp;"_"&amp;IF(COUNTIF($B$5:B1600,B1600)&lt;10,"00"&amp;COUNTIF($B$5:B1600,B1600),IF(COUNTIF($B$5:B1600,B1600)&lt;100,"0"&amp;COUNTIF($B$5:B1600,B1600),COUNTIF($B$5:B1600,B1600))))</f>
        <v>VIS_20300323_001</v>
      </c>
      <c r="B1600" s="42">
        <v>47565</v>
      </c>
      <c r="C1600" s="49" t="str">
        <f t="shared" si="48"/>
        <v>Сб</v>
      </c>
      <c r="I1600" s="46"/>
      <c r="J1600" s="39">
        <f t="shared" si="49"/>
        <v>47562</v>
      </c>
      <c r="K1600" t="str">
        <f ca="1">IF(AND(B1600&gt;='План недели'!$B$4,B1600&lt;'План недели'!$D$4,D1600&lt;&gt;"",G1600&lt;&gt;"Отменён"),COUNTIFS($B$5:B1600,"&gt;="&amp;'План недели'!$B$4,$B$5:B1600,"&lt;"&amp;'План недели'!$D$4,$D$5:D1600,"&lt;&gt;",$G$5:G1600,"&lt;&gt;Отменён"),"")</f>
        <v/>
      </c>
    </row>
    <row r="1601" spans="1:11">
      <c r="A1601" t="str">
        <f>IF(B1601="","","VIS_"&amp;(YEAR(B1601)*10000+MONTH(B1601)*100+DAY(B1601))&amp;"_"&amp;IF(COUNTIF($B$5:B1601,B1601)&lt;10,"00"&amp;COUNTIF($B$5:B1601,B1601),IF(COUNTIF($B$5:B1601,B1601)&lt;100,"0"&amp;COUNTIF($B$5:B1601,B1601),COUNTIF($B$5:B1601,B1601))))</f>
        <v>VIS_20300324_001</v>
      </c>
      <c r="B1601" s="42">
        <v>47566</v>
      </c>
      <c r="C1601" s="49" t="str">
        <f t="shared" si="48"/>
        <v>Вс</v>
      </c>
      <c r="I1601" s="46"/>
      <c r="J1601" s="39">
        <f t="shared" si="49"/>
        <v>47562</v>
      </c>
      <c r="K1601" t="str">
        <f ca="1">IF(AND(B1601&gt;='План недели'!$B$4,B1601&lt;'План недели'!$D$4,D1601&lt;&gt;"",G1601&lt;&gt;"Отменён"),COUNTIFS($B$5:B1601,"&gt;="&amp;'План недели'!$B$4,$B$5:B1601,"&lt;"&amp;'План недели'!$D$4,$D$5:D1601,"&lt;&gt;",$G$5:G1601,"&lt;&gt;Отменён"),"")</f>
        <v/>
      </c>
    </row>
    <row r="1602" spans="1:11">
      <c r="A1602" t="str">
        <f>IF(B1602="","","VIS_"&amp;(YEAR(B1602)*10000+MONTH(B1602)*100+DAY(B1602))&amp;"_"&amp;IF(COUNTIF($B$5:B1602,B1602)&lt;10,"00"&amp;COUNTIF($B$5:B1602,B1602),IF(COUNTIF($B$5:B1602,B1602)&lt;100,"0"&amp;COUNTIF($B$5:B1602,B1602),COUNTIF($B$5:B1602,B1602))))</f>
        <v>VIS_20300325_001</v>
      </c>
      <c r="B1602" s="40">
        <v>47567</v>
      </c>
      <c r="C1602" s="47" t="str">
        <f t="shared" si="48"/>
        <v>Пн</v>
      </c>
      <c r="I1602" s="46"/>
      <c r="J1602" s="39">
        <f t="shared" si="49"/>
        <v>47562</v>
      </c>
      <c r="K1602" t="str">
        <f ca="1">IF(AND(B1602&gt;='План недели'!$B$4,B1602&lt;'План недели'!$D$4,D1602&lt;&gt;"",G1602&lt;&gt;"Отменён"),COUNTIFS($B$5:B1602,"&gt;="&amp;'План недели'!$B$4,$B$5:B1602,"&lt;"&amp;'План недели'!$D$4,$D$5:D1602,"&lt;&gt;",$G$5:G1602,"&lt;&gt;Отменён"),"")</f>
        <v/>
      </c>
    </row>
    <row r="1603" spans="1:11">
      <c r="A1603" t="str">
        <f>IF(B1603="","","VIS_"&amp;(YEAR(B1603)*10000+MONTH(B1603)*100+DAY(B1603))&amp;"_"&amp;IF(COUNTIF($B$5:B1603,B1603)&lt;10,"00"&amp;COUNTIF($B$5:B1603,B1603),IF(COUNTIF($B$5:B1603,B1603)&lt;100,"0"&amp;COUNTIF($B$5:B1603,B1603),COUNTIF($B$5:B1603,B1603))))</f>
        <v>VIS_20300326_001</v>
      </c>
      <c r="B1603" s="40">
        <v>47568</v>
      </c>
      <c r="C1603" s="47" t="str">
        <f t="shared" si="48"/>
        <v>Вт</v>
      </c>
      <c r="I1603" s="46"/>
      <c r="J1603" s="39">
        <f t="shared" si="49"/>
        <v>47562</v>
      </c>
      <c r="K1603" t="str">
        <f ca="1">IF(AND(B1603&gt;='План недели'!$B$4,B1603&lt;'План недели'!$D$4,D1603&lt;&gt;"",G1603&lt;&gt;"Отменён"),COUNTIFS($B$5:B1603,"&gt;="&amp;'План недели'!$B$4,$B$5:B1603,"&lt;"&amp;'План недели'!$D$4,$D$5:D1603,"&lt;&gt;",$G$5:G1603,"&lt;&gt;Отменён"),"")</f>
        <v/>
      </c>
    </row>
    <row r="1604" spans="1:11">
      <c r="A1604" t="str">
        <f>IF(B1604="","","VIS_"&amp;(YEAR(B1604)*10000+MONTH(B1604)*100+DAY(B1604))&amp;"_"&amp;IF(COUNTIF($B$5:B1604,B1604)&lt;10,"00"&amp;COUNTIF($B$5:B1604,B1604),IF(COUNTIF($B$5:B1604,B1604)&lt;100,"0"&amp;COUNTIF($B$5:B1604,B1604),COUNTIF($B$5:B1604,B1604))))</f>
        <v>VIS_20300327_001</v>
      </c>
      <c r="B1604" s="40">
        <v>47569</v>
      </c>
      <c r="C1604" s="47" t="str">
        <f t="shared" si="48"/>
        <v>Ср</v>
      </c>
      <c r="I1604" s="46"/>
      <c r="J1604" s="39">
        <f t="shared" si="49"/>
        <v>47569</v>
      </c>
      <c r="K1604" t="str">
        <f ca="1">IF(AND(B1604&gt;='План недели'!$B$4,B1604&lt;'План недели'!$D$4,D1604&lt;&gt;"",G1604&lt;&gt;"Отменён"),COUNTIFS($B$5:B1604,"&gt;="&amp;'План недели'!$B$4,$B$5:B1604,"&lt;"&amp;'План недели'!$D$4,$D$5:D1604,"&lt;&gt;",$G$5:G1604,"&lt;&gt;Отменён"),"")</f>
        <v/>
      </c>
    </row>
    <row r="1605" spans="1:11">
      <c r="A1605" t="str">
        <f>IF(B1605="","","VIS_"&amp;(YEAR(B1605)*10000+MONTH(B1605)*100+DAY(B1605))&amp;"_"&amp;IF(COUNTIF($B$5:B1605,B1605)&lt;10,"00"&amp;COUNTIF($B$5:B1605,B1605),IF(COUNTIF($B$5:B1605,B1605)&lt;100,"0"&amp;COUNTIF($B$5:B1605,B1605),COUNTIF($B$5:B1605,B1605))))</f>
        <v>VIS_20300328_001</v>
      </c>
      <c r="B1605" s="40">
        <v>47570</v>
      </c>
      <c r="C1605" s="47" t="str">
        <f t="shared" ref="C1605:C1668" si="50">IF(B1605="","",CHOOSE(WEEKDAY(B1605,2),"Пн","Вт","Ср","Чт","Пт","Сб","Вс"))</f>
        <v>Чт</v>
      </c>
      <c r="I1605" s="46"/>
      <c r="J1605" s="39">
        <f t="shared" ref="J1605:J1668" si="51">IF(B1605="","",B1605-MOD(WEEKDAY(B1605,2)-3,7))</f>
        <v>47569</v>
      </c>
      <c r="K1605" t="str">
        <f ca="1">IF(AND(B1605&gt;='План недели'!$B$4,B1605&lt;'План недели'!$D$4,D1605&lt;&gt;"",G1605&lt;&gt;"Отменён"),COUNTIFS($B$5:B1605,"&gt;="&amp;'План недели'!$B$4,$B$5:B1605,"&lt;"&amp;'План недели'!$D$4,$D$5:D1605,"&lt;&gt;",$G$5:G1605,"&lt;&gt;Отменён"),"")</f>
        <v/>
      </c>
    </row>
    <row r="1606" spans="1:11">
      <c r="A1606" t="str">
        <f>IF(B1606="","","VIS_"&amp;(YEAR(B1606)*10000+MONTH(B1606)*100+DAY(B1606))&amp;"_"&amp;IF(COUNTIF($B$5:B1606,B1606)&lt;10,"00"&amp;COUNTIF($B$5:B1606,B1606),IF(COUNTIF($B$5:B1606,B1606)&lt;100,"0"&amp;COUNTIF($B$5:B1606,B1606),COUNTIF($B$5:B1606,B1606))))</f>
        <v>VIS_20300329_001</v>
      </c>
      <c r="B1606" s="40">
        <v>47571</v>
      </c>
      <c r="C1606" s="47" t="str">
        <f t="shared" si="50"/>
        <v>Пт</v>
      </c>
      <c r="I1606" s="46"/>
      <c r="J1606" s="39">
        <f t="shared" si="51"/>
        <v>47569</v>
      </c>
      <c r="K1606" t="str">
        <f ca="1">IF(AND(B1606&gt;='План недели'!$B$4,B1606&lt;'План недели'!$D$4,D1606&lt;&gt;"",G1606&lt;&gt;"Отменён"),COUNTIFS($B$5:B1606,"&gt;="&amp;'План недели'!$B$4,$B$5:B1606,"&lt;"&amp;'План недели'!$D$4,$D$5:D1606,"&lt;&gt;",$G$5:G1606,"&lt;&gt;Отменён"),"")</f>
        <v/>
      </c>
    </row>
    <row r="1607" spans="1:11">
      <c r="A1607" t="str">
        <f>IF(B1607="","","VIS_"&amp;(YEAR(B1607)*10000+MONTH(B1607)*100+DAY(B1607))&amp;"_"&amp;IF(COUNTIF($B$5:B1607,B1607)&lt;10,"00"&amp;COUNTIF($B$5:B1607,B1607),IF(COUNTIF($B$5:B1607,B1607)&lt;100,"0"&amp;COUNTIF($B$5:B1607,B1607),COUNTIF($B$5:B1607,B1607))))</f>
        <v>VIS_20300330_001</v>
      </c>
      <c r="B1607" s="42">
        <v>47572</v>
      </c>
      <c r="C1607" s="49" t="str">
        <f t="shared" si="50"/>
        <v>Сб</v>
      </c>
      <c r="I1607" s="46"/>
      <c r="J1607" s="39">
        <f t="shared" si="51"/>
        <v>47569</v>
      </c>
      <c r="K1607" t="str">
        <f ca="1">IF(AND(B1607&gt;='План недели'!$B$4,B1607&lt;'План недели'!$D$4,D1607&lt;&gt;"",G1607&lt;&gt;"Отменён"),COUNTIFS($B$5:B1607,"&gt;="&amp;'План недели'!$B$4,$B$5:B1607,"&lt;"&amp;'План недели'!$D$4,$D$5:D1607,"&lt;&gt;",$G$5:G1607,"&lt;&gt;Отменён"),"")</f>
        <v/>
      </c>
    </row>
    <row r="1608" spans="1:11">
      <c r="A1608" t="str">
        <f>IF(B1608="","","VIS_"&amp;(YEAR(B1608)*10000+MONTH(B1608)*100+DAY(B1608))&amp;"_"&amp;IF(COUNTIF($B$5:B1608,B1608)&lt;10,"00"&amp;COUNTIF($B$5:B1608,B1608),IF(COUNTIF($B$5:B1608,B1608)&lt;100,"0"&amp;COUNTIF($B$5:B1608,B1608),COUNTIF($B$5:B1608,B1608))))</f>
        <v>VIS_20300331_001</v>
      </c>
      <c r="B1608" s="42">
        <v>47573</v>
      </c>
      <c r="C1608" s="49" t="str">
        <f t="shared" si="50"/>
        <v>Вс</v>
      </c>
      <c r="I1608" s="46"/>
      <c r="J1608" s="39">
        <f t="shared" si="51"/>
        <v>47569</v>
      </c>
      <c r="K1608" t="str">
        <f ca="1">IF(AND(B1608&gt;='План недели'!$B$4,B1608&lt;'План недели'!$D$4,D1608&lt;&gt;"",G1608&lt;&gt;"Отменён"),COUNTIFS($B$5:B1608,"&gt;="&amp;'План недели'!$B$4,$B$5:B1608,"&lt;"&amp;'План недели'!$D$4,$D$5:D1608,"&lt;&gt;",$G$5:G1608,"&lt;&gt;Отменён"),"")</f>
        <v/>
      </c>
    </row>
    <row r="1609" spans="1:11">
      <c r="A1609" t="str">
        <f>IF(B1609="","","VIS_"&amp;(YEAR(B1609)*10000+MONTH(B1609)*100+DAY(B1609))&amp;"_"&amp;IF(COUNTIF($B$5:B1609,B1609)&lt;10,"00"&amp;COUNTIF($B$5:B1609,B1609),IF(COUNTIF($B$5:B1609,B1609)&lt;100,"0"&amp;COUNTIF($B$5:B1609,B1609),COUNTIF($B$5:B1609,B1609))))</f>
        <v>VIS_20300401_001</v>
      </c>
      <c r="B1609" s="40">
        <v>47574</v>
      </c>
      <c r="C1609" s="47" t="str">
        <f t="shared" si="50"/>
        <v>Пн</v>
      </c>
      <c r="I1609" s="46"/>
      <c r="J1609" s="39">
        <f t="shared" si="51"/>
        <v>47569</v>
      </c>
      <c r="K1609" t="str">
        <f ca="1">IF(AND(B1609&gt;='План недели'!$B$4,B1609&lt;'План недели'!$D$4,D1609&lt;&gt;"",G1609&lt;&gt;"Отменён"),COUNTIFS($B$5:B1609,"&gt;="&amp;'План недели'!$B$4,$B$5:B1609,"&lt;"&amp;'План недели'!$D$4,$D$5:D1609,"&lt;&gt;",$G$5:G1609,"&lt;&gt;Отменён"),"")</f>
        <v/>
      </c>
    </row>
    <row r="1610" spans="1:11">
      <c r="A1610" t="str">
        <f>IF(B1610="","","VIS_"&amp;(YEAR(B1610)*10000+MONTH(B1610)*100+DAY(B1610))&amp;"_"&amp;IF(COUNTIF($B$5:B1610,B1610)&lt;10,"00"&amp;COUNTIF($B$5:B1610,B1610),IF(COUNTIF($B$5:B1610,B1610)&lt;100,"0"&amp;COUNTIF($B$5:B1610,B1610),COUNTIF($B$5:B1610,B1610))))</f>
        <v>VIS_20300402_001</v>
      </c>
      <c r="B1610" s="40">
        <v>47575</v>
      </c>
      <c r="C1610" s="47" t="str">
        <f t="shared" si="50"/>
        <v>Вт</v>
      </c>
      <c r="I1610" s="46"/>
      <c r="J1610" s="39">
        <f t="shared" si="51"/>
        <v>47569</v>
      </c>
      <c r="K1610" t="str">
        <f ca="1">IF(AND(B1610&gt;='План недели'!$B$4,B1610&lt;'План недели'!$D$4,D1610&lt;&gt;"",G1610&lt;&gt;"Отменён"),COUNTIFS($B$5:B1610,"&gt;="&amp;'План недели'!$B$4,$B$5:B1610,"&lt;"&amp;'План недели'!$D$4,$D$5:D1610,"&lt;&gt;",$G$5:G1610,"&lt;&gt;Отменён"),"")</f>
        <v/>
      </c>
    </row>
    <row r="1611" spans="1:11">
      <c r="A1611" t="str">
        <f>IF(B1611="","","VIS_"&amp;(YEAR(B1611)*10000+MONTH(B1611)*100+DAY(B1611))&amp;"_"&amp;IF(COUNTIF($B$5:B1611,B1611)&lt;10,"00"&amp;COUNTIF($B$5:B1611,B1611),IF(COUNTIF($B$5:B1611,B1611)&lt;100,"0"&amp;COUNTIF($B$5:B1611,B1611),COUNTIF($B$5:B1611,B1611))))</f>
        <v>VIS_20300403_001</v>
      </c>
      <c r="B1611" s="40">
        <v>47576</v>
      </c>
      <c r="C1611" s="47" t="str">
        <f t="shared" si="50"/>
        <v>Ср</v>
      </c>
      <c r="I1611" s="46"/>
      <c r="J1611" s="39">
        <f t="shared" si="51"/>
        <v>47576</v>
      </c>
      <c r="K1611" t="str">
        <f ca="1">IF(AND(B1611&gt;='План недели'!$B$4,B1611&lt;'План недели'!$D$4,D1611&lt;&gt;"",G1611&lt;&gt;"Отменён"),COUNTIFS($B$5:B1611,"&gt;="&amp;'План недели'!$B$4,$B$5:B1611,"&lt;"&amp;'План недели'!$D$4,$D$5:D1611,"&lt;&gt;",$G$5:G1611,"&lt;&gt;Отменён"),"")</f>
        <v/>
      </c>
    </row>
    <row r="1612" spans="1:11">
      <c r="A1612" t="str">
        <f>IF(B1612="","","VIS_"&amp;(YEAR(B1612)*10000+MONTH(B1612)*100+DAY(B1612))&amp;"_"&amp;IF(COUNTIF($B$5:B1612,B1612)&lt;10,"00"&amp;COUNTIF($B$5:B1612,B1612),IF(COUNTIF($B$5:B1612,B1612)&lt;100,"0"&amp;COUNTIF($B$5:B1612,B1612),COUNTIF($B$5:B1612,B1612))))</f>
        <v>VIS_20300404_001</v>
      </c>
      <c r="B1612" s="40">
        <v>47577</v>
      </c>
      <c r="C1612" s="47" t="str">
        <f t="shared" si="50"/>
        <v>Чт</v>
      </c>
      <c r="I1612" s="46"/>
      <c r="J1612" s="39">
        <f t="shared" si="51"/>
        <v>47576</v>
      </c>
      <c r="K1612" t="str">
        <f ca="1">IF(AND(B1612&gt;='План недели'!$B$4,B1612&lt;'План недели'!$D$4,D1612&lt;&gt;"",G1612&lt;&gt;"Отменён"),COUNTIFS($B$5:B1612,"&gt;="&amp;'План недели'!$B$4,$B$5:B1612,"&lt;"&amp;'План недели'!$D$4,$D$5:D1612,"&lt;&gt;",$G$5:G1612,"&lt;&gt;Отменён"),"")</f>
        <v/>
      </c>
    </row>
    <row r="1613" spans="1:11">
      <c r="A1613" t="str">
        <f>IF(B1613="","","VIS_"&amp;(YEAR(B1613)*10000+MONTH(B1613)*100+DAY(B1613))&amp;"_"&amp;IF(COUNTIF($B$5:B1613,B1613)&lt;10,"00"&amp;COUNTIF($B$5:B1613,B1613),IF(COUNTIF($B$5:B1613,B1613)&lt;100,"0"&amp;COUNTIF($B$5:B1613,B1613),COUNTIF($B$5:B1613,B1613))))</f>
        <v>VIS_20300405_001</v>
      </c>
      <c r="B1613" s="40">
        <v>47578</v>
      </c>
      <c r="C1613" s="47" t="str">
        <f t="shared" si="50"/>
        <v>Пт</v>
      </c>
      <c r="I1613" s="46"/>
      <c r="J1613" s="39">
        <f t="shared" si="51"/>
        <v>47576</v>
      </c>
      <c r="K1613" t="str">
        <f ca="1">IF(AND(B1613&gt;='План недели'!$B$4,B1613&lt;'План недели'!$D$4,D1613&lt;&gt;"",G1613&lt;&gt;"Отменён"),COUNTIFS($B$5:B1613,"&gt;="&amp;'План недели'!$B$4,$B$5:B1613,"&lt;"&amp;'План недели'!$D$4,$D$5:D1613,"&lt;&gt;",$G$5:G1613,"&lt;&gt;Отменён"),"")</f>
        <v/>
      </c>
    </row>
    <row r="1614" spans="1:11">
      <c r="A1614" t="str">
        <f>IF(B1614="","","VIS_"&amp;(YEAR(B1614)*10000+MONTH(B1614)*100+DAY(B1614))&amp;"_"&amp;IF(COUNTIF($B$5:B1614,B1614)&lt;10,"00"&amp;COUNTIF($B$5:B1614,B1614),IF(COUNTIF($B$5:B1614,B1614)&lt;100,"0"&amp;COUNTIF($B$5:B1614,B1614),COUNTIF($B$5:B1614,B1614))))</f>
        <v>VIS_20300406_001</v>
      </c>
      <c r="B1614" s="42">
        <v>47579</v>
      </c>
      <c r="C1614" s="49" t="str">
        <f t="shared" si="50"/>
        <v>Сб</v>
      </c>
      <c r="I1614" s="46"/>
      <c r="J1614" s="39">
        <f t="shared" si="51"/>
        <v>47576</v>
      </c>
      <c r="K1614" t="str">
        <f ca="1">IF(AND(B1614&gt;='План недели'!$B$4,B1614&lt;'План недели'!$D$4,D1614&lt;&gt;"",G1614&lt;&gt;"Отменён"),COUNTIFS($B$5:B1614,"&gt;="&amp;'План недели'!$B$4,$B$5:B1614,"&lt;"&amp;'План недели'!$D$4,$D$5:D1614,"&lt;&gt;",$G$5:G1614,"&lt;&gt;Отменён"),"")</f>
        <v/>
      </c>
    </row>
    <row r="1615" spans="1:11">
      <c r="A1615" t="str">
        <f>IF(B1615="","","VIS_"&amp;(YEAR(B1615)*10000+MONTH(B1615)*100+DAY(B1615))&amp;"_"&amp;IF(COUNTIF($B$5:B1615,B1615)&lt;10,"00"&amp;COUNTIF($B$5:B1615,B1615),IF(COUNTIF($B$5:B1615,B1615)&lt;100,"0"&amp;COUNTIF($B$5:B1615,B1615),COUNTIF($B$5:B1615,B1615))))</f>
        <v>VIS_20300407_001</v>
      </c>
      <c r="B1615" s="42">
        <v>47580</v>
      </c>
      <c r="C1615" s="49" t="str">
        <f t="shared" si="50"/>
        <v>Вс</v>
      </c>
      <c r="I1615" s="46"/>
      <c r="J1615" s="39">
        <f t="shared" si="51"/>
        <v>47576</v>
      </c>
      <c r="K1615" t="str">
        <f ca="1">IF(AND(B1615&gt;='План недели'!$B$4,B1615&lt;'План недели'!$D$4,D1615&lt;&gt;"",G1615&lt;&gt;"Отменён"),COUNTIFS($B$5:B1615,"&gt;="&amp;'План недели'!$B$4,$B$5:B1615,"&lt;"&amp;'План недели'!$D$4,$D$5:D1615,"&lt;&gt;",$G$5:G1615,"&lt;&gt;Отменён"),"")</f>
        <v/>
      </c>
    </row>
    <row r="1616" spans="1:11">
      <c r="A1616" t="str">
        <f>IF(B1616="","","VIS_"&amp;(YEAR(B1616)*10000+MONTH(B1616)*100+DAY(B1616))&amp;"_"&amp;IF(COUNTIF($B$5:B1616,B1616)&lt;10,"00"&amp;COUNTIF($B$5:B1616,B1616),IF(COUNTIF($B$5:B1616,B1616)&lt;100,"0"&amp;COUNTIF($B$5:B1616,B1616),COUNTIF($B$5:B1616,B1616))))</f>
        <v>VIS_20300408_001</v>
      </c>
      <c r="B1616" s="40">
        <v>47581</v>
      </c>
      <c r="C1616" s="47" t="str">
        <f t="shared" si="50"/>
        <v>Пн</v>
      </c>
      <c r="I1616" s="46"/>
      <c r="J1616" s="39">
        <f t="shared" si="51"/>
        <v>47576</v>
      </c>
      <c r="K1616" t="str">
        <f ca="1">IF(AND(B1616&gt;='План недели'!$B$4,B1616&lt;'План недели'!$D$4,D1616&lt;&gt;"",G1616&lt;&gt;"Отменён"),COUNTIFS($B$5:B1616,"&gt;="&amp;'План недели'!$B$4,$B$5:B1616,"&lt;"&amp;'План недели'!$D$4,$D$5:D1616,"&lt;&gt;",$G$5:G1616,"&lt;&gt;Отменён"),"")</f>
        <v/>
      </c>
    </row>
    <row r="1617" spans="1:11">
      <c r="A1617" t="str">
        <f>IF(B1617="","","VIS_"&amp;(YEAR(B1617)*10000+MONTH(B1617)*100+DAY(B1617))&amp;"_"&amp;IF(COUNTIF($B$5:B1617,B1617)&lt;10,"00"&amp;COUNTIF($B$5:B1617,B1617),IF(COUNTIF($B$5:B1617,B1617)&lt;100,"0"&amp;COUNTIF($B$5:B1617,B1617),COUNTIF($B$5:B1617,B1617))))</f>
        <v>VIS_20300409_001</v>
      </c>
      <c r="B1617" s="40">
        <v>47582</v>
      </c>
      <c r="C1617" s="47" t="str">
        <f t="shared" si="50"/>
        <v>Вт</v>
      </c>
      <c r="I1617" s="46"/>
      <c r="J1617" s="39">
        <f t="shared" si="51"/>
        <v>47576</v>
      </c>
      <c r="K1617" t="str">
        <f ca="1">IF(AND(B1617&gt;='План недели'!$B$4,B1617&lt;'План недели'!$D$4,D1617&lt;&gt;"",G1617&lt;&gt;"Отменён"),COUNTIFS($B$5:B1617,"&gt;="&amp;'План недели'!$B$4,$B$5:B1617,"&lt;"&amp;'План недели'!$D$4,$D$5:D1617,"&lt;&gt;",$G$5:G1617,"&lt;&gt;Отменён"),"")</f>
        <v/>
      </c>
    </row>
    <row r="1618" spans="1:11">
      <c r="A1618" t="str">
        <f>IF(B1618="","","VIS_"&amp;(YEAR(B1618)*10000+MONTH(B1618)*100+DAY(B1618))&amp;"_"&amp;IF(COUNTIF($B$5:B1618,B1618)&lt;10,"00"&amp;COUNTIF($B$5:B1618,B1618),IF(COUNTIF($B$5:B1618,B1618)&lt;100,"0"&amp;COUNTIF($B$5:B1618,B1618),COUNTIF($B$5:B1618,B1618))))</f>
        <v>VIS_20300410_001</v>
      </c>
      <c r="B1618" s="40">
        <v>47583</v>
      </c>
      <c r="C1618" s="47" t="str">
        <f t="shared" si="50"/>
        <v>Ср</v>
      </c>
      <c r="I1618" s="46"/>
      <c r="J1618" s="39">
        <f t="shared" si="51"/>
        <v>47583</v>
      </c>
      <c r="K1618" t="str">
        <f ca="1">IF(AND(B1618&gt;='План недели'!$B$4,B1618&lt;'План недели'!$D$4,D1618&lt;&gt;"",G1618&lt;&gt;"Отменён"),COUNTIFS($B$5:B1618,"&gt;="&amp;'План недели'!$B$4,$B$5:B1618,"&lt;"&amp;'План недели'!$D$4,$D$5:D1618,"&lt;&gt;",$G$5:G1618,"&lt;&gt;Отменён"),"")</f>
        <v/>
      </c>
    </row>
    <row r="1619" spans="1:11">
      <c r="A1619" t="str">
        <f>IF(B1619="","","VIS_"&amp;(YEAR(B1619)*10000+MONTH(B1619)*100+DAY(B1619))&amp;"_"&amp;IF(COUNTIF($B$5:B1619,B1619)&lt;10,"00"&amp;COUNTIF($B$5:B1619,B1619),IF(COUNTIF($B$5:B1619,B1619)&lt;100,"0"&amp;COUNTIF($B$5:B1619,B1619),COUNTIF($B$5:B1619,B1619))))</f>
        <v>VIS_20300411_001</v>
      </c>
      <c r="B1619" s="40">
        <v>47584</v>
      </c>
      <c r="C1619" s="47" t="str">
        <f t="shared" si="50"/>
        <v>Чт</v>
      </c>
      <c r="I1619" s="46"/>
      <c r="J1619" s="39">
        <f t="shared" si="51"/>
        <v>47583</v>
      </c>
      <c r="K1619" t="str">
        <f ca="1">IF(AND(B1619&gt;='План недели'!$B$4,B1619&lt;'План недели'!$D$4,D1619&lt;&gt;"",G1619&lt;&gt;"Отменён"),COUNTIFS($B$5:B1619,"&gt;="&amp;'План недели'!$B$4,$B$5:B1619,"&lt;"&amp;'План недели'!$D$4,$D$5:D1619,"&lt;&gt;",$G$5:G1619,"&lt;&gt;Отменён"),"")</f>
        <v/>
      </c>
    </row>
    <row r="1620" spans="1:11">
      <c r="A1620" t="str">
        <f>IF(B1620="","","VIS_"&amp;(YEAR(B1620)*10000+MONTH(B1620)*100+DAY(B1620))&amp;"_"&amp;IF(COUNTIF($B$5:B1620,B1620)&lt;10,"00"&amp;COUNTIF($B$5:B1620,B1620),IF(COUNTIF($B$5:B1620,B1620)&lt;100,"0"&amp;COUNTIF($B$5:B1620,B1620),COUNTIF($B$5:B1620,B1620))))</f>
        <v>VIS_20300412_001</v>
      </c>
      <c r="B1620" s="40">
        <v>47585</v>
      </c>
      <c r="C1620" s="47" t="str">
        <f t="shared" si="50"/>
        <v>Пт</v>
      </c>
      <c r="I1620" s="46"/>
      <c r="J1620" s="39">
        <f t="shared" si="51"/>
        <v>47583</v>
      </c>
      <c r="K1620" t="str">
        <f ca="1">IF(AND(B1620&gt;='План недели'!$B$4,B1620&lt;'План недели'!$D$4,D1620&lt;&gt;"",G1620&lt;&gt;"Отменён"),COUNTIFS($B$5:B1620,"&gt;="&amp;'План недели'!$B$4,$B$5:B1620,"&lt;"&amp;'План недели'!$D$4,$D$5:D1620,"&lt;&gt;",$G$5:G1620,"&lt;&gt;Отменён"),"")</f>
        <v/>
      </c>
    </row>
    <row r="1621" spans="1:11">
      <c r="A1621" t="str">
        <f>IF(B1621="","","VIS_"&amp;(YEAR(B1621)*10000+MONTH(B1621)*100+DAY(B1621))&amp;"_"&amp;IF(COUNTIF($B$5:B1621,B1621)&lt;10,"00"&amp;COUNTIF($B$5:B1621,B1621),IF(COUNTIF($B$5:B1621,B1621)&lt;100,"0"&amp;COUNTIF($B$5:B1621,B1621),COUNTIF($B$5:B1621,B1621))))</f>
        <v>VIS_20300413_001</v>
      </c>
      <c r="B1621" s="42">
        <v>47586</v>
      </c>
      <c r="C1621" s="49" t="str">
        <f t="shared" si="50"/>
        <v>Сб</v>
      </c>
      <c r="I1621" s="46"/>
      <c r="J1621" s="39">
        <f t="shared" si="51"/>
        <v>47583</v>
      </c>
      <c r="K1621" t="str">
        <f ca="1">IF(AND(B1621&gt;='План недели'!$B$4,B1621&lt;'План недели'!$D$4,D1621&lt;&gt;"",G1621&lt;&gt;"Отменён"),COUNTIFS($B$5:B1621,"&gt;="&amp;'План недели'!$B$4,$B$5:B1621,"&lt;"&amp;'План недели'!$D$4,$D$5:D1621,"&lt;&gt;",$G$5:G1621,"&lt;&gt;Отменён"),"")</f>
        <v/>
      </c>
    </row>
    <row r="1622" spans="1:11">
      <c r="A1622" t="str">
        <f>IF(B1622="","","VIS_"&amp;(YEAR(B1622)*10000+MONTH(B1622)*100+DAY(B1622))&amp;"_"&amp;IF(COUNTIF($B$5:B1622,B1622)&lt;10,"00"&amp;COUNTIF($B$5:B1622,B1622),IF(COUNTIF($B$5:B1622,B1622)&lt;100,"0"&amp;COUNTIF($B$5:B1622,B1622),COUNTIF($B$5:B1622,B1622))))</f>
        <v>VIS_20300414_001</v>
      </c>
      <c r="B1622" s="42">
        <v>47587</v>
      </c>
      <c r="C1622" s="49" t="str">
        <f t="shared" si="50"/>
        <v>Вс</v>
      </c>
      <c r="I1622" s="46"/>
      <c r="J1622" s="39">
        <f t="shared" si="51"/>
        <v>47583</v>
      </c>
      <c r="K1622" t="str">
        <f ca="1">IF(AND(B1622&gt;='План недели'!$B$4,B1622&lt;'План недели'!$D$4,D1622&lt;&gt;"",G1622&lt;&gt;"Отменён"),COUNTIFS($B$5:B1622,"&gt;="&amp;'План недели'!$B$4,$B$5:B1622,"&lt;"&amp;'План недели'!$D$4,$D$5:D1622,"&lt;&gt;",$G$5:G1622,"&lt;&gt;Отменён"),"")</f>
        <v/>
      </c>
    </row>
    <row r="1623" spans="1:11">
      <c r="A1623" t="str">
        <f>IF(B1623="","","VIS_"&amp;(YEAR(B1623)*10000+MONTH(B1623)*100+DAY(B1623))&amp;"_"&amp;IF(COUNTIF($B$5:B1623,B1623)&lt;10,"00"&amp;COUNTIF($B$5:B1623,B1623),IF(COUNTIF($B$5:B1623,B1623)&lt;100,"0"&amp;COUNTIF($B$5:B1623,B1623),COUNTIF($B$5:B1623,B1623))))</f>
        <v>VIS_20300415_001</v>
      </c>
      <c r="B1623" s="40">
        <v>47588</v>
      </c>
      <c r="C1623" s="47" t="str">
        <f t="shared" si="50"/>
        <v>Пн</v>
      </c>
      <c r="I1623" s="46"/>
      <c r="J1623" s="39">
        <f t="shared" si="51"/>
        <v>47583</v>
      </c>
      <c r="K1623" t="str">
        <f ca="1">IF(AND(B1623&gt;='План недели'!$B$4,B1623&lt;'План недели'!$D$4,D1623&lt;&gt;"",G1623&lt;&gt;"Отменён"),COUNTIFS($B$5:B1623,"&gt;="&amp;'План недели'!$B$4,$B$5:B1623,"&lt;"&amp;'План недели'!$D$4,$D$5:D1623,"&lt;&gt;",$G$5:G1623,"&lt;&gt;Отменён"),"")</f>
        <v/>
      </c>
    </row>
    <row r="1624" spans="1:11">
      <c r="A1624" t="str">
        <f>IF(B1624="","","VIS_"&amp;(YEAR(B1624)*10000+MONTH(B1624)*100+DAY(B1624))&amp;"_"&amp;IF(COUNTIF($B$5:B1624,B1624)&lt;10,"00"&amp;COUNTIF($B$5:B1624,B1624),IF(COUNTIF($B$5:B1624,B1624)&lt;100,"0"&amp;COUNTIF($B$5:B1624,B1624),COUNTIF($B$5:B1624,B1624))))</f>
        <v>VIS_20300416_001</v>
      </c>
      <c r="B1624" s="40">
        <v>47589</v>
      </c>
      <c r="C1624" s="47" t="str">
        <f t="shared" si="50"/>
        <v>Вт</v>
      </c>
      <c r="I1624" s="46"/>
      <c r="J1624" s="39">
        <f t="shared" si="51"/>
        <v>47583</v>
      </c>
      <c r="K1624" t="str">
        <f ca="1">IF(AND(B1624&gt;='План недели'!$B$4,B1624&lt;'План недели'!$D$4,D1624&lt;&gt;"",G1624&lt;&gt;"Отменён"),COUNTIFS($B$5:B1624,"&gt;="&amp;'План недели'!$B$4,$B$5:B1624,"&lt;"&amp;'План недели'!$D$4,$D$5:D1624,"&lt;&gt;",$G$5:G1624,"&lt;&gt;Отменён"),"")</f>
        <v/>
      </c>
    </row>
    <row r="1625" spans="1:11">
      <c r="A1625" t="str">
        <f>IF(B1625="","","VIS_"&amp;(YEAR(B1625)*10000+MONTH(B1625)*100+DAY(B1625))&amp;"_"&amp;IF(COUNTIF($B$5:B1625,B1625)&lt;10,"00"&amp;COUNTIF($B$5:B1625,B1625),IF(COUNTIF($B$5:B1625,B1625)&lt;100,"0"&amp;COUNTIF($B$5:B1625,B1625),COUNTIF($B$5:B1625,B1625))))</f>
        <v>VIS_20300417_001</v>
      </c>
      <c r="B1625" s="40">
        <v>47590</v>
      </c>
      <c r="C1625" s="47" t="str">
        <f t="shared" si="50"/>
        <v>Ср</v>
      </c>
      <c r="I1625" s="46"/>
      <c r="J1625" s="39">
        <f t="shared" si="51"/>
        <v>47590</v>
      </c>
      <c r="K1625" t="str">
        <f ca="1">IF(AND(B1625&gt;='План недели'!$B$4,B1625&lt;'План недели'!$D$4,D1625&lt;&gt;"",G1625&lt;&gt;"Отменён"),COUNTIFS($B$5:B1625,"&gt;="&amp;'План недели'!$B$4,$B$5:B1625,"&lt;"&amp;'План недели'!$D$4,$D$5:D1625,"&lt;&gt;",$G$5:G1625,"&lt;&gt;Отменён"),"")</f>
        <v/>
      </c>
    </row>
    <row r="1626" spans="1:11">
      <c r="A1626" t="str">
        <f>IF(B1626="","","VIS_"&amp;(YEAR(B1626)*10000+MONTH(B1626)*100+DAY(B1626))&amp;"_"&amp;IF(COUNTIF($B$5:B1626,B1626)&lt;10,"00"&amp;COUNTIF($B$5:B1626,B1626),IF(COUNTIF($B$5:B1626,B1626)&lt;100,"0"&amp;COUNTIF($B$5:B1626,B1626),COUNTIF($B$5:B1626,B1626))))</f>
        <v>VIS_20300418_001</v>
      </c>
      <c r="B1626" s="40">
        <v>47591</v>
      </c>
      <c r="C1626" s="47" t="str">
        <f t="shared" si="50"/>
        <v>Чт</v>
      </c>
      <c r="I1626" s="46"/>
      <c r="J1626" s="39">
        <f t="shared" si="51"/>
        <v>47590</v>
      </c>
      <c r="K1626" t="str">
        <f ca="1">IF(AND(B1626&gt;='План недели'!$B$4,B1626&lt;'План недели'!$D$4,D1626&lt;&gt;"",G1626&lt;&gt;"Отменён"),COUNTIFS($B$5:B1626,"&gt;="&amp;'План недели'!$B$4,$B$5:B1626,"&lt;"&amp;'План недели'!$D$4,$D$5:D1626,"&lt;&gt;",$G$5:G1626,"&lt;&gt;Отменён"),"")</f>
        <v/>
      </c>
    </row>
    <row r="1627" spans="1:11">
      <c r="A1627" t="str">
        <f>IF(B1627="","","VIS_"&amp;(YEAR(B1627)*10000+MONTH(B1627)*100+DAY(B1627))&amp;"_"&amp;IF(COUNTIF($B$5:B1627,B1627)&lt;10,"00"&amp;COUNTIF($B$5:B1627,B1627),IF(COUNTIF($B$5:B1627,B1627)&lt;100,"0"&amp;COUNTIF($B$5:B1627,B1627),COUNTIF($B$5:B1627,B1627))))</f>
        <v>VIS_20300419_001</v>
      </c>
      <c r="B1627" s="40">
        <v>47592</v>
      </c>
      <c r="C1627" s="47" t="str">
        <f t="shared" si="50"/>
        <v>Пт</v>
      </c>
      <c r="I1627" s="46"/>
      <c r="J1627" s="39">
        <f t="shared" si="51"/>
        <v>47590</v>
      </c>
      <c r="K1627" t="str">
        <f ca="1">IF(AND(B1627&gt;='План недели'!$B$4,B1627&lt;'План недели'!$D$4,D1627&lt;&gt;"",G1627&lt;&gt;"Отменён"),COUNTIFS($B$5:B1627,"&gt;="&amp;'План недели'!$B$4,$B$5:B1627,"&lt;"&amp;'План недели'!$D$4,$D$5:D1627,"&lt;&gt;",$G$5:G1627,"&lt;&gt;Отменён"),"")</f>
        <v/>
      </c>
    </row>
    <row r="1628" spans="1:11">
      <c r="A1628" t="str">
        <f>IF(B1628="","","VIS_"&amp;(YEAR(B1628)*10000+MONTH(B1628)*100+DAY(B1628))&amp;"_"&amp;IF(COUNTIF($B$5:B1628,B1628)&lt;10,"00"&amp;COUNTIF($B$5:B1628,B1628),IF(COUNTIF($B$5:B1628,B1628)&lt;100,"0"&amp;COUNTIF($B$5:B1628,B1628),COUNTIF($B$5:B1628,B1628))))</f>
        <v>VIS_20300420_001</v>
      </c>
      <c r="B1628" s="42">
        <v>47593</v>
      </c>
      <c r="C1628" s="49" t="str">
        <f t="shared" si="50"/>
        <v>Сб</v>
      </c>
      <c r="I1628" s="46"/>
      <c r="J1628" s="39">
        <f t="shared" si="51"/>
        <v>47590</v>
      </c>
      <c r="K1628" t="str">
        <f ca="1">IF(AND(B1628&gt;='План недели'!$B$4,B1628&lt;'План недели'!$D$4,D1628&lt;&gt;"",G1628&lt;&gt;"Отменён"),COUNTIFS($B$5:B1628,"&gt;="&amp;'План недели'!$B$4,$B$5:B1628,"&lt;"&amp;'План недели'!$D$4,$D$5:D1628,"&lt;&gt;",$G$5:G1628,"&lt;&gt;Отменён"),"")</f>
        <v/>
      </c>
    </row>
    <row r="1629" spans="1:11">
      <c r="A1629" t="str">
        <f>IF(B1629="","","VIS_"&amp;(YEAR(B1629)*10000+MONTH(B1629)*100+DAY(B1629))&amp;"_"&amp;IF(COUNTIF($B$5:B1629,B1629)&lt;10,"00"&amp;COUNTIF($B$5:B1629,B1629),IF(COUNTIF($B$5:B1629,B1629)&lt;100,"0"&amp;COUNTIF($B$5:B1629,B1629),COUNTIF($B$5:B1629,B1629))))</f>
        <v>VIS_20300421_001</v>
      </c>
      <c r="B1629" s="42">
        <v>47594</v>
      </c>
      <c r="C1629" s="49" t="str">
        <f t="shared" si="50"/>
        <v>Вс</v>
      </c>
      <c r="I1629" s="46"/>
      <c r="J1629" s="39">
        <f t="shared" si="51"/>
        <v>47590</v>
      </c>
      <c r="K1629" t="str">
        <f ca="1">IF(AND(B1629&gt;='План недели'!$B$4,B1629&lt;'План недели'!$D$4,D1629&lt;&gt;"",G1629&lt;&gt;"Отменён"),COUNTIFS($B$5:B1629,"&gt;="&amp;'План недели'!$B$4,$B$5:B1629,"&lt;"&amp;'План недели'!$D$4,$D$5:D1629,"&lt;&gt;",$G$5:G1629,"&lt;&gt;Отменён"),"")</f>
        <v/>
      </c>
    </row>
    <row r="1630" spans="1:11">
      <c r="A1630" t="str">
        <f>IF(B1630="","","VIS_"&amp;(YEAR(B1630)*10000+MONTH(B1630)*100+DAY(B1630))&amp;"_"&amp;IF(COUNTIF($B$5:B1630,B1630)&lt;10,"00"&amp;COUNTIF($B$5:B1630,B1630),IF(COUNTIF($B$5:B1630,B1630)&lt;100,"0"&amp;COUNTIF($B$5:B1630,B1630),COUNTIF($B$5:B1630,B1630))))</f>
        <v>VIS_20300422_001</v>
      </c>
      <c r="B1630" s="40">
        <v>47595</v>
      </c>
      <c r="C1630" s="47" t="str">
        <f t="shared" si="50"/>
        <v>Пн</v>
      </c>
      <c r="I1630" s="46"/>
      <c r="J1630" s="39">
        <f t="shared" si="51"/>
        <v>47590</v>
      </c>
      <c r="K1630" t="str">
        <f ca="1">IF(AND(B1630&gt;='План недели'!$B$4,B1630&lt;'План недели'!$D$4,D1630&lt;&gt;"",G1630&lt;&gt;"Отменён"),COUNTIFS($B$5:B1630,"&gt;="&amp;'План недели'!$B$4,$B$5:B1630,"&lt;"&amp;'План недели'!$D$4,$D$5:D1630,"&lt;&gt;",$G$5:G1630,"&lt;&gt;Отменён"),"")</f>
        <v/>
      </c>
    </row>
    <row r="1631" spans="1:11">
      <c r="A1631" t="str">
        <f>IF(B1631="","","VIS_"&amp;(YEAR(B1631)*10000+MONTH(B1631)*100+DAY(B1631))&amp;"_"&amp;IF(COUNTIF($B$5:B1631,B1631)&lt;10,"00"&amp;COUNTIF($B$5:B1631,B1631),IF(COUNTIF($B$5:B1631,B1631)&lt;100,"0"&amp;COUNTIF($B$5:B1631,B1631),COUNTIF($B$5:B1631,B1631))))</f>
        <v>VIS_20300423_001</v>
      </c>
      <c r="B1631" s="40">
        <v>47596</v>
      </c>
      <c r="C1631" s="47" t="str">
        <f t="shared" si="50"/>
        <v>Вт</v>
      </c>
      <c r="I1631" s="46"/>
      <c r="J1631" s="39">
        <f t="shared" si="51"/>
        <v>47590</v>
      </c>
      <c r="K1631" t="str">
        <f ca="1">IF(AND(B1631&gt;='План недели'!$B$4,B1631&lt;'План недели'!$D$4,D1631&lt;&gt;"",G1631&lt;&gt;"Отменён"),COUNTIFS($B$5:B1631,"&gt;="&amp;'План недели'!$B$4,$B$5:B1631,"&lt;"&amp;'План недели'!$D$4,$D$5:D1631,"&lt;&gt;",$G$5:G1631,"&lt;&gt;Отменён"),"")</f>
        <v/>
      </c>
    </row>
    <row r="1632" spans="1:11">
      <c r="A1632" t="str">
        <f>IF(B1632="","","VIS_"&amp;(YEAR(B1632)*10000+MONTH(B1632)*100+DAY(B1632))&amp;"_"&amp;IF(COUNTIF($B$5:B1632,B1632)&lt;10,"00"&amp;COUNTIF($B$5:B1632,B1632),IF(COUNTIF($B$5:B1632,B1632)&lt;100,"0"&amp;COUNTIF($B$5:B1632,B1632),COUNTIF($B$5:B1632,B1632))))</f>
        <v>VIS_20300424_001</v>
      </c>
      <c r="B1632" s="40">
        <v>47597</v>
      </c>
      <c r="C1632" s="47" t="str">
        <f t="shared" si="50"/>
        <v>Ср</v>
      </c>
      <c r="I1632" s="46"/>
      <c r="J1632" s="39">
        <f t="shared" si="51"/>
        <v>47597</v>
      </c>
      <c r="K1632" t="str">
        <f ca="1">IF(AND(B1632&gt;='План недели'!$B$4,B1632&lt;'План недели'!$D$4,D1632&lt;&gt;"",G1632&lt;&gt;"Отменён"),COUNTIFS($B$5:B1632,"&gt;="&amp;'План недели'!$B$4,$B$5:B1632,"&lt;"&amp;'План недели'!$D$4,$D$5:D1632,"&lt;&gt;",$G$5:G1632,"&lt;&gt;Отменён"),"")</f>
        <v/>
      </c>
    </row>
    <row r="1633" spans="1:11">
      <c r="A1633" t="str">
        <f>IF(B1633="","","VIS_"&amp;(YEAR(B1633)*10000+MONTH(B1633)*100+DAY(B1633))&amp;"_"&amp;IF(COUNTIF($B$5:B1633,B1633)&lt;10,"00"&amp;COUNTIF($B$5:B1633,B1633),IF(COUNTIF($B$5:B1633,B1633)&lt;100,"0"&amp;COUNTIF($B$5:B1633,B1633),COUNTIF($B$5:B1633,B1633))))</f>
        <v>VIS_20300425_001</v>
      </c>
      <c r="B1633" s="40">
        <v>47598</v>
      </c>
      <c r="C1633" s="47" t="str">
        <f t="shared" si="50"/>
        <v>Чт</v>
      </c>
      <c r="I1633" s="46"/>
      <c r="J1633" s="39">
        <f t="shared" si="51"/>
        <v>47597</v>
      </c>
      <c r="K1633" t="str">
        <f ca="1">IF(AND(B1633&gt;='План недели'!$B$4,B1633&lt;'План недели'!$D$4,D1633&lt;&gt;"",G1633&lt;&gt;"Отменён"),COUNTIFS($B$5:B1633,"&gt;="&amp;'План недели'!$B$4,$B$5:B1633,"&lt;"&amp;'План недели'!$D$4,$D$5:D1633,"&lt;&gt;",$G$5:G1633,"&lt;&gt;Отменён"),"")</f>
        <v/>
      </c>
    </row>
    <row r="1634" spans="1:11">
      <c r="A1634" t="str">
        <f>IF(B1634="","","VIS_"&amp;(YEAR(B1634)*10000+MONTH(B1634)*100+DAY(B1634))&amp;"_"&amp;IF(COUNTIF($B$5:B1634,B1634)&lt;10,"00"&amp;COUNTIF($B$5:B1634,B1634),IF(COUNTIF($B$5:B1634,B1634)&lt;100,"0"&amp;COUNTIF($B$5:B1634,B1634),COUNTIF($B$5:B1634,B1634))))</f>
        <v>VIS_20300426_001</v>
      </c>
      <c r="B1634" s="40">
        <v>47599</v>
      </c>
      <c r="C1634" s="47" t="str">
        <f t="shared" si="50"/>
        <v>Пт</v>
      </c>
      <c r="I1634" s="46"/>
      <c r="J1634" s="39">
        <f t="shared" si="51"/>
        <v>47597</v>
      </c>
      <c r="K1634" t="str">
        <f ca="1">IF(AND(B1634&gt;='План недели'!$B$4,B1634&lt;'План недели'!$D$4,D1634&lt;&gt;"",G1634&lt;&gt;"Отменён"),COUNTIFS($B$5:B1634,"&gt;="&amp;'План недели'!$B$4,$B$5:B1634,"&lt;"&amp;'План недели'!$D$4,$D$5:D1634,"&lt;&gt;",$G$5:G1634,"&lt;&gt;Отменён"),"")</f>
        <v/>
      </c>
    </row>
    <row r="1635" spans="1:11">
      <c r="A1635" t="str">
        <f>IF(B1635="","","VIS_"&amp;(YEAR(B1635)*10000+MONTH(B1635)*100+DAY(B1635))&amp;"_"&amp;IF(COUNTIF($B$5:B1635,B1635)&lt;10,"00"&amp;COUNTIF($B$5:B1635,B1635),IF(COUNTIF($B$5:B1635,B1635)&lt;100,"0"&amp;COUNTIF($B$5:B1635,B1635),COUNTIF($B$5:B1635,B1635))))</f>
        <v>VIS_20300427_001</v>
      </c>
      <c r="B1635" s="42">
        <v>47600</v>
      </c>
      <c r="C1635" s="49" t="str">
        <f t="shared" si="50"/>
        <v>Сб</v>
      </c>
      <c r="I1635" s="46"/>
      <c r="J1635" s="39">
        <f t="shared" si="51"/>
        <v>47597</v>
      </c>
      <c r="K1635" t="str">
        <f ca="1">IF(AND(B1635&gt;='План недели'!$B$4,B1635&lt;'План недели'!$D$4,D1635&lt;&gt;"",G1635&lt;&gt;"Отменён"),COUNTIFS($B$5:B1635,"&gt;="&amp;'План недели'!$B$4,$B$5:B1635,"&lt;"&amp;'План недели'!$D$4,$D$5:D1635,"&lt;&gt;",$G$5:G1635,"&lt;&gt;Отменён"),"")</f>
        <v/>
      </c>
    </row>
    <row r="1636" spans="1:11">
      <c r="A1636" t="str">
        <f>IF(B1636="","","VIS_"&amp;(YEAR(B1636)*10000+MONTH(B1636)*100+DAY(B1636))&amp;"_"&amp;IF(COUNTIF($B$5:B1636,B1636)&lt;10,"00"&amp;COUNTIF($B$5:B1636,B1636),IF(COUNTIF($B$5:B1636,B1636)&lt;100,"0"&amp;COUNTIF($B$5:B1636,B1636),COUNTIF($B$5:B1636,B1636))))</f>
        <v>VIS_20300428_001</v>
      </c>
      <c r="B1636" s="42">
        <v>47601</v>
      </c>
      <c r="C1636" s="49" t="str">
        <f t="shared" si="50"/>
        <v>Вс</v>
      </c>
      <c r="I1636" s="46"/>
      <c r="J1636" s="39">
        <f t="shared" si="51"/>
        <v>47597</v>
      </c>
      <c r="K1636" t="str">
        <f ca="1">IF(AND(B1636&gt;='План недели'!$B$4,B1636&lt;'План недели'!$D$4,D1636&lt;&gt;"",G1636&lt;&gt;"Отменён"),COUNTIFS($B$5:B1636,"&gt;="&amp;'План недели'!$B$4,$B$5:B1636,"&lt;"&amp;'План недели'!$D$4,$D$5:D1636,"&lt;&gt;",$G$5:G1636,"&lt;&gt;Отменён"),"")</f>
        <v/>
      </c>
    </row>
    <row r="1637" spans="1:11">
      <c r="A1637" t="str">
        <f>IF(B1637="","","VIS_"&amp;(YEAR(B1637)*10000+MONTH(B1637)*100+DAY(B1637))&amp;"_"&amp;IF(COUNTIF($B$5:B1637,B1637)&lt;10,"00"&amp;COUNTIF($B$5:B1637,B1637),IF(COUNTIF($B$5:B1637,B1637)&lt;100,"0"&amp;COUNTIF($B$5:B1637,B1637),COUNTIF($B$5:B1637,B1637))))</f>
        <v>VIS_20300429_001</v>
      </c>
      <c r="B1637" s="40">
        <v>47602</v>
      </c>
      <c r="C1637" s="47" t="str">
        <f t="shared" si="50"/>
        <v>Пн</v>
      </c>
      <c r="I1637" s="46"/>
      <c r="J1637" s="39">
        <f t="shared" si="51"/>
        <v>47597</v>
      </c>
      <c r="K1637" t="str">
        <f ca="1">IF(AND(B1637&gt;='План недели'!$B$4,B1637&lt;'План недели'!$D$4,D1637&lt;&gt;"",G1637&lt;&gt;"Отменён"),COUNTIFS($B$5:B1637,"&gt;="&amp;'План недели'!$B$4,$B$5:B1637,"&lt;"&amp;'План недели'!$D$4,$D$5:D1637,"&lt;&gt;",$G$5:G1637,"&lt;&gt;Отменён"),"")</f>
        <v/>
      </c>
    </row>
    <row r="1638" spans="1:11">
      <c r="A1638" t="str">
        <f>IF(B1638="","","VIS_"&amp;(YEAR(B1638)*10000+MONTH(B1638)*100+DAY(B1638))&amp;"_"&amp;IF(COUNTIF($B$5:B1638,B1638)&lt;10,"00"&amp;COUNTIF($B$5:B1638,B1638),IF(COUNTIF($B$5:B1638,B1638)&lt;100,"0"&amp;COUNTIF($B$5:B1638,B1638),COUNTIF($B$5:B1638,B1638))))</f>
        <v>VIS_20300430_001</v>
      </c>
      <c r="B1638" s="40">
        <v>47603</v>
      </c>
      <c r="C1638" s="47" t="str">
        <f t="shared" si="50"/>
        <v>Вт</v>
      </c>
      <c r="I1638" s="46"/>
      <c r="J1638" s="39">
        <f t="shared" si="51"/>
        <v>47597</v>
      </c>
      <c r="K1638" t="str">
        <f ca="1">IF(AND(B1638&gt;='План недели'!$B$4,B1638&lt;'План недели'!$D$4,D1638&lt;&gt;"",G1638&lt;&gt;"Отменён"),COUNTIFS($B$5:B1638,"&gt;="&amp;'План недели'!$B$4,$B$5:B1638,"&lt;"&amp;'План недели'!$D$4,$D$5:D1638,"&lt;&gt;",$G$5:G1638,"&lt;&gt;Отменён"),"")</f>
        <v/>
      </c>
    </row>
    <row r="1639" spans="1:11">
      <c r="A1639" t="str">
        <f>IF(B1639="","","VIS_"&amp;(YEAR(B1639)*10000+MONTH(B1639)*100+DAY(B1639))&amp;"_"&amp;IF(COUNTIF($B$5:B1639,B1639)&lt;10,"00"&amp;COUNTIF($B$5:B1639,B1639),IF(COUNTIF($B$5:B1639,B1639)&lt;100,"0"&amp;COUNTIF($B$5:B1639,B1639),COUNTIF($B$5:B1639,B1639))))</f>
        <v>VIS_20300501_001</v>
      </c>
      <c r="B1639" s="40">
        <v>47604</v>
      </c>
      <c r="C1639" s="47" t="str">
        <f t="shared" si="50"/>
        <v>Ср</v>
      </c>
      <c r="I1639" s="46"/>
      <c r="J1639" s="39">
        <f t="shared" si="51"/>
        <v>47604</v>
      </c>
      <c r="K1639" t="str">
        <f ca="1">IF(AND(B1639&gt;='План недели'!$B$4,B1639&lt;'План недели'!$D$4,D1639&lt;&gt;"",G1639&lt;&gt;"Отменён"),COUNTIFS($B$5:B1639,"&gt;="&amp;'План недели'!$B$4,$B$5:B1639,"&lt;"&amp;'План недели'!$D$4,$D$5:D1639,"&lt;&gt;",$G$5:G1639,"&lt;&gt;Отменён"),"")</f>
        <v/>
      </c>
    </row>
    <row r="1640" spans="1:11">
      <c r="A1640" t="str">
        <f>IF(B1640="","","VIS_"&amp;(YEAR(B1640)*10000+MONTH(B1640)*100+DAY(B1640))&amp;"_"&amp;IF(COUNTIF($B$5:B1640,B1640)&lt;10,"00"&amp;COUNTIF($B$5:B1640,B1640),IF(COUNTIF($B$5:B1640,B1640)&lt;100,"0"&amp;COUNTIF($B$5:B1640,B1640),COUNTIF($B$5:B1640,B1640))))</f>
        <v>VIS_20300502_001</v>
      </c>
      <c r="B1640" s="40">
        <v>47605</v>
      </c>
      <c r="C1640" s="47" t="str">
        <f t="shared" si="50"/>
        <v>Чт</v>
      </c>
      <c r="I1640" s="46"/>
      <c r="J1640" s="39">
        <f t="shared" si="51"/>
        <v>47604</v>
      </c>
      <c r="K1640" t="str">
        <f ca="1">IF(AND(B1640&gt;='План недели'!$B$4,B1640&lt;'План недели'!$D$4,D1640&lt;&gt;"",G1640&lt;&gt;"Отменён"),COUNTIFS($B$5:B1640,"&gt;="&amp;'План недели'!$B$4,$B$5:B1640,"&lt;"&amp;'План недели'!$D$4,$D$5:D1640,"&lt;&gt;",$G$5:G1640,"&lt;&gt;Отменён"),"")</f>
        <v/>
      </c>
    </row>
    <row r="1641" spans="1:11">
      <c r="A1641" t="str">
        <f>IF(B1641="","","VIS_"&amp;(YEAR(B1641)*10000+MONTH(B1641)*100+DAY(B1641))&amp;"_"&amp;IF(COUNTIF($B$5:B1641,B1641)&lt;10,"00"&amp;COUNTIF($B$5:B1641,B1641),IF(COUNTIF($B$5:B1641,B1641)&lt;100,"0"&amp;COUNTIF($B$5:B1641,B1641),COUNTIF($B$5:B1641,B1641))))</f>
        <v>VIS_20300503_001</v>
      </c>
      <c r="B1641" s="40">
        <v>47606</v>
      </c>
      <c r="C1641" s="47" t="str">
        <f t="shared" si="50"/>
        <v>Пт</v>
      </c>
      <c r="I1641" s="46"/>
      <c r="J1641" s="39">
        <f t="shared" si="51"/>
        <v>47604</v>
      </c>
      <c r="K1641" t="str">
        <f ca="1">IF(AND(B1641&gt;='План недели'!$B$4,B1641&lt;'План недели'!$D$4,D1641&lt;&gt;"",G1641&lt;&gt;"Отменён"),COUNTIFS($B$5:B1641,"&gt;="&amp;'План недели'!$B$4,$B$5:B1641,"&lt;"&amp;'План недели'!$D$4,$D$5:D1641,"&lt;&gt;",$G$5:G1641,"&lt;&gt;Отменён"),"")</f>
        <v/>
      </c>
    </row>
    <row r="1642" spans="1:11">
      <c r="A1642" t="str">
        <f>IF(B1642="","","VIS_"&amp;(YEAR(B1642)*10000+MONTH(B1642)*100+DAY(B1642))&amp;"_"&amp;IF(COUNTIF($B$5:B1642,B1642)&lt;10,"00"&amp;COUNTIF($B$5:B1642,B1642),IF(COUNTIF($B$5:B1642,B1642)&lt;100,"0"&amp;COUNTIF($B$5:B1642,B1642),COUNTIF($B$5:B1642,B1642))))</f>
        <v>VIS_20300504_001</v>
      </c>
      <c r="B1642" s="42">
        <v>47607</v>
      </c>
      <c r="C1642" s="49" t="str">
        <f t="shared" si="50"/>
        <v>Сб</v>
      </c>
      <c r="I1642" s="46"/>
      <c r="J1642" s="39">
        <f t="shared" si="51"/>
        <v>47604</v>
      </c>
      <c r="K1642" t="str">
        <f ca="1">IF(AND(B1642&gt;='План недели'!$B$4,B1642&lt;'План недели'!$D$4,D1642&lt;&gt;"",G1642&lt;&gt;"Отменён"),COUNTIFS($B$5:B1642,"&gt;="&amp;'План недели'!$B$4,$B$5:B1642,"&lt;"&amp;'План недели'!$D$4,$D$5:D1642,"&lt;&gt;",$G$5:G1642,"&lt;&gt;Отменён"),"")</f>
        <v/>
      </c>
    </row>
    <row r="1643" spans="1:11">
      <c r="A1643" t="str">
        <f>IF(B1643="","","VIS_"&amp;(YEAR(B1643)*10000+MONTH(B1643)*100+DAY(B1643))&amp;"_"&amp;IF(COUNTIF($B$5:B1643,B1643)&lt;10,"00"&amp;COUNTIF($B$5:B1643,B1643),IF(COUNTIF($B$5:B1643,B1643)&lt;100,"0"&amp;COUNTIF($B$5:B1643,B1643),COUNTIF($B$5:B1643,B1643))))</f>
        <v>VIS_20300505_001</v>
      </c>
      <c r="B1643" s="42">
        <v>47608</v>
      </c>
      <c r="C1643" s="49" t="str">
        <f t="shared" si="50"/>
        <v>Вс</v>
      </c>
      <c r="I1643" s="46"/>
      <c r="J1643" s="39">
        <f t="shared" si="51"/>
        <v>47604</v>
      </c>
      <c r="K1643" t="str">
        <f ca="1">IF(AND(B1643&gt;='План недели'!$B$4,B1643&lt;'План недели'!$D$4,D1643&lt;&gt;"",G1643&lt;&gt;"Отменён"),COUNTIFS($B$5:B1643,"&gt;="&amp;'План недели'!$B$4,$B$5:B1643,"&lt;"&amp;'План недели'!$D$4,$D$5:D1643,"&lt;&gt;",$G$5:G1643,"&lt;&gt;Отменён"),"")</f>
        <v/>
      </c>
    </row>
    <row r="1644" spans="1:11">
      <c r="A1644" t="str">
        <f>IF(B1644="","","VIS_"&amp;(YEAR(B1644)*10000+MONTH(B1644)*100+DAY(B1644))&amp;"_"&amp;IF(COUNTIF($B$5:B1644,B1644)&lt;10,"00"&amp;COUNTIF($B$5:B1644,B1644),IF(COUNTIF($B$5:B1644,B1644)&lt;100,"0"&amp;COUNTIF($B$5:B1644,B1644),COUNTIF($B$5:B1644,B1644))))</f>
        <v>VIS_20300506_001</v>
      </c>
      <c r="B1644" s="40">
        <v>47609</v>
      </c>
      <c r="C1644" s="47" t="str">
        <f t="shared" si="50"/>
        <v>Пн</v>
      </c>
      <c r="I1644" s="46"/>
      <c r="J1644" s="39">
        <f t="shared" si="51"/>
        <v>47604</v>
      </c>
      <c r="K1644" t="str">
        <f ca="1">IF(AND(B1644&gt;='План недели'!$B$4,B1644&lt;'План недели'!$D$4,D1644&lt;&gt;"",G1644&lt;&gt;"Отменён"),COUNTIFS($B$5:B1644,"&gt;="&amp;'План недели'!$B$4,$B$5:B1644,"&lt;"&amp;'План недели'!$D$4,$D$5:D1644,"&lt;&gt;",$G$5:G1644,"&lt;&gt;Отменён"),"")</f>
        <v/>
      </c>
    </row>
    <row r="1645" spans="1:11">
      <c r="A1645" t="str">
        <f>IF(B1645="","","VIS_"&amp;(YEAR(B1645)*10000+MONTH(B1645)*100+DAY(B1645))&amp;"_"&amp;IF(COUNTIF($B$5:B1645,B1645)&lt;10,"00"&amp;COUNTIF($B$5:B1645,B1645),IF(COUNTIF($B$5:B1645,B1645)&lt;100,"0"&amp;COUNTIF($B$5:B1645,B1645),COUNTIF($B$5:B1645,B1645))))</f>
        <v>VIS_20300507_001</v>
      </c>
      <c r="B1645" s="40">
        <v>47610</v>
      </c>
      <c r="C1645" s="47" t="str">
        <f t="shared" si="50"/>
        <v>Вт</v>
      </c>
      <c r="I1645" s="46"/>
      <c r="J1645" s="39">
        <f t="shared" si="51"/>
        <v>47604</v>
      </c>
      <c r="K1645" t="str">
        <f ca="1">IF(AND(B1645&gt;='План недели'!$B$4,B1645&lt;'План недели'!$D$4,D1645&lt;&gt;"",G1645&lt;&gt;"Отменён"),COUNTIFS($B$5:B1645,"&gt;="&amp;'План недели'!$B$4,$B$5:B1645,"&lt;"&amp;'План недели'!$D$4,$D$5:D1645,"&lt;&gt;",$G$5:G1645,"&lt;&gt;Отменён"),"")</f>
        <v/>
      </c>
    </row>
    <row r="1646" spans="1:11">
      <c r="A1646" t="str">
        <f>IF(B1646="","","VIS_"&amp;(YEAR(B1646)*10000+MONTH(B1646)*100+DAY(B1646))&amp;"_"&amp;IF(COUNTIF($B$5:B1646,B1646)&lt;10,"00"&amp;COUNTIF($B$5:B1646,B1646),IF(COUNTIF($B$5:B1646,B1646)&lt;100,"0"&amp;COUNTIF($B$5:B1646,B1646),COUNTIF($B$5:B1646,B1646))))</f>
        <v>VIS_20300508_001</v>
      </c>
      <c r="B1646" s="40">
        <v>47611</v>
      </c>
      <c r="C1646" s="47" t="str">
        <f t="shared" si="50"/>
        <v>Ср</v>
      </c>
      <c r="I1646" s="46"/>
      <c r="J1646" s="39">
        <f t="shared" si="51"/>
        <v>47611</v>
      </c>
      <c r="K1646" t="str">
        <f ca="1">IF(AND(B1646&gt;='План недели'!$B$4,B1646&lt;'План недели'!$D$4,D1646&lt;&gt;"",G1646&lt;&gt;"Отменён"),COUNTIFS($B$5:B1646,"&gt;="&amp;'План недели'!$B$4,$B$5:B1646,"&lt;"&amp;'План недели'!$D$4,$D$5:D1646,"&lt;&gt;",$G$5:G1646,"&lt;&gt;Отменён"),"")</f>
        <v/>
      </c>
    </row>
    <row r="1647" spans="1:11">
      <c r="A1647" t="str">
        <f>IF(B1647="","","VIS_"&amp;(YEAR(B1647)*10000+MONTH(B1647)*100+DAY(B1647))&amp;"_"&amp;IF(COUNTIF($B$5:B1647,B1647)&lt;10,"00"&amp;COUNTIF($B$5:B1647,B1647),IF(COUNTIF($B$5:B1647,B1647)&lt;100,"0"&amp;COUNTIF($B$5:B1647,B1647),COUNTIF($B$5:B1647,B1647))))</f>
        <v>VIS_20300509_001</v>
      </c>
      <c r="B1647" s="40">
        <v>47612</v>
      </c>
      <c r="C1647" s="47" t="str">
        <f t="shared" si="50"/>
        <v>Чт</v>
      </c>
      <c r="I1647" s="46"/>
      <c r="J1647" s="39">
        <f t="shared" si="51"/>
        <v>47611</v>
      </c>
      <c r="K1647" t="str">
        <f ca="1">IF(AND(B1647&gt;='План недели'!$B$4,B1647&lt;'План недели'!$D$4,D1647&lt;&gt;"",G1647&lt;&gt;"Отменён"),COUNTIFS($B$5:B1647,"&gt;="&amp;'План недели'!$B$4,$B$5:B1647,"&lt;"&amp;'План недели'!$D$4,$D$5:D1647,"&lt;&gt;",$G$5:G1647,"&lt;&gt;Отменён"),"")</f>
        <v/>
      </c>
    </row>
    <row r="1648" spans="1:11">
      <c r="A1648" t="str">
        <f>IF(B1648="","","VIS_"&amp;(YEAR(B1648)*10000+MONTH(B1648)*100+DAY(B1648))&amp;"_"&amp;IF(COUNTIF($B$5:B1648,B1648)&lt;10,"00"&amp;COUNTIF($B$5:B1648,B1648),IF(COUNTIF($B$5:B1648,B1648)&lt;100,"0"&amp;COUNTIF($B$5:B1648,B1648),COUNTIF($B$5:B1648,B1648))))</f>
        <v>VIS_20300510_001</v>
      </c>
      <c r="B1648" s="40">
        <v>47613</v>
      </c>
      <c r="C1648" s="47" t="str">
        <f t="shared" si="50"/>
        <v>Пт</v>
      </c>
      <c r="I1648" s="46"/>
      <c r="J1648" s="39">
        <f t="shared" si="51"/>
        <v>47611</v>
      </c>
      <c r="K1648" t="str">
        <f ca="1">IF(AND(B1648&gt;='План недели'!$B$4,B1648&lt;'План недели'!$D$4,D1648&lt;&gt;"",G1648&lt;&gt;"Отменён"),COUNTIFS($B$5:B1648,"&gt;="&amp;'План недели'!$B$4,$B$5:B1648,"&lt;"&amp;'План недели'!$D$4,$D$5:D1648,"&lt;&gt;",$G$5:G1648,"&lt;&gt;Отменён"),"")</f>
        <v/>
      </c>
    </row>
    <row r="1649" spans="1:11">
      <c r="A1649" t="str">
        <f>IF(B1649="","","VIS_"&amp;(YEAR(B1649)*10000+MONTH(B1649)*100+DAY(B1649))&amp;"_"&amp;IF(COUNTIF($B$5:B1649,B1649)&lt;10,"00"&amp;COUNTIF($B$5:B1649,B1649),IF(COUNTIF($B$5:B1649,B1649)&lt;100,"0"&amp;COUNTIF($B$5:B1649,B1649),COUNTIF($B$5:B1649,B1649))))</f>
        <v>VIS_20300511_001</v>
      </c>
      <c r="B1649" s="42">
        <v>47614</v>
      </c>
      <c r="C1649" s="49" t="str">
        <f t="shared" si="50"/>
        <v>Сб</v>
      </c>
      <c r="I1649" s="46"/>
      <c r="J1649" s="39">
        <f t="shared" si="51"/>
        <v>47611</v>
      </c>
      <c r="K1649" t="str">
        <f ca="1">IF(AND(B1649&gt;='План недели'!$B$4,B1649&lt;'План недели'!$D$4,D1649&lt;&gt;"",G1649&lt;&gt;"Отменён"),COUNTIFS($B$5:B1649,"&gt;="&amp;'План недели'!$B$4,$B$5:B1649,"&lt;"&amp;'План недели'!$D$4,$D$5:D1649,"&lt;&gt;",$G$5:G1649,"&lt;&gt;Отменён"),"")</f>
        <v/>
      </c>
    </row>
    <row r="1650" spans="1:11">
      <c r="A1650" t="str">
        <f>IF(B1650="","","VIS_"&amp;(YEAR(B1650)*10000+MONTH(B1650)*100+DAY(B1650))&amp;"_"&amp;IF(COUNTIF($B$5:B1650,B1650)&lt;10,"00"&amp;COUNTIF($B$5:B1650,B1650),IF(COUNTIF($B$5:B1650,B1650)&lt;100,"0"&amp;COUNTIF($B$5:B1650,B1650),COUNTIF($B$5:B1650,B1650))))</f>
        <v>VIS_20300512_001</v>
      </c>
      <c r="B1650" s="42">
        <v>47615</v>
      </c>
      <c r="C1650" s="49" t="str">
        <f t="shared" si="50"/>
        <v>Вс</v>
      </c>
      <c r="I1650" s="46"/>
      <c r="J1650" s="39">
        <f t="shared" si="51"/>
        <v>47611</v>
      </c>
      <c r="K1650" t="str">
        <f ca="1">IF(AND(B1650&gt;='План недели'!$B$4,B1650&lt;'План недели'!$D$4,D1650&lt;&gt;"",G1650&lt;&gt;"Отменён"),COUNTIFS($B$5:B1650,"&gt;="&amp;'План недели'!$B$4,$B$5:B1650,"&lt;"&amp;'План недели'!$D$4,$D$5:D1650,"&lt;&gt;",$G$5:G1650,"&lt;&gt;Отменён"),"")</f>
        <v/>
      </c>
    </row>
    <row r="1651" spans="1:11">
      <c r="A1651" t="str">
        <f>IF(B1651="","","VIS_"&amp;(YEAR(B1651)*10000+MONTH(B1651)*100+DAY(B1651))&amp;"_"&amp;IF(COUNTIF($B$5:B1651,B1651)&lt;10,"00"&amp;COUNTIF($B$5:B1651,B1651),IF(COUNTIF($B$5:B1651,B1651)&lt;100,"0"&amp;COUNTIF($B$5:B1651,B1651),COUNTIF($B$5:B1651,B1651))))</f>
        <v>VIS_20300513_001</v>
      </c>
      <c r="B1651" s="40">
        <v>47616</v>
      </c>
      <c r="C1651" s="47" t="str">
        <f t="shared" si="50"/>
        <v>Пн</v>
      </c>
      <c r="I1651" s="46"/>
      <c r="J1651" s="39">
        <f t="shared" si="51"/>
        <v>47611</v>
      </c>
      <c r="K1651" t="str">
        <f ca="1">IF(AND(B1651&gt;='План недели'!$B$4,B1651&lt;'План недели'!$D$4,D1651&lt;&gt;"",G1651&lt;&gt;"Отменён"),COUNTIFS($B$5:B1651,"&gt;="&amp;'План недели'!$B$4,$B$5:B1651,"&lt;"&amp;'План недели'!$D$4,$D$5:D1651,"&lt;&gt;",$G$5:G1651,"&lt;&gt;Отменён"),"")</f>
        <v/>
      </c>
    </row>
    <row r="1652" spans="1:11">
      <c r="A1652" t="str">
        <f>IF(B1652="","","VIS_"&amp;(YEAR(B1652)*10000+MONTH(B1652)*100+DAY(B1652))&amp;"_"&amp;IF(COUNTIF($B$5:B1652,B1652)&lt;10,"00"&amp;COUNTIF($B$5:B1652,B1652),IF(COUNTIF($B$5:B1652,B1652)&lt;100,"0"&amp;COUNTIF($B$5:B1652,B1652),COUNTIF($B$5:B1652,B1652))))</f>
        <v>VIS_20300514_001</v>
      </c>
      <c r="B1652" s="40">
        <v>47617</v>
      </c>
      <c r="C1652" s="47" t="str">
        <f t="shared" si="50"/>
        <v>Вт</v>
      </c>
      <c r="I1652" s="46"/>
      <c r="J1652" s="39">
        <f t="shared" si="51"/>
        <v>47611</v>
      </c>
      <c r="K1652" t="str">
        <f ca="1">IF(AND(B1652&gt;='План недели'!$B$4,B1652&lt;'План недели'!$D$4,D1652&lt;&gt;"",G1652&lt;&gt;"Отменён"),COUNTIFS($B$5:B1652,"&gt;="&amp;'План недели'!$B$4,$B$5:B1652,"&lt;"&amp;'План недели'!$D$4,$D$5:D1652,"&lt;&gt;",$G$5:G1652,"&lt;&gt;Отменён"),"")</f>
        <v/>
      </c>
    </row>
    <row r="1653" spans="1:11">
      <c r="A1653" t="str">
        <f>IF(B1653="","","VIS_"&amp;(YEAR(B1653)*10000+MONTH(B1653)*100+DAY(B1653))&amp;"_"&amp;IF(COUNTIF($B$5:B1653,B1653)&lt;10,"00"&amp;COUNTIF($B$5:B1653,B1653),IF(COUNTIF($B$5:B1653,B1653)&lt;100,"0"&amp;COUNTIF($B$5:B1653,B1653),COUNTIF($B$5:B1653,B1653))))</f>
        <v>VIS_20300515_001</v>
      </c>
      <c r="B1653" s="40">
        <v>47618</v>
      </c>
      <c r="C1653" s="47" t="str">
        <f t="shared" si="50"/>
        <v>Ср</v>
      </c>
      <c r="I1653" s="46"/>
      <c r="J1653" s="39">
        <f t="shared" si="51"/>
        <v>47618</v>
      </c>
      <c r="K1653" t="str">
        <f ca="1">IF(AND(B1653&gt;='План недели'!$B$4,B1653&lt;'План недели'!$D$4,D1653&lt;&gt;"",G1653&lt;&gt;"Отменён"),COUNTIFS($B$5:B1653,"&gt;="&amp;'План недели'!$B$4,$B$5:B1653,"&lt;"&amp;'План недели'!$D$4,$D$5:D1653,"&lt;&gt;",$G$5:G1653,"&lt;&gt;Отменён"),"")</f>
        <v/>
      </c>
    </row>
    <row r="1654" spans="1:11">
      <c r="A1654" t="str">
        <f>IF(B1654="","","VIS_"&amp;(YEAR(B1654)*10000+MONTH(B1654)*100+DAY(B1654))&amp;"_"&amp;IF(COUNTIF($B$5:B1654,B1654)&lt;10,"00"&amp;COUNTIF($B$5:B1654,B1654),IF(COUNTIF($B$5:B1654,B1654)&lt;100,"0"&amp;COUNTIF($B$5:B1654,B1654),COUNTIF($B$5:B1654,B1654))))</f>
        <v>VIS_20300516_001</v>
      </c>
      <c r="B1654" s="40">
        <v>47619</v>
      </c>
      <c r="C1654" s="47" t="str">
        <f t="shared" si="50"/>
        <v>Чт</v>
      </c>
      <c r="I1654" s="46"/>
      <c r="J1654" s="39">
        <f t="shared" si="51"/>
        <v>47618</v>
      </c>
      <c r="K1654" t="str">
        <f ca="1">IF(AND(B1654&gt;='План недели'!$B$4,B1654&lt;'План недели'!$D$4,D1654&lt;&gt;"",G1654&lt;&gt;"Отменён"),COUNTIFS($B$5:B1654,"&gt;="&amp;'План недели'!$B$4,$B$5:B1654,"&lt;"&amp;'План недели'!$D$4,$D$5:D1654,"&lt;&gt;",$G$5:G1654,"&lt;&gt;Отменён"),"")</f>
        <v/>
      </c>
    </row>
    <row r="1655" spans="1:11">
      <c r="A1655" t="str">
        <f>IF(B1655="","","VIS_"&amp;(YEAR(B1655)*10000+MONTH(B1655)*100+DAY(B1655))&amp;"_"&amp;IF(COUNTIF($B$5:B1655,B1655)&lt;10,"00"&amp;COUNTIF($B$5:B1655,B1655),IF(COUNTIF($B$5:B1655,B1655)&lt;100,"0"&amp;COUNTIF($B$5:B1655,B1655),COUNTIF($B$5:B1655,B1655))))</f>
        <v>VIS_20300517_001</v>
      </c>
      <c r="B1655" s="40">
        <v>47620</v>
      </c>
      <c r="C1655" s="47" t="str">
        <f t="shared" si="50"/>
        <v>Пт</v>
      </c>
      <c r="I1655" s="46"/>
      <c r="J1655" s="39">
        <f t="shared" si="51"/>
        <v>47618</v>
      </c>
      <c r="K1655" t="str">
        <f ca="1">IF(AND(B1655&gt;='План недели'!$B$4,B1655&lt;'План недели'!$D$4,D1655&lt;&gt;"",G1655&lt;&gt;"Отменён"),COUNTIFS($B$5:B1655,"&gt;="&amp;'План недели'!$B$4,$B$5:B1655,"&lt;"&amp;'План недели'!$D$4,$D$5:D1655,"&lt;&gt;",$G$5:G1655,"&lt;&gt;Отменён"),"")</f>
        <v/>
      </c>
    </row>
    <row r="1656" spans="1:11">
      <c r="A1656" t="str">
        <f>IF(B1656="","","VIS_"&amp;(YEAR(B1656)*10000+MONTH(B1656)*100+DAY(B1656))&amp;"_"&amp;IF(COUNTIF($B$5:B1656,B1656)&lt;10,"00"&amp;COUNTIF($B$5:B1656,B1656),IF(COUNTIF($B$5:B1656,B1656)&lt;100,"0"&amp;COUNTIF($B$5:B1656,B1656),COUNTIF($B$5:B1656,B1656))))</f>
        <v>VIS_20300518_001</v>
      </c>
      <c r="B1656" s="42">
        <v>47621</v>
      </c>
      <c r="C1656" s="49" t="str">
        <f t="shared" si="50"/>
        <v>Сб</v>
      </c>
      <c r="I1656" s="46"/>
      <c r="J1656" s="39">
        <f t="shared" si="51"/>
        <v>47618</v>
      </c>
      <c r="K1656" t="str">
        <f ca="1">IF(AND(B1656&gt;='План недели'!$B$4,B1656&lt;'План недели'!$D$4,D1656&lt;&gt;"",G1656&lt;&gt;"Отменён"),COUNTIFS($B$5:B1656,"&gt;="&amp;'План недели'!$B$4,$B$5:B1656,"&lt;"&amp;'План недели'!$D$4,$D$5:D1656,"&lt;&gt;",$G$5:G1656,"&lt;&gt;Отменён"),"")</f>
        <v/>
      </c>
    </row>
    <row r="1657" spans="1:11">
      <c r="A1657" t="str">
        <f>IF(B1657="","","VIS_"&amp;(YEAR(B1657)*10000+MONTH(B1657)*100+DAY(B1657))&amp;"_"&amp;IF(COUNTIF($B$5:B1657,B1657)&lt;10,"00"&amp;COUNTIF($B$5:B1657,B1657),IF(COUNTIF($B$5:B1657,B1657)&lt;100,"0"&amp;COUNTIF($B$5:B1657,B1657),COUNTIF($B$5:B1657,B1657))))</f>
        <v>VIS_20300519_001</v>
      </c>
      <c r="B1657" s="42">
        <v>47622</v>
      </c>
      <c r="C1657" s="49" t="str">
        <f t="shared" si="50"/>
        <v>Вс</v>
      </c>
      <c r="I1657" s="46"/>
      <c r="J1657" s="39">
        <f t="shared" si="51"/>
        <v>47618</v>
      </c>
      <c r="K1657" t="str">
        <f ca="1">IF(AND(B1657&gt;='План недели'!$B$4,B1657&lt;'План недели'!$D$4,D1657&lt;&gt;"",G1657&lt;&gt;"Отменён"),COUNTIFS($B$5:B1657,"&gt;="&amp;'План недели'!$B$4,$B$5:B1657,"&lt;"&amp;'План недели'!$D$4,$D$5:D1657,"&lt;&gt;",$G$5:G1657,"&lt;&gt;Отменён"),"")</f>
        <v/>
      </c>
    </row>
    <row r="1658" spans="1:11">
      <c r="A1658" t="str">
        <f>IF(B1658="","","VIS_"&amp;(YEAR(B1658)*10000+MONTH(B1658)*100+DAY(B1658))&amp;"_"&amp;IF(COUNTIF($B$5:B1658,B1658)&lt;10,"00"&amp;COUNTIF($B$5:B1658,B1658),IF(COUNTIF($B$5:B1658,B1658)&lt;100,"0"&amp;COUNTIF($B$5:B1658,B1658),COUNTIF($B$5:B1658,B1658))))</f>
        <v>VIS_20300520_001</v>
      </c>
      <c r="B1658" s="40">
        <v>47623</v>
      </c>
      <c r="C1658" s="47" t="str">
        <f t="shared" si="50"/>
        <v>Пн</v>
      </c>
      <c r="I1658" s="46"/>
      <c r="J1658" s="39">
        <f t="shared" si="51"/>
        <v>47618</v>
      </c>
      <c r="K1658" t="str">
        <f ca="1">IF(AND(B1658&gt;='План недели'!$B$4,B1658&lt;'План недели'!$D$4,D1658&lt;&gt;"",G1658&lt;&gt;"Отменён"),COUNTIFS($B$5:B1658,"&gt;="&amp;'План недели'!$B$4,$B$5:B1658,"&lt;"&amp;'План недели'!$D$4,$D$5:D1658,"&lt;&gt;",$G$5:G1658,"&lt;&gt;Отменён"),"")</f>
        <v/>
      </c>
    </row>
    <row r="1659" spans="1:11">
      <c r="A1659" t="str">
        <f>IF(B1659="","","VIS_"&amp;(YEAR(B1659)*10000+MONTH(B1659)*100+DAY(B1659))&amp;"_"&amp;IF(COUNTIF($B$5:B1659,B1659)&lt;10,"00"&amp;COUNTIF($B$5:B1659,B1659),IF(COUNTIF($B$5:B1659,B1659)&lt;100,"0"&amp;COUNTIF($B$5:B1659,B1659),COUNTIF($B$5:B1659,B1659))))</f>
        <v>VIS_20300521_001</v>
      </c>
      <c r="B1659" s="40">
        <v>47624</v>
      </c>
      <c r="C1659" s="47" t="str">
        <f t="shared" si="50"/>
        <v>Вт</v>
      </c>
      <c r="I1659" s="46"/>
      <c r="J1659" s="39">
        <f t="shared" si="51"/>
        <v>47618</v>
      </c>
      <c r="K1659" t="str">
        <f ca="1">IF(AND(B1659&gt;='План недели'!$B$4,B1659&lt;'План недели'!$D$4,D1659&lt;&gt;"",G1659&lt;&gt;"Отменён"),COUNTIFS($B$5:B1659,"&gt;="&amp;'План недели'!$B$4,$B$5:B1659,"&lt;"&amp;'План недели'!$D$4,$D$5:D1659,"&lt;&gt;",$G$5:G1659,"&lt;&gt;Отменён"),"")</f>
        <v/>
      </c>
    </row>
    <row r="1660" spans="1:11">
      <c r="A1660" t="str">
        <f>IF(B1660="","","VIS_"&amp;(YEAR(B1660)*10000+MONTH(B1660)*100+DAY(B1660))&amp;"_"&amp;IF(COUNTIF($B$5:B1660,B1660)&lt;10,"00"&amp;COUNTIF($B$5:B1660,B1660),IF(COUNTIF($B$5:B1660,B1660)&lt;100,"0"&amp;COUNTIF($B$5:B1660,B1660),COUNTIF($B$5:B1660,B1660))))</f>
        <v>VIS_20300522_001</v>
      </c>
      <c r="B1660" s="40">
        <v>47625</v>
      </c>
      <c r="C1660" s="47" t="str">
        <f t="shared" si="50"/>
        <v>Ср</v>
      </c>
      <c r="I1660" s="46"/>
      <c r="J1660" s="39">
        <f t="shared" si="51"/>
        <v>47625</v>
      </c>
      <c r="K1660" t="str">
        <f ca="1">IF(AND(B1660&gt;='План недели'!$B$4,B1660&lt;'План недели'!$D$4,D1660&lt;&gt;"",G1660&lt;&gt;"Отменён"),COUNTIFS($B$5:B1660,"&gt;="&amp;'План недели'!$B$4,$B$5:B1660,"&lt;"&amp;'План недели'!$D$4,$D$5:D1660,"&lt;&gt;",$G$5:G1660,"&lt;&gt;Отменён"),"")</f>
        <v/>
      </c>
    </row>
    <row r="1661" spans="1:11">
      <c r="A1661" t="str">
        <f>IF(B1661="","","VIS_"&amp;(YEAR(B1661)*10000+MONTH(B1661)*100+DAY(B1661))&amp;"_"&amp;IF(COUNTIF($B$5:B1661,B1661)&lt;10,"00"&amp;COUNTIF($B$5:B1661,B1661),IF(COUNTIF($B$5:B1661,B1661)&lt;100,"0"&amp;COUNTIF($B$5:B1661,B1661),COUNTIF($B$5:B1661,B1661))))</f>
        <v>VIS_20300523_001</v>
      </c>
      <c r="B1661" s="40">
        <v>47626</v>
      </c>
      <c r="C1661" s="47" t="str">
        <f t="shared" si="50"/>
        <v>Чт</v>
      </c>
      <c r="I1661" s="46"/>
      <c r="J1661" s="39">
        <f t="shared" si="51"/>
        <v>47625</v>
      </c>
      <c r="K1661" t="str">
        <f ca="1">IF(AND(B1661&gt;='План недели'!$B$4,B1661&lt;'План недели'!$D$4,D1661&lt;&gt;"",G1661&lt;&gt;"Отменён"),COUNTIFS($B$5:B1661,"&gt;="&amp;'План недели'!$B$4,$B$5:B1661,"&lt;"&amp;'План недели'!$D$4,$D$5:D1661,"&lt;&gt;",$G$5:G1661,"&lt;&gt;Отменён"),"")</f>
        <v/>
      </c>
    </row>
    <row r="1662" spans="1:11">
      <c r="A1662" t="str">
        <f>IF(B1662="","","VIS_"&amp;(YEAR(B1662)*10000+MONTH(B1662)*100+DAY(B1662))&amp;"_"&amp;IF(COUNTIF($B$5:B1662,B1662)&lt;10,"00"&amp;COUNTIF($B$5:B1662,B1662),IF(COUNTIF($B$5:B1662,B1662)&lt;100,"0"&amp;COUNTIF($B$5:B1662,B1662),COUNTIF($B$5:B1662,B1662))))</f>
        <v>VIS_20300524_001</v>
      </c>
      <c r="B1662" s="40">
        <v>47627</v>
      </c>
      <c r="C1662" s="47" t="str">
        <f t="shared" si="50"/>
        <v>Пт</v>
      </c>
      <c r="I1662" s="46"/>
      <c r="J1662" s="39">
        <f t="shared" si="51"/>
        <v>47625</v>
      </c>
      <c r="K1662" t="str">
        <f ca="1">IF(AND(B1662&gt;='План недели'!$B$4,B1662&lt;'План недели'!$D$4,D1662&lt;&gt;"",G1662&lt;&gt;"Отменён"),COUNTIFS($B$5:B1662,"&gt;="&amp;'План недели'!$B$4,$B$5:B1662,"&lt;"&amp;'План недели'!$D$4,$D$5:D1662,"&lt;&gt;",$G$5:G1662,"&lt;&gt;Отменён"),"")</f>
        <v/>
      </c>
    </row>
    <row r="1663" spans="1:11">
      <c r="A1663" t="str">
        <f>IF(B1663="","","VIS_"&amp;(YEAR(B1663)*10000+MONTH(B1663)*100+DAY(B1663))&amp;"_"&amp;IF(COUNTIF($B$5:B1663,B1663)&lt;10,"00"&amp;COUNTIF($B$5:B1663,B1663),IF(COUNTIF($B$5:B1663,B1663)&lt;100,"0"&amp;COUNTIF($B$5:B1663,B1663),COUNTIF($B$5:B1663,B1663))))</f>
        <v>VIS_20300525_001</v>
      </c>
      <c r="B1663" s="42">
        <v>47628</v>
      </c>
      <c r="C1663" s="49" t="str">
        <f t="shared" si="50"/>
        <v>Сб</v>
      </c>
      <c r="I1663" s="46"/>
      <c r="J1663" s="39">
        <f t="shared" si="51"/>
        <v>47625</v>
      </c>
      <c r="K1663" t="str">
        <f ca="1">IF(AND(B1663&gt;='План недели'!$B$4,B1663&lt;'План недели'!$D$4,D1663&lt;&gt;"",G1663&lt;&gt;"Отменён"),COUNTIFS($B$5:B1663,"&gt;="&amp;'План недели'!$B$4,$B$5:B1663,"&lt;"&amp;'План недели'!$D$4,$D$5:D1663,"&lt;&gt;",$G$5:G1663,"&lt;&gt;Отменён"),"")</f>
        <v/>
      </c>
    </row>
    <row r="1664" spans="1:11">
      <c r="A1664" t="str">
        <f>IF(B1664="","","VIS_"&amp;(YEAR(B1664)*10000+MONTH(B1664)*100+DAY(B1664))&amp;"_"&amp;IF(COUNTIF($B$5:B1664,B1664)&lt;10,"00"&amp;COUNTIF($B$5:B1664,B1664),IF(COUNTIF($B$5:B1664,B1664)&lt;100,"0"&amp;COUNTIF($B$5:B1664,B1664),COUNTIF($B$5:B1664,B1664))))</f>
        <v>VIS_20300526_001</v>
      </c>
      <c r="B1664" s="42">
        <v>47629</v>
      </c>
      <c r="C1664" s="49" t="str">
        <f t="shared" si="50"/>
        <v>Вс</v>
      </c>
      <c r="I1664" s="46"/>
      <c r="J1664" s="39">
        <f t="shared" si="51"/>
        <v>47625</v>
      </c>
      <c r="K1664" t="str">
        <f ca="1">IF(AND(B1664&gt;='План недели'!$B$4,B1664&lt;'План недели'!$D$4,D1664&lt;&gt;"",G1664&lt;&gt;"Отменён"),COUNTIFS($B$5:B1664,"&gt;="&amp;'План недели'!$B$4,$B$5:B1664,"&lt;"&amp;'План недели'!$D$4,$D$5:D1664,"&lt;&gt;",$G$5:G1664,"&lt;&gt;Отменён"),"")</f>
        <v/>
      </c>
    </row>
    <row r="1665" spans="1:11">
      <c r="A1665" t="str">
        <f>IF(B1665="","","VIS_"&amp;(YEAR(B1665)*10000+MONTH(B1665)*100+DAY(B1665))&amp;"_"&amp;IF(COUNTIF($B$5:B1665,B1665)&lt;10,"00"&amp;COUNTIF($B$5:B1665,B1665),IF(COUNTIF($B$5:B1665,B1665)&lt;100,"0"&amp;COUNTIF($B$5:B1665,B1665),COUNTIF($B$5:B1665,B1665))))</f>
        <v>VIS_20300527_001</v>
      </c>
      <c r="B1665" s="40">
        <v>47630</v>
      </c>
      <c r="C1665" s="47" t="str">
        <f t="shared" si="50"/>
        <v>Пн</v>
      </c>
      <c r="I1665" s="46"/>
      <c r="J1665" s="39">
        <f t="shared" si="51"/>
        <v>47625</v>
      </c>
      <c r="K1665" t="str">
        <f ca="1">IF(AND(B1665&gt;='План недели'!$B$4,B1665&lt;'План недели'!$D$4,D1665&lt;&gt;"",G1665&lt;&gt;"Отменён"),COUNTIFS($B$5:B1665,"&gt;="&amp;'План недели'!$B$4,$B$5:B1665,"&lt;"&amp;'План недели'!$D$4,$D$5:D1665,"&lt;&gt;",$G$5:G1665,"&lt;&gt;Отменён"),"")</f>
        <v/>
      </c>
    </row>
    <row r="1666" spans="1:11">
      <c r="A1666" t="str">
        <f>IF(B1666="","","VIS_"&amp;(YEAR(B1666)*10000+MONTH(B1666)*100+DAY(B1666))&amp;"_"&amp;IF(COUNTIF($B$5:B1666,B1666)&lt;10,"00"&amp;COUNTIF($B$5:B1666,B1666),IF(COUNTIF($B$5:B1666,B1666)&lt;100,"0"&amp;COUNTIF($B$5:B1666,B1666),COUNTIF($B$5:B1666,B1666))))</f>
        <v>VIS_20300528_001</v>
      </c>
      <c r="B1666" s="40">
        <v>47631</v>
      </c>
      <c r="C1666" s="47" t="str">
        <f t="shared" si="50"/>
        <v>Вт</v>
      </c>
      <c r="I1666" s="46"/>
      <c r="J1666" s="39">
        <f t="shared" si="51"/>
        <v>47625</v>
      </c>
      <c r="K1666" t="str">
        <f ca="1">IF(AND(B1666&gt;='План недели'!$B$4,B1666&lt;'План недели'!$D$4,D1666&lt;&gt;"",G1666&lt;&gt;"Отменён"),COUNTIFS($B$5:B1666,"&gt;="&amp;'План недели'!$B$4,$B$5:B1666,"&lt;"&amp;'План недели'!$D$4,$D$5:D1666,"&lt;&gt;",$G$5:G1666,"&lt;&gt;Отменён"),"")</f>
        <v/>
      </c>
    </row>
    <row r="1667" spans="1:11">
      <c r="A1667" t="str">
        <f>IF(B1667="","","VIS_"&amp;(YEAR(B1667)*10000+MONTH(B1667)*100+DAY(B1667))&amp;"_"&amp;IF(COUNTIF($B$5:B1667,B1667)&lt;10,"00"&amp;COUNTIF($B$5:B1667,B1667),IF(COUNTIF($B$5:B1667,B1667)&lt;100,"0"&amp;COUNTIF($B$5:B1667,B1667),COUNTIF($B$5:B1667,B1667))))</f>
        <v>VIS_20300529_001</v>
      </c>
      <c r="B1667" s="40">
        <v>47632</v>
      </c>
      <c r="C1667" s="47" t="str">
        <f t="shared" si="50"/>
        <v>Ср</v>
      </c>
      <c r="I1667" s="46"/>
      <c r="J1667" s="39">
        <f t="shared" si="51"/>
        <v>47632</v>
      </c>
      <c r="K1667" t="str">
        <f ca="1">IF(AND(B1667&gt;='План недели'!$B$4,B1667&lt;'План недели'!$D$4,D1667&lt;&gt;"",G1667&lt;&gt;"Отменён"),COUNTIFS($B$5:B1667,"&gt;="&amp;'План недели'!$B$4,$B$5:B1667,"&lt;"&amp;'План недели'!$D$4,$D$5:D1667,"&lt;&gt;",$G$5:G1667,"&lt;&gt;Отменён"),"")</f>
        <v/>
      </c>
    </row>
    <row r="1668" spans="1:11">
      <c r="A1668" t="str">
        <f>IF(B1668="","","VIS_"&amp;(YEAR(B1668)*10000+MONTH(B1668)*100+DAY(B1668))&amp;"_"&amp;IF(COUNTIF($B$5:B1668,B1668)&lt;10,"00"&amp;COUNTIF($B$5:B1668,B1668),IF(COUNTIF($B$5:B1668,B1668)&lt;100,"0"&amp;COUNTIF($B$5:B1668,B1668),COUNTIF($B$5:B1668,B1668))))</f>
        <v>VIS_20300530_001</v>
      </c>
      <c r="B1668" s="40">
        <v>47633</v>
      </c>
      <c r="C1668" s="47" t="str">
        <f t="shared" si="50"/>
        <v>Чт</v>
      </c>
      <c r="I1668" s="46"/>
      <c r="J1668" s="39">
        <f t="shared" si="51"/>
        <v>47632</v>
      </c>
      <c r="K1668" t="str">
        <f ca="1">IF(AND(B1668&gt;='План недели'!$B$4,B1668&lt;'План недели'!$D$4,D1668&lt;&gt;"",G1668&lt;&gt;"Отменён"),COUNTIFS($B$5:B1668,"&gt;="&amp;'План недели'!$B$4,$B$5:B1668,"&lt;"&amp;'План недели'!$D$4,$D$5:D1668,"&lt;&gt;",$G$5:G1668,"&lt;&gt;Отменён"),"")</f>
        <v/>
      </c>
    </row>
    <row r="1669" spans="1:11">
      <c r="A1669" t="str">
        <f>IF(B1669="","","VIS_"&amp;(YEAR(B1669)*10000+MONTH(B1669)*100+DAY(B1669))&amp;"_"&amp;IF(COUNTIF($B$5:B1669,B1669)&lt;10,"00"&amp;COUNTIF($B$5:B1669,B1669),IF(COUNTIF($B$5:B1669,B1669)&lt;100,"0"&amp;COUNTIF($B$5:B1669,B1669),COUNTIF($B$5:B1669,B1669))))</f>
        <v>VIS_20300531_001</v>
      </c>
      <c r="B1669" s="40">
        <v>47634</v>
      </c>
      <c r="C1669" s="47" t="str">
        <f t="shared" ref="C1669:C1732" si="52">IF(B1669="","",CHOOSE(WEEKDAY(B1669,2),"Пн","Вт","Ср","Чт","Пт","Сб","Вс"))</f>
        <v>Пт</v>
      </c>
      <c r="I1669" s="46"/>
      <c r="J1669" s="39">
        <f t="shared" ref="J1669:J1732" si="53">IF(B1669="","",B1669-MOD(WEEKDAY(B1669,2)-3,7))</f>
        <v>47632</v>
      </c>
      <c r="K1669" t="str">
        <f ca="1">IF(AND(B1669&gt;='План недели'!$B$4,B1669&lt;'План недели'!$D$4,D1669&lt;&gt;"",G1669&lt;&gt;"Отменён"),COUNTIFS($B$5:B1669,"&gt;="&amp;'План недели'!$B$4,$B$5:B1669,"&lt;"&amp;'План недели'!$D$4,$D$5:D1669,"&lt;&gt;",$G$5:G1669,"&lt;&gt;Отменён"),"")</f>
        <v/>
      </c>
    </row>
    <row r="1670" spans="1:11">
      <c r="A1670" t="str">
        <f>IF(B1670="","","VIS_"&amp;(YEAR(B1670)*10000+MONTH(B1670)*100+DAY(B1670))&amp;"_"&amp;IF(COUNTIF($B$5:B1670,B1670)&lt;10,"00"&amp;COUNTIF($B$5:B1670,B1670),IF(COUNTIF($B$5:B1670,B1670)&lt;100,"0"&amp;COUNTIF($B$5:B1670,B1670),COUNTIF($B$5:B1670,B1670))))</f>
        <v>VIS_20300601_001</v>
      </c>
      <c r="B1670" s="42">
        <v>47635</v>
      </c>
      <c r="C1670" s="49" t="str">
        <f t="shared" si="52"/>
        <v>Сб</v>
      </c>
      <c r="I1670" s="46"/>
      <c r="J1670" s="39">
        <f t="shared" si="53"/>
        <v>47632</v>
      </c>
      <c r="K1670" t="str">
        <f ca="1">IF(AND(B1670&gt;='План недели'!$B$4,B1670&lt;'План недели'!$D$4,D1670&lt;&gt;"",G1670&lt;&gt;"Отменён"),COUNTIFS($B$5:B1670,"&gt;="&amp;'План недели'!$B$4,$B$5:B1670,"&lt;"&amp;'План недели'!$D$4,$D$5:D1670,"&lt;&gt;",$G$5:G1670,"&lt;&gt;Отменён"),"")</f>
        <v/>
      </c>
    </row>
    <row r="1671" spans="1:11">
      <c r="A1671" t="str">
        <f>IF(B1671="","","VIS_"&amp;(YEAR(B1671)*10000+MONTH(B1671)*100+DAY(B1671))&amp;"_"&amp;IF(COUNTIF($B$5:B1671,B1671)&lt;10,"00"&amp;COUNTIF($B$5:B1671,B1671),IF(COUNTIF($B$5:B1671,B1671)&lt;100,"0"&amp;COUNTIF($B$5:B1671,B1671),COUNTIF($B$5:B1671,B1671))))</f>
        <v>VIS_20300602_001</v>
      </c>
      <c r="B1671" s="42">
        <v>47636</v>
      </c>
      <c r="C1671" s="49" t="str">
        <f t="shared" si="52"/>
        <v>Вс</v>
      </c>
      <c r="I1671" s="46"/>
      <c r="J1671" s="39">
        <f t="shared" si="53"/>
        <v>47632</v>
      </c>
      <c r="K1671" t="str">
        <f ca="1">IF(AND(B1671&gt;='План недели'!$B$4,B1671&lt;'План недели'!$D$4,D1671&lt;&gt;"",G1671&lt;&gt;"Отменён"),COUNTIFS($B$5:B1671,"&gt;="&amp;'План недели'!$B$4,$B$5:B1671,"&lt;"&amp;'План недели'!$D$4,$D$5:D1671,"&lt;&gt;",$G$5:G1671,"&lt;&gt;Отменён"),"")</f>
        <v/>
      </c>
    </row>
    <row r="1672" spans="1:11">
      <c r="A1672" t="str">
        <f>IF(B1672="","","VIS_"&amp;(YEAR(B1672)*10000+MONTH(B1672)*100+DAY(B1672))&amp;"_"&amp;IF(COUNTIF($B$5:B1672,B1672)&lt;10,"00"&amp;COUNTIF($B$5:B1672,B1672),IF(COUNTIF($B$5:B1672,B1672)&lt;100,"0"&amp;COUNTIF($B$5:B1672,B1672),COUNTIF($B$5:B1672,B1672))))</f>
        <v>VIS_20300603_001</v>
      </c>
      <c r="B1672" s="40">
        <v>47637</v>
      </c>
      <c r="C1672" s="47" t="str">
        <f t="shared" si="52"/>
        <v>Пн</v>
      </c>
      <c r="I1672" s="46"/>
      <c r="J1672" s="39">
        <f t="shared" si="53"/>
        <v>47632</v>
      </c>
      <c r="K1672" t="str">
        <f ca="1">IF(AND(B1672&gt;='План недели'!$B$4,B1672&lt;'План недели'!$D$4,D1672&lt;&gt;"",G1672&lt;&gt;"Отменён"),COUNTIFS($B$5:B1672,"&gt;="&amp;'План недели'!$B$4,$B$5:B1672,"&lt;"&amp;'План недели'!$D$4,$D$5:D1672,"&lt;&gt;",$G$5:G1672,"&lt;&gt;Отменён"),"")</f>
        <v/>
      </c>
    </row>
    <row r="1673" spans="1:11">
      <c r="A1673" t="str">
        <f>IF(B1673="","","VIS_"&amp;(YEAR(B1673)*10000+MONTH(B1673)*100+DAY(B1673))&amp;"_"&amp;IF(COUNTIF($B$5:B1673,B1673)&lt;10,"00"&amp;COUNTIF($B$5:B1673,B1673),IF(COUNTIF($B$5:B1673,B1673)&lt;100,"0"&amp;COUNTIF($B$5:B1673,B1673),COUNTIF($B$5:B1673,B1673))))</f>
        <v>VIS_20300604_001</v>
      </c>
      <c r="B1673" s="40">
        <v>47638</v>
      </c>
      <c r="C1673" s="47" t="str">
        <f t="shared" si="52"/>
        <v>Вт</v>
      </c>
      <c r="I1673" s="46"/>
      <c r="J1673" s="39">
        <f t="shared" si="53"/>
        <v>47632</v>
      </c>
      <c r="K1673" t="str">
        <f ca="1">IF(AND(B1673&gt;='План недели'!$B$4,B1673&lt;'План недели'!$D$4,D1673&lt;&gt;"",G1673&lt;&gt;"Отменён"),COUNTIFS($B$5:B1673,"&gt;="&amp;'План недели'!$B$4,$B$5:B1673,"&lt;"&amp;'План недели'!$D$4,$D$5:D1673,"&lt;&gt;",$G$5:G1673,"&lt;&gt;Отменён"),"")</f>
        <v/>
      </c>
    </row>
    <row r="1674" spans="1:11">
      <c r="A1674" t="str">
        <f>IF(B1674="","","VIS_"&amp;(YEAR(B1674)*10000+MONTH(B1674)*100+DAY(B1674))&amp;"_"&amp;IF(COUNTIF($B$5:B1674,B1674)&lt;10,"00"&amp;COUNTIF($B$5:B1674,B1674),IF(COUNTIF($B$5:B1674,B1674)&lt;100,"0"&amp;COUNTIF($B$5:B1674,B1674),COUNTIF($B$5:B1674,B1674))))</f>
        <v>VIS_20300605_001</v>
      </c>
      <c r="B1674" s="40">
        <v>47639</v>
      </c>
      <c r="C1674" s="47" t="str">
        <f t="shared" si="52"/>
        <v>Ср</v>
      </c>
      <c r="I1674" s="46"/>
      <c r="J1674" s="39">
        <f t="shared" si="53"/>
        <v>47639</v>
      </c>
      <c r="K1674" t="str">
        <f ca="1">IF(AND(B1674&gt;='План недели'!$B$4,B1674&lt;'План недели'!$D$4,D1674&lt;&gt;"",G1674&lt;&gt;"Отменён"),COUNTIFS($B$5:B1674,"&gt;="&amp;'План недели'!$B$4,$B$5:B1674,"&lt;"&amp;'План недели'!$D$4,$D$5:D1674,"&lt;&gt;",$G$5:G1674,"&lt;&gt;Отменён"),"")</f>
        <v/>
      </c>
    </row>
    <row r="1675" spans="1:11">
      <c r="A1675" t="str">
        <f>IF(B1675="","","VIS_"&amp;(YEAR(B1675)*10000+MONTH(B1675)*100+DAY(B1675))&amp;"_"&amp;IF(COUNTIF($B$5:B1675,B1675)&lt;10,"00"&amp;COUNTIF($B$5:B1675,B1675),IF(COUNTIF($B$5:B1675,B1675)&lt;100,"0"&amp;COUNTIF($B$5:B1675,B1675),COUNTIF($B$5:B1675,B1675))))</f>
        <v>VIS_20300606_001</v>
      </c>
      <c r="B1675" s="40">
        <v>47640</v>
      </c>
      <c r="C1675" s="47" t="str">
        <f t="shared" si="52"/>
        <v>Чт</v>
      </c>
      <c r="I1675" s="46"/>
      <c r="J1675" s="39">
        <f t="shared" si="53"/>
        <v>47639</v>
      </c>
      <c r="K1675" t="str">
        <f ca="1">IF(AND(B1675&gt;='План недели'!$B$4,B1675&lt;'План недели'!$D$4,D1675&lt;&gt;"",G1675&lt;&gt;"Отменён"),COUNTIFS($B$5:B1675,"&gt;="&amp;'План недели'!$B$4,$B$5:B1675,"&lt;"&amp;'План недели'!$D$4,$D$5:D1675,"&lt;&gt;",$G$5:G1675,"&lt;&gt;Отменён"),"")</f>
        <v/>
      </c>
    </row>
    <row r="1676" spans="1:11">
      <c r="A1676" t="str">
        <f>IF(B1676="","","VIS_"&amp;(YEAR(B1676)*10000+MONTH(B1676)*100+DAY(B1676))&amp;"_"&amp;IF(COUNTIF($B$5:B1676,B1676)&lt;10,"00"&amp;COUNTIF($B$5:B1676,B1676),IF(COUNTIF($B$5:B1676,B1676)&lt;100,"0"&amp;COUNTIF($B$5:B1676,B1676),COUNTIF($B$5:B1676,B1676))))</f>
        <v>VIS_20300607_001</v>
      </c>
      <c r="B1676" s="40">
        <v>47641</v>
      </c>
      <c r="C1676" s="47" t="str">
        <f t="shared" si="52"/>
        <v>Пт</v>
      </c>
      <c r="I1676" s="46"/>
      <c r="J1676" s="39">
        <f t="shared" si="53"/>
        <v>47639</v>
      </c>
      <c r="K1676" t="str">
        <f ca="1">IF(AND(B1676&gt;='План недели'!$B$4,B1676&lt;'План недели'!$D$4,D1676&lt;&gt;"",G1676&lt;&gt;"Отменён"),COUNTIFS($B$5:B1676,"&gt;="&amp;'План недели'!$B$4,$B$5:B1676,"&lt;"&amp;'План недели'!$D$4,$D$5:D1676,"&lt;&gt;",$G$5:G1676,"&lt;&gt;Отменён"),"")</f>
        <v/>
      </c>
    </row>
    <row r="1677" spans="1:11">
      <c r="A1677" t="str">
        <f>IF(B1677="","","VIS_"&amp;(YEAR(B1677)*10000+MONTH(B1677)*100+DAY(B1677))&amp;"_"&amp;IF(COUNTIF($B$5:B1677,B1677)&lt;10,"00"&amp;COUNTIF($B$5:B1677,B1677),IF(COUNTIF($B$5:B1677,B1677)&lt;100,"0"&amp;COUNTIF($B$5:B1677,B1677),COUNTIF($B$5:B1677,B1677))))</f>
        <v>VIS_20300608_001</v>
      </c>
      <c r="B1677" s="42">
        <v>47642</v>
      </c>
      <c r="C1677" s="49" t="str">
        <f t="shared" si="52"/>
        <v>Сб</v>
      </c>
      <c r="I1677" s="46"/>
      <c r="J1677" s="39">
        <f t="shared" si="53"/>
        <v>47639</v>
      </c>
      <c r="K1677" t="str">
        <f ca="1">IF(AND(B1677&gt;='План недели'!$B$4,B1677&lt;'План недели'!$D$4,D1677&lt;&gt;"",G1677&lt;&gt;"Отменён"),COUNTIFS($B$5:B1677,"&gt;="&amp;'План недели'!$B$4,$B$5:B1677,"&lt;"&amp;'План недели'!$D$4,$D$5:D1677,"&lt;&gt;",$G$5:G1677,"&lt;&gt;Отменён"),"")</f>
        <v/>
      </c>
    </row>
    <row r="1678" spans="1:11">
      <c r="A1678" t="str">
        <f>IF(B1678="","","VIS_"&amp;(YEAR(B1678)*10000+MONTH(B1678)*100+DAY(B1678))&amp;"_"&amp;IF(COUNTIF($B$5:B1678,B1678)&lt;10,"00"&amp;COUNTIF($B$5:B1678,B1678),IF(COUNTIF($B$5:B1678,B1678)&lt;100,"0"&amp;COUNTIF($B$5:B1678,B1678),COUNTIF($B$5:B1678,B1678))))</f>
        <v>VIS_20300609_001</v>
      </c>
      <c r="B1678" s="42">
        <v>47643</v>
      </c>
      <c r="C1678" s="49" t="str">
        <f t="shared" si="52"/>
        <v>Вс</v>
      </c>
      <c r="I1678" s="46"/>
      <c r="J1678" s="39">
        <f t="shared" si="53"/>
        <v>47639</v>
      </c>
      <c r="K1678" t="str">
        <f ca="1">IF(AND(B1678&gt;='План недели'!$B$4,B1678&lt;'План недели'!$D$4,D1678&lt;&gt;"",G1678&lt;&gt;"Отменён"),COUNTIFS($B$5:B1678,"&gt;="&amp;'План недели'!$B$4,$B$5:B1678,"&lt;"&amp;'План недели'!$D$4,$D$5:D1678,"&lt;&gt;",$G$5:G1678,"&lt;&gt;Отменён"),"")</f>
        <v/>
      </c>
    </row>
    <row r="1679" spans="1:11">
      <c r="A1679" t="str">
        <f>IF(B1679="","","VIS_"&amp;(YEAR(B1679)*10000+MONTH(B1679)*100+DAY(B1679))&amp;"_"&amp;IF(COUNTIF($B$5:B1679,B1679)&lt;10,"00"&amp;COUNTIF($B$5:B1679,B1679),IF(COUNTIF($B$5:B1679,B1679)&lt;100,"0"&amp;COUNTIF($B$5:B1679,B1679),COUNTIF($B$5:B1679,B1679))))</f>
        <v>VIS_20300610_001</v>
      </c>
      <c r="B1679" s="40">
        <v>47644</v>
      </c>
      <c r="C1679" s="47" t="str">
        <f t="shared" si="52"/>
        <v>Пн</v>
      </c>
      <c r="I1679" s="46"/>
      <c r="J1679" s="39">
        <f t="shared" si="53"/>
        <v>47639</v>
      </c>
      <c r="K1679" t="str">
        <f ca="1">IF(AND(B1679&gt;='План недели'!$B$4,B1679&lt;'План недели'!$D$4,D1679&lt;&gt;"",G1679&lt;&gt;"Отменён"),COUNTIFS($B$5:B1679,"&gt;="&amp;'План недели'!$B$4,$B$5:B1679,"&lt;"&amp;'План недели'!$D$4,$D$5:D1679,"&lt;&gt;",$G$5:G1679,"&lt;&gt;Отменён"),"")</f>
        <v/>
      </c>
    </row>
    <row r="1680" spans="1:11">
      <c r="A1680" t="str">
        <f>IF(B1680="","","VIS_"&amp;(YEAR(B1680)*10000+MONTH(B1680)*100+DAY(B1680))&amp;"_"&amp;IF(COUNTIF($B$5:B1680,B1680)&lt;10,"00"&amp;COUNTIF($B$5:B1680,B1680),IF(COUNTIF($B$5:B1680,B1680)&lt;100,"0"&amp;COUNTIF($B$5:B1680,B1680),COUNTIF($B$5:B1680,B1680))))</f>
        <v>VIS_20300611_001</v>
      </c>
      <c r="B1680" s="40">
        <v>47645</v>
      </c>
      <c r="C1680" s="47" t="str">
        <f t="shared" si="52"/>
        <v>Вт</v>
      </c>
      <c r="I1680" s="46"/>
      <c r="J1680" s="39">
        <f t="shared" si="53"/>
        <v>47639</v>
      </c>
      <c r="K1680" t="str">
        <f ca="1">IF(AND(B1680&gt;='План недели'!$B$4,B1680&lt;'План недели'!$D$4,D1680&lt;&gt;"",G1680&lt;&gt;"Отменён"),COUNTIFS($B$5:B1680,"&gt;="&amp;'План недели'!$B$4,$B$5:B1680,"&lt;"&amp;'План недели'!$D$4,$D$5:D1680,"&lt;&gt;",$G$5:G1680,"&lt;&gt;Отменён"),"")</f>
        <v/>
      </c>
    </row>
    <row r="1681" spans="1:11">
      <c r="A1681" t="str">
        <f>IF(B1681="","","VIS_"&amp;(YEAR(B1681)*10000+MONTH(B1681)*100+DAY(B1681))&amp;"_"&amp;IF(COUNTIF($B$5:B1681,B1681)&lt;10,"00"&amp;COUNTIF($B$5:B1681,B1681),IF(COUNTIF($B$5:B1681,B1681)&lt;100,"0"&amp;COUNTIF($B$5:B1681,B1681),COUNTIF($B$5:B1681,B1681))))</f>
        <v>VIS_20300612_001</v>
      </c>
      <c r="B1681" s="40">
        <v>47646</v>
      </c>
      <c r="C1681" s="47" t="str">
        <f t="shared" si="52"/>
        <v>Ср</v>
      </c>
      <c r="I1681" s="46"/>
      <c r="J1681" s="39">
        <f t="shared" si="53"/>
        <v>47646</v>
      </c>
      <c r="K1681" t="str">
        <f ca="1">IF(AND(B1681&gt;='План недели'!$B$4,B1681&lt;'План недели'!$D$4,D1681&lt;&gt;"",G1681&lt;&gt;"Отменён"),COUNTIFS($B$5:B1681,"&gt;="&amp;'План недели'!$B$4,$B$5:B1681,"&lt;"&amp;'План недели'!$D$4,$D$5:D1681,"&lt;&gt;",$G$5:G1681,"&lt;&gt;Отменён"),"")</f>
        <v/>
      </c>
    </row>
    <row r="1682" spans="1:11">
      <c r="A1682" t="str">
        <f>IF(B1682="","","VIS_"&amp;(YEAR(B1682)*10000+MONTH(B1682)*100+DAY(B1682))&amp;"_"&amp;IF(COUNTIF($B$5:B1682,B1682)&lt;10,"00"&amp;COUNTIF($B$5:B1682,B1682),IF(COUNTIF($B$5:B1682,B1682)&lt;100,"0"&amp;COUNTIF($B$5:B1682,B1682),COUNTIF($B$5:B1682,B1682))))</f>
        <v>VIS_20300613_001</v>
      </c>
      <c r="B1682" s="40">
        <v>47647</v>
      </c>
      <c r="C1682" s="47" t="str">
        <f t="shared" si="52"/>
        <v>Чт</v>
      </c>
      <c r="I1682" s="46"/>
      <c r="J1682" s="39">
        <f t="shared" si="53"/>
        <v>47646</v>
      </c>
      <c r="K1682" t="str">
        <f ca="1">IF(AND(B1682&gt;='План недели'!$B$4,B1682&lt;'План недели'!$D$4,D1682&lt;&gt;"",G1682&lt;&gt;"Отменён"),COUNTIFS($B$5:B1682,"&gt;="&amp;'План недели'!$B$4,$B$5:B1682,"&lt;"&amp;'План недели'!$D$4,$D$5:D1682,"&lt;&gt;",$G$5:G1682,"&lt;&gt;Отменён"),"")</f>
        <v/>
      </c>
    </row>
    <row r="1683" spans="1:11">
      <c r="A1683" t="str">
        <f>IF(B1683="","","VIS_"&amp;(YEAR(B1683)*10000+MONTH(B1683)*100+DAY(B1683))&amp;"_"&amp;IF(COUNTIF($B$5:B1683,B1683)&lt;10,"00"&amp;COUNTIF($B$5:B1683,B1683),IF(COUNTIF($B$5:B1683,B1683)&lt;100,"0"&amp;COUNTIF($B$5:B1683,B1683),COUNTIF($B$5:B1683,B1683))))</f>
        <v>VIS_20300614_001</v>
      </c>
      <c r="B1683" s="40">
        <v>47648</v>
      </c>
      <c r="C1683" s="47" t="str">
        <f t="shared" si="52"/>
        <v>Пт</v>
      </c>
      <c r="I1683" s="46"/>
      <c r="J1683" s="39">
        <f t="shared" si="53"/>
        <v>47646</v>
      </c>
      <c r="K1683" t="str">
        <f ca="1">IF(AND(B1683&gt;='План недели'!$B$4,B1683&lt;'План недели'!$D$4,D1683&lt;&gt;"",G1683&lt;&gt;"Отменён"),COUNTIFS($B$5:B1683,"&gt;="&amp;'План недели'!$B$4,$B$5:B1683,"&lt;"&amp;'План недели'!$D$4,$D$5:D1683,"&lt;&gt;",$G$5:G1683,"&lt;&gt;Отменён"),"")</f>
        <v/>
      </c>
    </row>
    <row r="1684" spans="1:11">
      <c r="A1684" t="str">
        <f>IF(B1684="","","VIS_"&amp;(YEAR(B1684)*10000+MONTH(B1684)*100+DAY(B1684))&amp;"_"&amp;IF(COUNTIF($B$5:B1684,B1684)&lt;10,"00"&amp;COUNTIF($B$5:B1684,B1684),IF(COUNTIF($B$5:B1684,B1684)&lt;100,"0"&amp;COUNTIF($B$5:B1684,B1684),COUNTIF($B$5:B1684,B1684))))</f>
        <v>VIS_20300615_001</v>
      </c>
      <c r="B1684" s="42">
        <v>47649</v>
      </c>
      <c r="C1684" s="49" t="str">
        <f t="shared" si="52"/>
        <v>Сб</v>
      </c>
      <c r="I1684" s="46"/>
      <c r="J1684" s="39">
        <f t="shared" si="53"/>
        <v>47646</v>
      </c>
      <c r="K1684" t="str">
        <f ca="1">IF(AND(B1684&gt;='План недели'!$B$4,B1684&lt;'План недели'!$D$4,D1684&lt;&gt;"",G1684&lt;&gt;"Отменён"),COUNTIFS($B$5:B1684,"&gt;="&amp;'План недели'!$B$4,$B$5:B1684,"&lt;"&amp;'План недели'!$D$4,$D$5:D1684,"&lt;&gt;",$G$5:G1684,"&lt;&gt;Отменён"),"")</f>
        <v/>
      </c>
    </row>
    <row r="1685" spans="1:11">
      <c r="A1685" t="str">
        <f>IF(B1685="","","VIS_"&amp;(YEAR(B1685)*10000+MONTH(B1685)*100+DAY(B1685))&amp;"_"&amp;IF(COUNTIF($B$5:B1685,B1685)&lt;10,"00"&amp;COUNTIF($B$5:B1685,B1685),IF(COUNTIF($B$5:B1685,B1685)&lt;100,"0"&amp;COUNTIF($B$5:B1685,B1685),COUNTIF($B$5:B1685,B1685))))</f>
        <v>VIS_20300616_001</v>
      </c>
      <c r="B1685" s="42">
        <v>47650</v>
      </c>
      <c r="C1685" s="49" t="str">
        <f t="shared" si="52"/>
        <v>Вс</v>
      </c>
      <c r="I1685" s="46"/>
      <c r="J1685" s="39">
        <f t="shared" si="53"/>
        <v>47646</v>
      </c>
      <c r="K1685" t="str">
        <f ca="1">IF(AND(B1685&gt;='План недели'!$B$4,B1685&lt;'План недели'!$D$4,D1685&lt;&gt;"",G1685&lt;&gt;"Отменён"),COUNTIFS($B$5:B1685,"&gt;="&amp;'План недели'!$B$4,$B$5:B1685,"&lt;"&amp;'План недели'!$D$4,$D$5:D1685,"&lt;&gt;",$G$5:G1685,"&lt;&gt;Отменён"),"")</f>
        <v/>
      </c>
    </row>
    <row r="1686" spans="1:11">
      <c r="A1686" t="str">
        <f>IF(B1686="","","VIS_"&amp;(YEAR(B1686)*10000+MONTH(B1686)*100+DAY(B1686))&amp;"_"&amp;IF(COUNTIF($B$5:B1686,B1686)&lt;10,"00"&amp;COUNTIF($B$5:B1686,B1686),IF(COUNTIF($B$5:B1686,B1686)&lt;100,"0"&amp;COUNTIF($B$5:B1686,B1686),COUNTIF($B$5:B1686,B1686))))</f>
        <v>VIS_20300617_001</v>
      </c>
      <c r="B1686" s="40">
        <v>47651</v>
      </c>
      <c r="C1686" s="47" t="str">
        <f t="shared" si="52"/>
        <v>Пн</v>
      </c>
      <c r="I1686" s="46"/>
      <c r="J1686" s="39">
        <f t="shared" si="53"/>
        <v>47646</v>
      </c>
      <c r="K1686" t="str">
        <f ca="1">IF(AND(B1686&gt;='План недели'!$B$4,B1686&lt;'План недели'!$D$4,D1686&lt;&gt;"",G1686&lt;&gt;"Отменён"),COUNTIFS($B$5:B1686,"&gt;="&amp;'План недели'!$B$4,$B$5:B1686,"&lt;"&amp;'План недели'!$D$4,$D$5:D1686,"&lt;&gt;",$G$5:G1686,"&lt;&gt;Отменён"),"")</f>
        <v/>
      </c>
    </row>
    <row r="1687" spans="1:11">
      <c r="A1687" t="str">
        <f>IF(B1687="","","VIS_"&amp;(YEAR(B1687)*10000+MONTH(B1687)*100+DAY(B1687))&amp;"_"&amp;IF(COUNTIF($B$5:B1687,B1687)&lt;10,"00"&amp;COUNTIF($B$5:B1687,B1687),IF(COUNTIF($B$5:B1687,B1687)&lt;100,"0"&amp;COUNTIF($B$5:B1687,B1687),COUNTIF($B$5:B1687,B1687))))</f>
        <v>VIS_20300618_001</v>
      </c>
      <c r="B1687" s="40">
        <v>47652</v>
      </c>
      <c r="C1687" s="47" t="str">
        <f t="shared" si="52"/>
        <v>Вт</v>
      </c>
      <c r="I1687" s="46"/>
      <c r="J1687" s="39">
        <f t="shared" si="53"/>
        <v>47646</v>
      </c>
      <c r="K1687" t="str">
        <f ca="1">IF(AND(B1687&gt;='План недели'!$B$4,B1687&lt;'План недели'!$D$4,D1687&lt;&gt;"",G1687&lt;&gt;"Отменён"),COUNTIFS($B$5:B1687,"&gt;="&amp;'План недели'!$B$4,$B$5:B1687,"&lt;"&amp;'План недели'!$D$4,$D$5:D1687,"&lt;&gt;",$G$5:G1687,"&lt;&gt;Отменён"),"")</f>
        <v/>
      </c>
    </row>
    <row r="1688" spans="1:11">
      <c r="A1688" t="str">
        <f>IF(B1688="","","VIS_"&amp;(YEAR(B1688)*10000+MONTH(B1688)*100+DAY(B1688))&amp;"_"&amp;IF(COUNTIF($B$5:B1688,B1688)&lt;10,"00"&amp;COUNTIF($B$5:B1688,B1688),IF(COUNTIF($B$5:B1688,B1688)&lt;100,"0"&amp;COUNTIF($B$5:B1688,B1688),COUNTIF($B$5:B1688,B1688))))</f>
        <v>VIS_20300619_001</v>
      </c>
      <c r="B1688" s="40">
        <v>47653</v>
      </c>
      <c r="C1688" s="47" t="str">
        <f t="shared" si="52"/>
        <v>Ср</v>
      </c>
      <c r="I1688" s="46"/>
      <c r="J1688" s="39">
        <f t="shared" si="53"/>
        <v>47653</v>
      </c>
      <c r="K1688" t="str">
        <f ca="1">IF(AND(B1688&gt;='План недели'!$B$4,B1688&lt;'План недели'!$D$4,D1688&lt;&gt;"",G1688&lt;&gt;"Отменён"),COUNTIFS($B$5:B1688,"&gt;="&amp;'План недели'!$B$4,$B$5:B1688,"&lt;"&amp;'План недели'!$D$4,$D$5:D1688,"&lt;&gt;",$G$5:G1688,"&lt;&gt;Отменён"),"")</f>
        <v/>
      </c>
    </row>
    <row r="1689" spans="1:11">
      <c r="A1689" t="str">
        <f>IF(B1689="","","VIS_"&amp;(YEAR(B1689)*10000+MONTH(B1689)*100+DAY(B1689))&amp;"_"&amp;IF(COUNTIF($B$5:B1689,B1689)&lt;10,"00"&amp;COUNTIF($B$5:B1689,B1689),IF(COUNTIF($B$5:B1689,B1689)&lt;100,"0"&amp;COUNTIF($B$5:B1689,B1689),COUNTIF($B$5:B1689,B1689))))</f>
        <v>VIS_20300620_001</v>
      </c>
      <c r="B1689" s="40">
        <v>47654</v>
      </c>
      <c r="C1689" s="47" t="str">
        <f t="shared" si="52"/>
        <v>Чт</v>
      </c>
      <c r="I1689" s="46"/>
      <c r="J1689" s="39">
        <f t="shared" si="53"/>
        <v>47653</v>
      </c>
      <c r="K1689" t="str">
        <f ca="1">IF(AND(B1689&gt;='План недели'!$B$4,B1689&lt;'План недели'!$D$4,D1689&lt;&gt;"",G1689&lt;&gt;"Отменён"),COUNTIFS($B$5:B1689,"&gt;="&amp;'План недели'!$B$4,$B$5:B1689,"&lt;"&amp;'План недели'!$D$4,$D$5:D1689,"&lt;&gt;",$G$5:G1689,"&lt;&gt;Отменён"),"")</f>
        <v/>
      </c>
    </row>
    <row r="1690" spans="1:11">
      <c r="A1690" t="str">
        <f>IF(B1690="","","VIS_"&amp;(YEAR(B1690)*10000+MONTH(B1690)*100+DAY(B1690))&amp;"_"&amp;IF(COUNTIF($B$5:B1690,B1690)&lt;10,"00"&amp;COUNTIF($B$5:B1690,B1690),IF(COUNTIF($B$5:B1690,B1690)&lt;100,"0"&amp;COUNTIF($B$5:B1690,B1690),COUNTIF($B$5:B1690,B1690))))</f>
        <v>VIS_20300621_001</v>
      </c>
      <c r="B1690" s="40">
        <v>47655</v>
      </c>
      <c r="C1690" s="47" t="str">
        <f t="shared" si="52"/>
        <v>Пт</v>
      </c>
      <c r="I1690" s="46"/>
      <c r="J1690" s="39">
        <f t="shared" si="53"/>
        <v>47653</v>
      </c>
      <c r="K1690" t="str">
        <f ca="1">IF(AND(B1690&gt;='План недели'!$B$4,B1690&lt;'План недели'!$D$4,D1690&lt;&gt;"",G1690&lt;&gt;"Отменён"),COUNTIFS($B$5:B1690,"&gt;="&amp;'План недели'!$B$4,$B$5:B1690,"&lt;"&amp;'План недели'!$D$4,$D$5:D1690,"&lt;&gt;",$G$5:G1690,"&lt;&gt;Отменён"),"")</f>
        <v/>
      </c>
    </row>
    <row r="1691" spans="1:11">
      <c r="A1691" t="str">
        <f>IF(B1691="","","VIS_"&amp;(YEAR(B1691)*10000+MONTH(B1691)*100+DAY(B1691))&amp;"_"&amp;IF(COUNTIF($B$5:B1691,B1691)&lt;10,"00"&amp;COUNTIF($B$5:B1691,B1691),IF(COUNTIF($B$5:B1691,B1691)&lt;100,"0"&amp;COUNTIF($B$5:B1691,B1691),COUNTIF($B$5:B1691,B1691))))</f>
        <v>VIS_20300622_001</v>
      </c>
      <c r="B1691" s="42">
        <v>47656</v>
      </c>
      <c r="C1691" s="49" t="str">
        <f t="shared" si="52"/>
        <v>Сб</v>
      </c>
      <c r="I1691" s="46"/>
      <c r="J1691" s="39">
        <f t="shared" si="53"/>
        <v>47653</v>
      </c>
      <c r="K1691" t="str">
        <f ca="1">IF(AND(B1691&gt;='План недели'!$B$4,B1691&lt;'План недели'!$D$4,D1691&lt;&gt;"",G1691&lt;&gt;"Отменён"),COUNTIFS($B$5:B1691,"&gt;="&amp;'План недели'!$B$4,$B$5:B1691,"&lt;"&amp;'План недели'!$D$4,$D$5:D1691,"&lt;&gt;",$G$5:G1691,"&lt;&gt;Отменён"),"")</f>
        <v/>
      </c>
    </row>
    <row r="1692" spans="1:11">
      <c r="A1692" t="str">
        <f>IF(B1692="","","VIS_"&amp;(YEAR(B1692)*10000+MONTH(B1692)*100+DAY(B1692))&amp;"_"&amp;IF(COUNTIF($B$5:B1692,B1692)&lt;10,"00"&amp;COUNTIF($B$5:B1692,B1692),IF(COUNTIF($B$5:B1692,B1692)&lt;100,"0"&amp;COUNTIF($B$5:B1692,B1692),COUNTIF($B$5:B1692,B1692))))</f>
        <v>VIS_20300623_001</v>
      </c>
      <c r="B1692" s="42">
        <v>47657</v>
      </c>
      <c r="C1692" s="49" t="str">
        <f t="shared" si="52"/>
        <v>Вс</v>
      </c>
      <c r="I1692" s="46"/>
      <c r="J1692" s="39">
        <f t="shared" si="53"/>
        <v>47653</v>
      </c>
      <c r="K1692" t="str">
        <f ca="1">IF(AND(B1692&gt;='План недели'!$B$4,B1692&lt;'План недели'!$D$4,D1692&lt;&gt;"",G1692&lt;&gt;"Отменён"),COUNTIFS($B$5:B1692,"&gt;="&amp;'План недели'!$B$4,$B$5:B1692,"&lt;"&amp;'План недели'!$D$4,$D$5:D1692,"&lt;&gt;",$G$5:G1692,"&lt;&gt;Отменён"),"")</f>
        <v/>
      </c>
    </row>
    <row r="1693" spans="1:11">
      <c r="A1693" t="str">
        <f>IF(B1693="","","VIS_"&amp;(YEAR(B1693)*10000+MONTH(B1693)*100+DAY(B1693))&amp;"_"&amp;IF(COUNTIF($B$5:B1693,B1693)&lt;10,"00"&amp;COUNTIF($B$5:B1693,B1693),IF(COUNTIF($B$5:B1693,B1693)&lt;100,"0"&amp;COUNTIF($B$5:B1693,B1693),COUNTIF($B$5:B1693,B1693))))</f>
        <v>VIS_20300624_001</v>
      </c>
      <c r="B1693" s="40">
        <v>47658</v>
      </c>
      <c r="C1693" s="47" t="str">
        <f t="shared" si="52"/>
        <v>Пн</v>
      </c>
      <c r="I1693" s="46"/>
      <c r="J1693" s="39">
        <f t="shared" si="53"/>
        <v>47653</v>
      </c>
      <c r="K1693" t="str">
        <f ca="1">IF(AND(B1693&gt;='План недели'!$B$4,B1693&lt;'План недели'!$D$4,D1693&lt;&gt;"",G1693&lt;&gt;"Отменён"),COUNTIFS($B$5:B1693,"&gt;="&amp;'План недели'!$B$4,$B$5:B1693,"&lt;"&amp;'План недели'!$D$4,$D$5:D1693,"&lt;&gt;",$G$5:G1693,"&lt;&gt;Отменён"),"")</f>
        <v/>
      </c>
    </row>
    <row r="1694" spans="1:11">
      <c r="A1694" t="str">
        <f>IF(B1694="","","VIS_"&amp;(YEAR(B1694)*10000+MONTH(B1694)*100+DAY(B1694))&amp;"_"&amp;IF(COUNTIF($B$5:B1694,B1694)&lt;10,"00"&amp;COUNTIF($B$5:B1694,B1694),IF(COUNTIF($B$5:B1694,B1694)&lt;100,"0"&amp;COUNTIF($B$5:B1694,B1694),COUNTIF($B$5:B1694,B1694))))</f>
        <v>VIS_20300625_001</v>
      </c>
      <c r="B1694" s="40">
        <v>47659</v>
      </c>
      <c r="C1694" s="47" t="str">
        <f t="shared" si="52"/>
        <v>Вт</v>
      </c>
      <c r="I1694" s="46"/>
      <c r="J1694" s="39">
        <f t="shared" si="53"/>
        <v>47653</v>
      </c>
      <c r="K1694" t="str">
        <f ca="1">IF(AND(B1694&gt;='План недели'!$B$4,B1694&lt;'План недели'!$D$4,D1694&lt;&gt;"",G1694&lt;&gt;"Отменён"),COUNTIFS($B$5:B1694,"&gt;="&amp;'План недели'!$B$4,$B$5:B1694,"&lt;"&amp;'План недели'!$D$4,$D$5:D1694,"&lt;&gt;",$G$5:G1694,"&lt;&gt;Отменён"),"")</f>
        <v/>
      </c>
    </row>
    <row r="1695" spans="1:11">
      <c r="A1695" t="str">
        <f>IF(B1695="","","VIS_"&amp;(YEAR(B1695)*10000+MONTH(B1695)*100+DAY(B1695))&amp;"_"&amp;IF(COUNTIF($B$5:B1695,B1695)&lt;10,"00"&amp;COUNTIF($B$5:B1695,B1695),IF(COUNTIF($B$5:B1695,B1695)&lt;100,"0"&amp;COUNTIF($B$5:B1695,B1695),COUNTIF($B$5:B1695,B1695))))</f>
        <v>VIS_20300626_001</v>
      </c>
      <c r="B1695" s="40">
        <v>47660</v>
      </c>
      <c r="C1695" s="47" t="str">
        <f t="shared" si="52"/>
        <v>Ср</v>
      </c>
      <c r="I1695" s="46"/>
      <c r="J1695" s="39">
        <f t="shared" si="53"/>
        <v>47660</v>
      </c>
      <c r="K1695" t="str">
        <f ca="1">IF(AND(B1695&gt;='План недели'!$B$4,B1695&lt;'План недели'!$D$4,D1695&lt;&gt;"",G1695&lt;&gt;"Отменён"),COUNTIFS($B$5:B1695,"&gt;="&amp;'План недели'!$B$4,$B$5:B1695,"&lt;"&amp;'План недели'!$D$4,$D$5:D1695,"&lt;&gt;",$G$5:G1695,"&lt;&gt;Отменён"),"")</f>
        <v/>
      </c>
    </row>
    <row r="1696" spans="1:11">
      <c r="A1696" t="str">
        <f>IF(B1696="","","VIS_"&amp;(YEAR(B1696)*10000+MONTH(B1696)*100+DAY(B1696))&amp;"_"&amp;IF(COUNTIF($B$5:B1696,B1696)&lt;10,"00"&amp;COUNTIF($B$5:B1696,B1696),IF(COUNTIF($B$5:B1696,B1696)&lt;100,"0"&amp;COUNTIF($B$5:B1696,B1696),COUNTIF($B$5:B1696,B1696))))</f>
        <v>VIS_20300627_001</v>
      </c>
      <c r="B1696" s="40">
        <v>47661</v>
      </c>
      <c r="C1696" s="47" t="str">
        <f t="shared" si="52"/>
        <v>Чт</v>
      </c>
      <c r="I1696" s="46"/>
      <c r="J1696" s="39">
        <f t="shared" si="53"/>
        <v>47660</v>
      </c>
      <c r="K1696" t="str">
        <f ca="1">IF(AND(B1696&gt;='План недели'!$B$4,B1696&lt;'План недели'!$D$4,D1696&lt;&gt;"",G1696&lt;&gt;"Отменён"),COUNTIFS($B$5:B1696,"&gt;="&amp;'План недели'!$B$4,$B$5:B1696,"&lt;"&amp;'План недели'!$D$4,$D$5:D1696,"&lt;&gt;",$G$5:G1696,"&lt;&gt;Отменён"),"")</f>
        <v/>
      </c>
    </row>
    <row r="1697" spans="1:11">
      <c r="A1697" t="str">
        <f>IF(B1697="","","VIS_"&amp;(YEAR(B1697)*10000+MONTH(B1697)*100+DAY(B1697))&amp;"_"&amp;IF(COUNTIF($B$5:B1697,B1697)&lt;10,"00"&amp;COUNTIF($B$5:B1697,B1697),IF(COUNTIF($B$5:B1697,B1697)&lt;100,"0"&amp;COUNTIF($B$5:B1697,B1697),COUNTIF($B$5:B1697,B1697))))</f>
        <v>VIS_20300628_001</v>
      </c>
      <c r="B1697" s="40">
        <v>47662</v>
      </c>
      <c r="C1697" s="47" t="str">
        <f t="shared" si="52"/>
        <v>Пт</v>
      </c>
      <c r="I1697" s="46"/>
      <c r="J1697" s="39">
        <f t="shared" si="53"/>
        <v>47660</v>
      </c>
      <c r="K1697" t="str">
        <f ca="1">IF(AND(B1697&gt;='План недели'!$B$4,B1697&lt;'План недели'!$D$4,D1697&lt;&gt;"",G1697&lt;&gt;"Отменён"),COUNTIFS($B$5:B1697,"&gt;="&amp;'План недели'!$B$4,$B$5:B1697,"&lt;"&amp;'План недели'!$D$4,$D$5:D1697,"&lt;&gt;",$G$5:G1697,"&lt;&gt;Отменён"),"")</f>
        <v/>
      </c>
    </row>
    <row r="1698" spans="1:11">
      <c r="A1698" t="str">
        <f>IF(B1698="","","VIS_"&amp;(YEAR(B1698)*10000+MONTH(B1698)*100+DAY(B1698))&amp;"_"&amp;IF(COUNTIF($B$5:B1698,B1698)&lt;10,"00"&amp;COUNTIF($B$5:B1698,B1698),IF(COUNTIF($B$5:B1698,B1698)&lt;100,"0"&amp;COUNTIF($B$5:B1698,B1698),COUNTIF($B$5:B1698,B1698))))</f>
        <v>VIS_20300629_001</v>
      </c>
      <c r="B1698" s="42">
        <v>47663</v>
      </c>
      <c r="C1698" s="49" t="str">
        <f t="shared" si="52"/>
        <v>Сб</v>
      </c>
      <c r="I1698" s="46"/>
      <c r="J1698" s="39">
        <f t="shared" si="53"/>
        <v>47660</v>
      </c>
      <c r="K1698" t="str">
        <f ca="1">IF(AND(B1698&gt;='План недели'!$B$4,B1698&lt;'План недели'!$D$4,D1698&lt;&gt;"",G1698&lt;&gt;"Отменён"),COUNTIFS($B$5:B1698,"&gt;="&amp;'План недели'!$B$4,$B$5:B1698,"&lt;"&amp;'План недели'!$D$4,$D$5:D1698,"&lt;&gt;",$G$5:G1698,"&lt;&gt;Отменён"),"")</f>
        <v/>
      </c>
    </row>
    <row r="1699" spans="1:11">
      <c r="A1699" t="str">
        <f>IF(B1699="","","VIS_"&amp;(YEAR(B1699)*10000+MONTH(B1699)*100+DAY(B1699))&amp;"_"&amp;IF(COUNTIF($B$5:B1699,B1699)&lt;10,"00"&amp;COUNTIF($B$5:B1699,B1699),IF(COUNTIF($B$5:B1699,B1699)&lt;100,"0"&amp;COUNTIF($B$5:B1699,B1699),COUNTIF($B$5:B1699,B1699))))</f>
        <v>VIS_20300630_001</v>
      </c>
      <c r="B1699" s="42">
        <v>47664</v>
      </c>
      <c r="C1699" s="49" t="str">
        <f t="shared" si="52"/>
        <v>Вс</v>
      </c>
      <c r="I1699" s="46"/>
      <c r="J1699" s="39">
        <f t="shared" si="53"/>
        <v>47660</v>
      </c>
      <c r="K1699" t="str">
        <f ca="1">IF(AND(B1699&gt;='План недели'!$B$4,B1699&lt;'План недели'!$D$4,D1699&lt;&gt;"",G1699&lt;&gt;"Отменён"),COUNTIFS($B$5:B1699,"&gt;="&amp;'План недели'!$B$4,$B$5:B1699,"&lt;"&amp;'План недели'!$D$4,$D$5:D1699,"&lt;&gt;",$G$5:G1699,"&lt;&gt;Отменён"),"")</f>
        <v/>
      </c>
    </row>
    <row r="1700" spans="1:11">
      <c r="A1700" t="str">
        <f>IF(B1700="","","VIS_"&amp;(YEAR(B1700)*10000+MONTH(B1700)*100+DAY(B1700))&amp;"_"&amp;IF(COUNTIF($B$5:B1700,B1700)&lt;10,"00"&amp;COUNTIF($B$5:B1700,B1700),IF(COUNTIF($B$5:B1700,B1700)&lt;100,"0"&amp;COUNTIF($B$5:B1700,B1700),COUNTIF($B$5:B1700,B1700))))</f>
        <v>VIS_20300701_001</v>
      </c>
      <c r="B1700" s="40">
        <v>47665</v>
      </c>
      <c r="C1700" s="47" t="str">
        <f t="shared" si="52"/>
        <v>Пн</v>
      </c>
      <c r="I1700" s="46"/>
      <c r="J1700" s="39">
        <f t="shared" si="53"/>
        <v>47660</v>
      </c>
      <c r="K1700" t="str">
        <f ca="1">IF(AND(B1700&gt;='План недели'!$B$4,B1700&lt;'План недели'!$D$4,D1700&lt;&gt;"",G1700&lt;&gt;"Отменён"),COUNTIFS($B$5:B1700,"&gt;="&amp;'План недели'!$B$4,$B$5:B1700,"&lt;"&amp;'План недели'!$D$4,$D$5:D1700,"&lt;&gt;",$G$5:G1700,"&lt;&gt;Отменён"),"")</f>
        <v/>
      </c>
    </row>
    <row r="1701" spans="1:11">
      <c r="A1701" t="str">
        <f>IF(B1701="","","VIS_"&amp;(YEAR(B1701)*10000+MONTH(B1701)*100+DAY(B1701))&amp;"_"&amp;IF(COUNTIF($B$5:B1701,B1701)&lt;10,"00"&amp;COUNTIF($B$5:B1701,B1701),IF(COUNTIF($B$5:B1701,B1701)&lt;100,"0"&amp;COUNTIF($B$5:B1701,B1701),COUNTIF($B$5:B1701,B1701))))</f>
        <v>VIS_20300702_001</v>
      </c>
      <c r="B1701" s="40">
        <v>47666</v>
      </c>
      <c r="C1701" s="47" t="str">
        <f t="shared" si="52"/>
        <v>Вт</v>
      </c>
      <c r="I1701" s="46"/>
      <c r="J1701" s="39">
        <f t="shared" si="53"/>
        <v>47660</v>
      </c>
      <c r="K1701" t="str">
        <f ca="1">IF(AND(B1701&gt;='План недели'!$B$4,B1701&lt;'План недели'!$D$4,D1701&lt;&gt;"",G1701&lt;&gt;"Отменён"),COUNTIFS($B$5:B1701,"&gt;="&amp;'План недели'!$B$4,$B$5:B1701,"&lt;"&amp;'План недели'!$D$4,$D$5:D1701,"&lt;&gt;",$G$5:G1701,"&lt;&gt;Отменён"),"")</f>
        <v/>
      </c>
    </row>
    <row r="1702" spans="1:11">
      <c r="A1702" t="str">
        <f>IF(B1702="","","VIS_"&amp;(YEAR(B1702)*10000+MONTH(B1702)*100+DAY(B1702))&amp;"_"&amp;IF(COUNTIF($B$5:B1702,B1702)&lt;10,"00"&amp;COUNTIF($B$5:B1702,B1702),IF(COUNTIF($B$5:B1702,B1702)&lt;100,"0"&amp;COUNTIF($B$5:B1702,B1702),COUNTIF($B$5:B1702,B1702))))</f>
        <v>VIS_20300703_001</v>
      </c>
      <c r="B1702" s="40">
        <v>47667</v>
      </c>
      <c r="C1702" s="47" t="str">
        <f t="shared" si="52"/>
        <v>Ср</v>
      </c>
      <c r="I1702" s="46"/>
      <c r="J1702" s="39">
        <f t="shared" si="53"/>
        <v>47667</v>
      </c>
      <c r="K1702" t="str">
        <f ca="1">IF(AND(B1702&gt;='План недели'!$B$4,B1702&lt;'План недели'!$D$4,D1702&lt;&gt;"",G1702&lt;&gt;"Отменён"),COUNTIFS($B$5:B1702,"&gt;="&amp;'План недели'!$B$4,$B$5:B1702,"&lt;"&amp;'План недели'!$D$4,$D$5:D1702,"&lt;&gt;",$G$5:G1702,"&lt;&gt;Отменён"),"")</f>
        <v/>
      </c>
    </row>
    <row r="1703" spans="1:11">
      <c r="A1703" t="str">
        <f>IF(B1703="","","VIS_"&amp;(YEAR(B1703)*10000+MONTH(B1703)*100+DAY(B1703))&amp;"_"&amp;IF(COUNTIF($B$5:B1703,B1703)&lt;10,"00"&amp;COUNTIF($B$5:B1703,B1703),IF(COUNTIF($B$5:B1703,B1703)&lt;100,"0"&amp;COUNTIF($B$5:B1703,B1703),COUNTIF($B$5:B1703,B1703))))</f>
        <v>VIS_20300704_001</v>
      </c>
      <c r="B1703" s="40">
        <v>47668</v>
      </c>
      <c r="C1703" s="47" t="str">
        <f t="shared" si="52"/>
        <v>Чт</v>
      </c>
      <c r="I1703" s="46"/>
      <c r="J1703" s="39">
        <f t="shared" si="53"/>
        <v>47667</v>
      </c>
      <c r="K1703" t="str">
        <f ca="1">IF(AND(B1703&gt;='План недели'!$B$4,B1703&lt;'План недели'!$D$4,D1703&lt;&gt;"",G1703&lt;&gt;"Отменён"),COUNTIFS($B$5:B1703,"&gt;="&amp;'План недели'!$B$4,$B$5:B1703,"&lt;"&amp;'План недели'!$D$4,$D$5:D1703,"&lt;&gt;",$G$5:G1703,"&lt;&gt;Отменён"),"")</f>
        <v/>
      </c>
    </row>
    <row r="1704" spans="1:11">
      <c r="A1704" t="str">
        <f>IF(B1704="","","VIS_"&amp;(YEAR(B1704)*10000+MONTH(B1704)*100+DAY(B1704))&amp;"_"&amp;IF(COUNTIF($B$5:B1704,B1704)&lt;10,"00"&amp;COUNTIF($B$5:B1704,B1704),IF(COUNTIF($B$5:B1704,B1704)&lt;100,"0"&amp;COUNTIF($B$5:B1704,B1704),COUNTIF($B$5:B1704,B1704))))</f>
        <v>VIS_20300705_001</v>
      </c>
      <c r="B1704" s="40">
        <v>47669</v>
      </c>
      <c r="C1704" s="47" t="str">
        <f t="shared" si="52"/>
        <v>Пт</v>
      </c>
      <c r="I1704" s="46"/>
      <c r="J1704" s="39">
        <f t="shared" si="53"/>
        <v>47667</v>
      </c>
      <c r="K1704" t="str">
        <f ca="1">IF(AND(B1704&gt;='План недели'!$B$4,B1704&lt;'План недели'!$D$4,D1704&lt;&gt;"",G1704&lt;&gt;"Отменён"),COUNTIFS($B$5:B1704,"&gt;="&amp;'План недели'!$B$4,$B$5:B1704,"&lt;"&amp;'План недели'!$D$4,$D$5:D1704,"&lt;&gt;",$G$5:G1704,"&lt;&gt;Отменён"),"")</f>
        <v/>
      </c>
    </row>
    <row r="1705" spans="1:11">
      <c r="A1705" t="str">
        <f>IF(B1705="","","VIS_"&amp;(YEAR(B1705)*10000+MONTH(B1705)*100+DAY(B1705))&amp;"_"&amp;IF(COUNTIF($B$5:B1705,B1705)&lt;10,"00"&amp;COUNTIF($B$5:B1705,B1705),IF(COUNTIF($B$5:B1705,B1705)&lt;100,"0"&amp;COUNTIF($B$5:B1705,B1705),COUNTIF($B$5:B1705,B1705))))</f>
        <v>VIS_20300706_001</v>
      </c>
      <c r="B1705" s="42">
        <v>47670</v>
      </c>
      <c r="C1705" s="49" t="str">
        <f t="shared" si="52"/>
        <v>Сб</v>
      </c>
      <c r="I1705" s="46"/>
      <c r="J1705" s="39">
        <f t="shared" si="53"/>
        <v>47667</v>
      </c>
      <c r="K1705" t="str">
        <f ca="1">IF(AND(B1705&gt;='План недели'!$B$4,B1705&lt;'План недели'!$D$4,D1705&lt;&gt;"",G1705&lt;&gt;"Отменён"),COUNTIFS($B$5:B1705,"&gt;="&amp;'План недели'!$B$4,$B$5:B1705,"&lt;"&amp;'План недели'!$D$4,$D$5:D1705,"&lt;&gt;",$G$5:G1705,"&lt;&gt;Отменён"),"")</f>
        <v/>
      </c>
    </row>
    <row r="1706" spans="1:11">
      <c r="A1706" t="str">
        <f>IF(B1706="","","VIS_"&amp;(YEAR(B1706)*10000+MONTH(B1706)*100+DAY(B1706))&amp;"_"&amp;IF(COUNTIF($B$5:B1706,B1706)&lt;10,"00"&amp;COUNTIF($B$5:B1706,B1706),IF(COUNTIF($B$5:B1706,B1706)&lt;100,"0"&amp;COUNTIF($B$5:B1706,B1706),COUNTIF($B$5:B1706,B1706))))</f>
        <v>VIS_20300707_001</v>
      </c>
      <c r="B1706" s="42">
        <v>47671</v>
      </c>
      <c r="C1706" s="49" t="str">
        <f t="shared" si="52"/>
        <v>Вс</v>
      </c>
      <c r="I1706" s="46"/>
      <c r="J1706" s="39">
        <f t="shared" si="53"/>
        <v>47667</v>
      </c>
      <c r="K1706" t="str">
        <f ca="1">IF(AND(B1706&gt;='План недели'!$B$4,B1706&lt;'План недели'!$D$4,D1706&lt;&gt;"",G1706&lt;&gt;"Отменён"),COUNTIFS($B$5:B1706,"&gt;="&amp;'План недели'!$B$4,$B$5:B1706,"&lt;"&amp;'План недели'!$D$4,$D$5:D1706,"&lt;&gt;",$G$5:G1706,"&lt;&gt;Отменён"),"")</f>
        <v/>
      </c>
    </row>
    <row r="1707" spans="1:11">
      <c r="A1707" t="str">
        <f>IF(B1707="","","VIS_"&amp;(YEAR(B1707)*10000+MONTH(B1707)*100+DAY(B1707))&amp;"_"&amp;IF(COUNTIF($B$5:B1707,B1707)&lt;10,"00"&amp;COUNTIF($B$5:B1707,B1707),IF(COUNTIF($B$5:B1707,B1707)&lt;100,"0"&amp;COUNTIF($B$5:B1707,B1707),COUNTIF($B$5:B1707,B1707))))</f>
        <v>VIS_20300708_001</v>
      </c>
      <c r="B1707" s="40">
        <v>47672</v>
      </c>
      <c r="C1707" s="47" t="str">
        <f t="shared" si="52"/>
        <v>Пн</v>
      </c>
      <c r="I1707" s="46"/>
      <c r="J1707" s="39">
        <f t="shared" si="53"/>
        <v>47667</v>
      </c>
      <c r="K1707" t="str">
        <f ca="1">IF(AND(B1707&gt;='План недели'!$B$4,B1707&lt;'План недели'!$D$4,D1707&lt;&gt;"",G1707&lt;&gt;"Отменён"),COUNTIFS($B$5:B1707,"&gt;="&amp;'План недели'!$B$4,$B$5:B1707,"&lt;"&amp;'План недели'!$D$4,$D$5:D1707,"&lt;&gt;",$G$5:G1707,"&lt;&gt;Отменён"),"")</f>
        <v/>
      </c>
    </row>
    <row r="1708" spans="1:11">
      <c r="A1708" t="str">
        <f>IF(B1708="","","VIS_"&amp;(YEAR(B1708)*10000+MONTH(B1708)*100+DAY(B1708))&amp;"_"&amp;IF(COUNTIF($B$5:B1708,B1708)&lt;10,"00"&amp;COUNTIF($B$5:B1708,B1708),IF(COUNTIF($B$5:B1708,B1708)&lt;100,"0"&amp;COUNTIF($B$5:B1708,B1708),COUNTIF($B$5:B1708,B1708))))</f>
        <v>VIS_20300709_001</v>
      </c>
      <c r="B1708" s="40">
        <v>47673</v>
      </c>
      <c r="C1708" s="47" t="str">
        <f t="shared" si="52"/>
        <v>Вт</v>
      </c>
      <c r="I1708" s="46"/>
      <c r="J1708" s="39">
        <f t="shared" si="53"/>
        <v>47667</v>
      </c>
      <c r="K1708" t="str">
        <f ca="1">IF(AND(B1708&gt;='План недели'!$B$4,B1708&lt;'План недели'!$D$4,D1708&lt;&gt;"",G1708&lt;&gt;"Отменён"),COUNTIFS($B$5:B1708,"&gt;="&amp;'План недели'!$B$4,$B$5:B1708,"&lt;"&amp;'План недели'!$D$4,$D$5:D1708,"&lt;&gt;",$G$5:G1708,"&lt;&gt;Отменён"),"")</f>
        <v/>
      </c>
    </row>
    <row r="1709" spans="1:11">
      <c r="A1709" t="str">
        <f>IF(B1709="","","VIS_"&amp;(YEAR(B1709)*10000+MONTH(B1709)*100+DAY(B1709))&amp;"_"&amp;IF(COUNTIF($B$5:B1709,B1709)&lt;10,"00"&amp;COUNTIF($B$5:B1709,B1709),IF(COUNTIF($B$5:B1709,B1709)&lt;100,"0"&amp;COUNTIF($B$5:B1709,B1709),COUNTIF($B$5:B1709,B1709))))</f>
        <v>VIS_20300710_001</v>
      </c>
      <c r="B1709" s="40">
        <v>47674</v>
      </c>
      <c r="C1709" s="47" t="str">
        <f t="shared" si="52"/>
        <v>Ср</v>
      </c>
      <c r="I1709" s="46"/>
      <c r="J1709" s="39">
        <f t="shared" si="53"/>
        <v>47674</v>
      </c>
      <c r="K1709" t="str">
        <f ca="1">IF(AND(B1709&gt;='План недели'!$B$4,B1709&lt;'План недели'!$D$4,D1709&lt;&gt;"",G1709&lt;&gt;"Отменён"),COUNTIFS($B$5:B1709,"&gt;="&amp;'План недели'!$B$4,$B$5:B1709,"&lt;"&amp;'План недели'!$D$4,$D$5:D1709,"&lt;&gt;",$G$5:G1709,"&lt;&gt;Отменён"),"")</f>
        <v/>
      </c>
    </row>
    <row r="1710" spans="1:11">
      <c r="A1710" t="str">
        <f>IF(B1710="","","VIS_"&amp;(YEAR(B1710)*10000+MONTH(B1710)*100+DAY(B1710))&amp;"_"&amp;IF(COUNTIF($B$5:B1710,B1710)&lt;10,"00"&amp;COUNTIF($B$5:B1710,B1710),IF(COUNTIF($B$5:B1710,B1710)&lt;100,"0"&amp;COUNTIF($B$5:B1710,B1710),COUNTIF($B$5:B1710,B1710))))</f>
        <v>VIS_20300711_001</v>
      </c>
      <c r="B1710" s="40">
        <v>47675</v>
      </c>
      <c r="C1710" s="47" t="str">
        <f t="shared" si="52"/>
        <v>Чт</v>
      </c>
      <c r="I1710" s="46"/>
      <c r="J1710" s="39">
        <f t="shared" si="53"/>
        <v>47674</v>
      </c>
      <c r="K1710" t="str">
        <f ca="1">IF(AND(B1710&gt;='План недели'!$B$4,B1710&lt;'План недели'!$D$4,D1710&lt;&gt;"",G1710&lt;&gt;"Отменён"),COUNTIFS($B$5:B1710,"&gt;="&amp;'План недели'!$B$4,$B$5:B1710,"&lt;"&amp;'План недели'!$D$4,$D$5:D1710,"&lt;&gt;",$G$5:G1710,"&lt;&gt;Отменён"),"")</f>
        <v/>
      </c>
    </row>
    <row r="1711" spans="1:11">
      <c r="A1711" t="str">
        <f>IF(B1711="","","VIS_"&amp;(YEAR(B1711)*10000+MONTH(B1711)*100+DAY(B1711))&amp;"_"&amp;IF(COUNTIF($B$5:B1711,B1711)&lt;10,"00"&amp;COUNTIF($B$5:B1711,B1711),IF(COUNTIF($B$5:B1711,B1711)&lt;100,"0"&amp;COUNTIF($B$5:B1711,B1711),COUNTIF($B$5:B1711,B1711))))</f>
        <v>VIS_20300712_001</v>
      </c>
      <c r="B1711" s="40">
        <v>47676</v>
      </c>
      <c r="C1711" s="47" t="str">
        <f t="shared" si="52"/>
        <v>Пт</v>
      </c>
      <c r="I1711" s="46"/>
      <c r="J1711" s="39">
        <f t="shared" si="53"/>
        <v>47674</v>
      </c>
      <c r="K1711" t="str">
        <f ca="1">IF(AND(B1711&gt;='План недели'!$B$4,B1711&lt;'План недели'!$D$4,D1711&lt;&gt;"",G1711&lt;&gt;"Отменён"),COUNTIFS($B$5:B1711,"&gt;="&amp;'План недели'!$B$4,$B$5:B1711,"&lt;"&amp;'План недели'!$D$4,$D$5:D1711,"&lt;&gt;",$G$5:G1711,"&lt;&gt;Отменён"),"")</f>
        <v/>
      </c>
    </row>
    <row r="1712" spans="1:11">
      <c r="A1712" t="str">
        <f>IF(B1712="","","VIS_"&amp;(YEAR(B1712)*10000+MONTH(B1712)*100+DAY(B1712))&amp;"_"&amp;IF(COUNTIF($B$5:B1712,B1712)&lt;10,"00"&amp;COUNTIF($B$5:B1712,B1712),IF(COUNTIF($B$5:B1712,B1712)&lt;100,"0"&amp;COUNTIF($B$5:B1712,B1712),COUNTIF($B$5:B1712,B1712))))</f>
        <v>VIS_20300713_001</v>
      </c>
      <c r="B1712" s="42">
        <v>47677</v>
      </c>
      <c r="C1712" s="49" t="str">
        <f t="shared" si="52"/>
        <v>Сб</v>
      </c>
      <c r="I1712" s="46"/>
      <c r="J1712" s="39">
        <f t="shared" si="53"/>
        <v>47674</v>
      </c>
      <c r="K1712" t="str">
        <f ca="1">IF(AND(B1712&gt;='План недели'!$B$4,B1712&lt;'План недели'!$D$4,D1712&lt;&gt;"",G1712&lt;&gt;"Отменён"),COUNTIFS($B$5:B1712,"&gt;="&amp;'План недели'!$B$4,$B$5:B1712,"&lt;"&amp;'План недели'!$D$4,$D$5:D1712,"&lt;&gt;",$G$5:G1712,"&lt;&gt;Отменён"),"")</f>
        <v/>
      </c>
    </row>
    <row r="1713" spans="1:11">
      <c r="A1713" t="str">
        <f>IF(B1713="","","VIS_"&amp;(YEAR(B1713)*10000+MONTH(B1713)*100+DAY(B1713))&amp;"_"&amp;IF(COUNTIF($B$5:B1713,B1713)&lt;10,"00"&amp;COUNTIF($B$5:B1713,B1713),IF(COUNTIF($B$5:B1713,B1713)&lt;100,"0"&amp;COUNTIF($B$5:B1713,B1713),COUNTIF($B$5:B1713,B1713))))</f>
        <v>VIS_20300714_001</v>
      </c>
      <c r="B1713" s="42">
        <v>47678</v>
      </c>
      <c r="C1713" s="49" t="str">
        <f t="shared" si="52"/>
        <v>Вс</v>
      </c>
      <c r="I1713" s="46"/>
      <c r="J1713" s="39">
        <f t="shared" si="53"/>
        <v>47674</v>
      </c>
      <c r="K1713" t="str">
        <f ca="1">IF(AND(B1713&gt;='План недели'!$B$4,B1713&lt;'План недели'!$D$4,D1713&lt;&gt;"",G1713&lt;&gt;"Отменён"),COUNTIFS($B$5:B1713,"&gt;="&amp;'План недели'!$B$4,$B$5:B1713,"&lt;"&amp;'План недели'!$D$4,$D$5:D1713,"&lt;&gt;",$G$5:G1713,"&lt;&gt;Отменён"),"")</f>
        <v/>
      </c>
    </row>
    <row r="1714" spans="1:11">
      <c r="A1714" t="str">
        <f>IF(B1714="","","VIS_"&amp;(YEAR(B1714)*10000+MONTH(B1714)*100+DAY(B1714))&amp;"_"&amp;IF(COUNTIF($B$5:B1714,B1714)&lt;10,"00"&amp;COUNTIF($B$5:B1714,B1714),IF(COUNTIF($B$5:B1714,B1714)&lt;100,"0"&amp;COUNTIF($B$5:B1714,B1714),COUNTIF($B$5:B1714,B1714))))</f>
        <v>VIS_20300715_001</v>
      </c>
      <c r="B1714" s="40">
        <v>47679</v>
      </c>
      <c r="C1714" s="47" t="str">
        <f t="shared" si="52"/>
        <v>Пн</v>
      </c>
      <c r="I1714" s="46"/>
      <c r="J1714" s="39">
        <f t="shared" si="53"/>
        <v>47674</v>
      </c>
      <c r="K1714" t="str">
        <f ca="1">IF(AND(B1714&gt;='План недели'!$B$4,B1714&lt;'План недели'!$D$4,D1714&lt;&gt;"",G1714&lt;&gt;"Отменён"),COUNTIFS($B$5:B1714,"&gt;="&amp;'План недели'!$B$4,$B$5:B1714,"&lt;"&amp;'План недели'!$D$4,$D$5:D1714,"&lt;&gt;",$G$5:G1714,"&lt;&gt;Отменён"),"")</f>
        <v/>
      </c>
    </row>
    <row r="1715" spans="1:11">
      <c r="A1715" t="str">
        <f>IF(B1715="","","VIS_"&amp;(YEAR(B1715)*10000+MONTH(B1715)*100+DAY(B1715))&amp;"_"&amp;IF(COUNTIF($B$5:B1715,B1715)&lt;10,"00"&amp;COUNTIF($B$5:B1715,B1715),IF(COUNTIF($B$5:B1715,B1715)&lt;100,"0"&amp;COUNTIF($B$5:B1715,B1715),COUNTIF($B$5:B1715,B1715))))</f>
        <v>VIS_20300716_001</v>
      </c>
      <c r="B1715" s="40">
        <v>47680</v>
      </c>
      <c r="C1715" s="47" t="str">
        <f t="shared" si="52"/>
        <v>Вт</v>
      </c>
      <c r="I1715" s="46"/>
      <c r="J1715" s="39">
        <f t="shared" si="53"/>
        <v>47674</v>
      </c>
      <c r="K1715" t="str">
        <f ca="1">IF(AND(B1715&gt;='План недели'!$B$4,B1715&lt;'План недели'!$D$4,D1715&lt;&gt;"",G1715&lt;&gt;"Отменён"),COUNTIFS($B$5:B1715,"&gt;="&amp;'План недели'!$B$4,$B$5:B1715,"&lt;"&amp;'План недели'!$D$4,$D$5:D1715,"&lt;&gt;",$G$5:G1715,"&lt;&gt;Отменён"),"")</f>
        <v/>
      </c>
    </row>
    <row r="1716" spans="1:11">
      <c r="A1716" t="str">
        <f>IF(B1716="","","VIS_"&amp;(YEAR(B1716)*10000+MONTH(B1716)*100+DAY(B1716))&amp;"_"&amp;IF(COUNTIF($B$5:B1716,B1716)&lt;10,"00"&amp;COUNTIF($B$5:B1716,B1716),IF(COUNTIF($B$5:B1716,B1716)&lt;100,"0"&amp;COUNTIF($B$5:B1716,B1716),COUNTIF($B$5:B1716,B1716))))</f>
        <v>VIS_20300717_001</v>
      </c>
      <c r="B1716" s="40">
        <v>47681</v>
      </c>
      <c r="C1716" s="47" t="str">
        <f t="shared" si="52"/>
        <v>Ср</v>
      </c>
      <c r="I1716" s="46"/>
      <c r="J1716" s="39">
        <f t="shared" si="53"/>
        <v>47681</v>
      </c>
      <c r="K1716" t="str">
        <f ca="1">IF(AND(B1716&gt;='План недели'!$B$4,B1716&lt;'План недели'!$D$4,D1716&lt;&gt;"",G1716&lt;&gt;"Отменён"),COUNTIFS($B$5:B1716,"&gt;="&amp;'План недели'!$B$4,$B$5:B1716,"&lt;"&amp;'План недели'!$D$4,$D$5:D1716,"&lt;&gt;",$G$5:G1716,"&lt;&gt;Отменён"),"")</f>
        <v/>
      </c>
    </row>
    <row r="1717" spans="1:11">
      <c r="A1717" t="str">
        <f>IF(B1717="","","VIS_"&amp;(YEAR(B1717)*10000+MONTH(B1717)*100+DAY(B1717))&amp;"_"&amp;IF(COUNTIF($B$5:B1717,B1717)&lt;10,"00"&amp;COUNTIF($B$5:B1717,B1717),IF(COUNTIF($B$5:B1717,B1717)&lt;100,"0"&amp;COUNTIF($B$5:B1717,B1717),COUNTIF($B$5:B1717,B1717))))</f>
        <v>VIS_20300718_001</v>
      </c>
      <c r="B1717" s="40">
        <v>47682</v>
      </c>
      <c r="C1717" s="47" t="str">
        <f t="shared" si="52"/>
        <v>Чт</v>
      </c>
      <c r="I1717" s="46"/>
      <c r="J1717" s="39">
        <f t="shared" si="53"/>
        <v>47681</v>
      </c>
      <c r="K1717" t="str">
        <f ca="1">IF(AND(B1717&gt;='План недели'!$B$4,B1717&lt;'План недели'!$D$4,D1717&lt;&gt;"",G1717&lt;&gt;"Отменён"),COUNTIFS($B$5:B1717,"&gt;="&amp;'План недели'!$B$4,$B$5:B1717,"&lt;"&amp;'План недели'!$D$4,$D$5:D1717,"&lt;&gt;",$G$5:G1717,"&lt;&gt;Отменён"),"")</f>
        <v/>
      </c>
    </row>
    <row r="1718" spans="1:11">
      <c r="A1718" t="str">
        <f>IF(B1718="","","VIS_"&amp;(YEAR(B1718)*10000+MONTH(B1718)*100+DAY(B1718))&amp;"_"&amp;IF(COUNTIF($B$5:B1718,B1718)&lt;10,"00"&amp;COUNTIF($B$5:B1718,B1718),IF(COUNTIF($B$5:B1718,B1718)&lt;100,"0"&amp;COUNTIF($B$5:B1718,B1718),COUNTIF($B$5:B1718,B1718))))</f>
        <v>VIS_20300719_001</v>
      </c>
      <c r="B1718" s="40">
        <v>47683</v>
      </c>
      <c r="C1718" s="47" t="str">
        <f t="shared" si="52"/>
        <v>Пт</v>
      </c>
      <c r="I1718" s="46"/>
      <c r="J1718" s="39">
        <f t="shared" si="53"/>
        <v>47681</v>
      </c>
      <c r="K1718" t="str">
        <f ca="1">IF(AND(B1718&gt;='План недели'!$B$4,B1718&lt;'План недели'!$D$4,D1718&lt;&gt;"",G1718&lt;&gt;"Отменён"),COUNTIFS($B$5:B1718,"&gt;="&amp;'План недели'!$B$4,$B$5:B1718,"&lt;"&amp;'План недели'!$D$4,$D$5:D1718,"&lt;&gt;",$G$5:G1718,"&lt;&gt;Отменён"),"")</f>
        <v/>
      </c>
    </row>
    <row r="1719" spans="1:11">
      <c r="A1719" t="str">
        <f>IF(B1719="","","VIS_"&amp;(YEAR(B1719)*10000+MONTH(B1719)*100+DAY(B1719))&amp;"_"&amp;IF(COUNTIF($B$5:B1719,B1719)&lt;10,"00"&amp;COUNTIF($B$5:B1719,B1719),IF(COUNTIF($B$5:B1719,B1719)&lt;100,"0"&amp;COUNTIF($B$5:B1719,B1719),COUNTIF($B$5:B1719,B1719))))</f>
        <v>VIS_20300720_001</v>
      </c>
      <c r="B1719" s="42">
        <v>47684</v>
      </c>
      <c r="C1719" s="49" t="str">
        <f t="shared" si="52"/>
        <v>Сб</v>
      </c>
      <c r="I1719" s="46"/>
      <c r="J1719" s="39">
        <f t="shared" si="53"/>
        <v>47681</v>
      </c>
      <c r="K1719" t="str">
        <f ca="1">IF(AND(B1719&gt;='План недели'!$B$4,B1719&lt;'План недели'!$D$4,D1719&lt;&gt;"",G1719&lt;&gt;"Отменён"),COUNTIFS($B$5:B1719,"&gt;="&amp;'План недели'!$B$4,$B$5:B1719,"&lt;"&amp;'План недели'!$D$4,$D$5:D1719,"&lt;&gt;",$G$5:G1719,"&lt;&gt;Отменён"),"")</f>
        <v/>
      </c>
    </row>
    <row r="1720" spans="1:11">
      <c r="A1720" t="str">
        <f>IF(B1720="","","VIS_"&amp;(YEAR(B1720)*10000+MONTH(B1720)*100+DAY(B1720))&amp;"_"&amp;IF(COUNTIF($B$5:B1720,B1720)&lt;10,"00"&amp;COUNTIF($B$5:B1720,B1720),IF(COUNTIF($B$5:B1720,B1720)&lt;100,"0"&amp;COUNTIF($B$5:B1720,B1720),COUNTIF($B$5:B1720,B1720))))</f>
        <v>VIS_20300721_001</v>
      </c>
      <c r="B1720" s="42">
        <v>47685</v>
      </c>
      <c r="C1720" s="49" t="str">
        <f t="shared" si="52"/>
        <v>Вс</v>
      </c>
      <c r="I1720" s="46"/>
      <c r="J1720" s="39">
        <f t="shared" si="53"/>
        <v>47681</v>
      </c>
      <c r="K1720" t="str">
        <f ca="1">IF(AND(B1720&gt;='План недели'!$B$4,B1720&lt;'План недели'!$D$4,D1720&lt;&gt;"",G1720&lt;&gt;"Отменён"),COUNTIFS($B$5:B1720,"&gt;="&amp;'План недели'!$B$4,$B$5:B1720,"&lt;"&amp;'План недели'!$D$4,$D$5:D1720,"&lt;&gt;",$G$5:G1720,"&lt;&gt;Отменён"),"")</f>
        <v/>
      </c>
    </row>
    <row r="1721" spans="1:11">
      <c r="A1721" t="str">
        <f>IF(B1721="","","VIS_"&amp;(YEAR(B1721)*10000+MONTH(B1721)*100+DAY(B1721))&amp;"_"&amp;IF(COUNTIF($B$5:B1721,B1721)&lt;10,"00"&amp;COUNTIF($B$5:B1721,B1721),IF(COUNTIF($B$5:B1721,B1721)&lt;100,"0"&amp;COUNTIF($B$5:B1721,B1721),COUNTIF($B$5:B1721,B1721))))</f>
        <v>VIS_20300722_001</v>
      </c>
      <c r="B1721" s="40">
        <v>47686</v>
      </c>
      <c r="C1721" s="47" t="str">
        <f t="shared" si="52"/>
        <v>Пн</v>
      </c>
      <c r="I1721" s="46"/>
      <c r="J1721" s="39">
        <f t="shared" si="53"/>
        <v>47681</v>
      </c>
      <c r="K1721" t="str">
        <f ca="1">IF(AND(B1721&gt;='План недели'!$B$4,B1721&lt;'План недели'!$D$4,D1721&lt;&gt;"",G1721&lt;&gt;"Отменён"),COUNTIFS($B$5:B1721,"&gt;="&amp;'План недели'!$B$4,$B$5:B1721,"&lt;"&amp;'План недели'!$D$4,$D$5:D1721,"&lt;&gt;",$G$5:G1721,"&lt;&gt;Отменён"),"")</f>
        <v/>
      </c>
    </row>
    <row r="1722" spans="1:11">
      <c r="A1722" t="str">
        <f>IF(B1722="","","VIS_"&amp;(YEAR(B1722)*10000+MONTH(B1722)*100+DAY(B1722))&amp;"_"&amp;IF(COUNTIF($B$5:B1722,B1722)&lt;10,"00"&amp;COUNTIF($B$5:B1722,B1722),IF(COUNTIF($B$5:B1722,B1722)&lt;100,"0"&amp;COUNTIF($B$5:B1722,B1722),COUNTIF($B$5:B1722,B1722))))</f>
        <v>VIS_20300723_001</v>
      </c>
      <c r="B1722" s="40">
        <v>47687</v>
      </c>
      <c r="C1722" s="47" t="str">
        <f t="shared" si="52"/>
        <v>Вт</v>
      </c>
      <c r="I1722" s="46"/>
      <c r="J1722" s="39">
        <f t="shared" si="53"/>
        <v>47681</v>
      </c>
      <c r="K1722" t="str">
        <f ca="1">IF(AND(B1722&gt;='План недели'!$B$4,B1722&lt;'План недели'!$D$4,D1722&lt;&gt;"",G1722&lt;&gt;"Отменён"),COUNTIFS($B$5:B1722,"&gt;="&amp;'План недели'!$B$4,$B$5:B1722,"&lt;"&amp;'План недели'!$D$4,$D$5:D1722,"&lt;&gt;",$G$5:G1722,"&lt;&gt;Отменён"),"")</f>
        <v/>
      </c>
    </row>
    <row r="1723" spans="1:11">
      <c r="A1723" t="str">
        <f>IF(B1723="","","VIS_"&amp;(YEAR(B1723)*10000+MONTH(B1723)*100+DAY(B1723))&amp;"_"&amp;IF(COUNTIF($B$5:B1723,B1723)&lt;10,"00"&amp;COUNTIF($B$5:B1723,B1723),IF(COUNTIF($B$5:B1723,B1723)&lt;100,"0"&amp;COUNTIF($B$5:B1723,B1723),COUNTIF($B$5:B1723,B1723))))</f>
        <v>VIS_20300724_001</v>
      </c>
      <c r="B1723" s="40">
        <v>47688</v>
      </c>
      <c r="C1723" s="47" t="str">
        <f t="shared" si="52"/>
        <v>Ср</v>
      </c>
      <c r="I1723" s="46"/>
      <c r="J1723" s="39">
        <f t="shared" si="53"/>
        <v>47688</v>
      </c>
      <c r="K1723" t="str">
        <f ca="1">IF(AND(B1723&gt;='План недели'!$B$4,B1723&lt;'План недели'!$D$4,D1723&lt;&gt;"",G1723&lt;&gt;"Отменён"),COUNTIFS($B$5:B1723,"&gt;="&amp;'План недели'!$B$4,$B$5:B1723,"&lt;"&amp;'План недели'!$D$4,$D$5:D1723,"&lt;&gt;",$G$5:G1723,"&lt;&gt;Отменён"),"")</f>
        <v/>
      </c>
    </row>
    <row r="1724" spans="1:11">
      <c r="A1724" t="str">
        <f>IF(B1724="","","VIS_"&amp;(YEAR(B1724)*10000+MONTH(B1724)*100+DAY(B1724))&amp;"_"&amp;IF(COUNTIF($B$5:B1724,B1724)&lt;10,"00"&amp;COUNTIF($B$5:B1724,B1724),IF(COUNTIF($B$5:B1724,B1724)&lt;100,"0"&amp;COUNTIF($B$5:B1724,B1724),COUNTIF($B$5:B1724,B1724))))</f>
        <v>VIS_20300725_001</v>
      </c>
      <c r="B1724" s="40">
        <v>47689</v>
      </c>
      <c r="C1724" s="47" t="str">
        <f t="shared" si="52"/>
        <v>Чт</v>
      </c>
      <c r="I1724" s="46"/>
      <c r="J1724" s="39">
        <f t="shared" si="53"/>
        <v>47688</v>
      </c>
      <c r="K1724" t="str">
        <f ca="1">IF(AND(B1724&gt;='План недели'!$B$4,B1724&lt;'План недели'!$D$4,D1724&lt;&gt;"",G1724&lt;&gt;"Отменён"),COUNTIFS($B$5:B1724,"&gt;="&amp;'План недели'!$B$4,$B$5:B1724,"&lt;"&amp;'План недели'!$D$4,$D$5:D1724,"&lt;&gt;",$G$5:G1724,"&lt;&gt;Отменён"),"")</f>
        <v/>
      </c>
    </row>
    <row r="1725" spans="1:11">
      <c r="A1725" t="str">
        <f>IF(B1725="","","VIS_"&amp;(YEAR(B1725)*10000+MONTH(B1725)*100+DAY(B1725))&amp;"_"&amp;IF(COUNTIF($B$5:B1725,B1725)&lt;10,"00"&amp;COUNTIF($B$5:B1725,B1725),IF(COUNTIF($B$5:B1725,B1725)&lt;100,"0"&amp;COUNTIF($B$5:B1725,B1725),COUNTIF($B$5:B1725,B1725))))</f>
        <v>VIS_20300726_001</v>
      </c>
      <c r="B1725" s="40">
        <v>47690</v>
      </c>
      <c r="C1725" s="47" t="str">
        <f t="shared" si="52"/>
        <v>Пт</v>
      </c>
      <c r="I1725" s="46"/>
      <c r="J1725" s="39">
        <f t="shared" si="53"/>
        <v>47688</v>
      </c>
      <c r="K1725" t="str">
        <f ca="1">IF(AND(B1725&gt;='План недели'!$B$4,B1725&lt;'План недели'!$D$4,D1725&lt;&gt;"",G1725&lt;&gt;"Отменён"),COUNTIFS($B$5:B1725,"&gt;="&amp;'План недели'!$B$4,$B$5:B1725,"&lt;"&amp;'План недели'!$D$4,$D$5:D1725,"&lt;&gt;",$G$5:G1725,"&lt;&gt;Отменён"),"")</f>
        <v/>
      </c>
    </row>
    <row r="1726" spans="1:11">
      <c r="A1726" t="str">
        <f>IF(B1726="","","VIS_"&amp;(YEAR(B1726)*10000+MONTH(B1726)*100+DAY(B1726))&amp;"_"&amp;IF(COUNTIF($B$5:B1726,B1726)&lt;10,"00"&amp;COUNTIF($B$5:B1726,B1726),IF(COUNTIF($B$5:B1726,B1726)&lt;100,"0"&amp;COUNTIF($B$5:B1726,B1726),COUNTIF($B$5:B1726,B1726))))</f>
        <v>VIS_20300727_001</v>
      </c>
      <c r="B1726" s="42">
        <v>47691</v>
      </c>
      <c r="C1726" s="49" t="str">
        <f t="shared" si="52"/>
        <v>Сб</v>
      </c>
      <c r="I1726" s="46"/>
      <c r="J1726" s="39">
        <f t="shared" si="53"/>
        <v>47688</v>
      </c>
      <c r="K1726" t="str">
        <f ca="1">IF(AND(B1726&gt;='План недели'!$B$4,B1726&lt;'План недели'!$D$4,D1726&lt;&gt;"",G1726&lt;&gt;"Отменён"),COUNTIFS($B$5:B1726,"&gt;="&amp;'План недели'!$B$4,$B$5:B1726,"&lt;"&amp;'План недели'!$D$4,$D$5:D1726,"&lt;&gt;",$G$5:G1726,"&lt;&gt;Отменён"),"")</f>
        <v/>
      </c>
    </row>
    <row r="1727" spans="1:11">
      <c r="A1727" t="str">
        <f>IF(B1727="","","VIS_"&amp;(YEAR(B1727)*10000+MONTH(B1727)*100+DAY(B1727))&amp;"_"&amp;IF(COUNTIF($B$5:B1727,B1727)&lt;10,"00"&amp;COUNTIF($B$5:B1727,B1727),IF(COUNTIF($B$5:B1727,B1727)&lt;100,"0"&amp;COUNTIF($B$5:B1727,B1727),COUNTIF($B$5:B1727,B1727))))</f>
        <v>VIS_20300728_001</v>
      </c>
      <c r="B1727" s="42">
        <v>47692</v>
      </c>
      <c r="C1727" s="49" t="str">
        <f t="shared" si="52"/>
        <v>Вс</v>
      </c>
      <c r="I1727" s="46"/>
      <c r="J1727" s="39">
        <f t="shared" si="53"/>
        <v>47688</v>
      </c>
      <c r="K1727" t="str">
        <f ca="1">IF(AND(B1727&gt;='План недели'!$B$4,B1727&lt;'План недели'!$D$4,D1727&lt;&gt;"",G1727&lt;&gt;"Отменён"),COUNTIFS($B$5:B1727,"&gt;="&amp;'План недели'!$B$4,$B$5:B1727,"&lt;"&amp;'План недели'!$D$4,$D$5:D1727,"&lt;&gt;",$G$5:G1727,"&lt;&gt;Отменён"),"")</f>
        <v/>
      </c>
    </row>
    <row r="1728" spans="1:11">
      <c r="A1728" t="str">
        <f>IF(B1728="","","VIS_"&amp;(YEAR(B1728)*10000+MONTH(B1728)*100+DAY(B1728))&amp;"_"&amp;IF(COUNTIF($B$5:B1728,B1728)&lt;10,"00"&amp;COUNTIF($B$5:B1728,B1728),IF(COUNTIF($B$5:B1728,B1728)&lt;100,"0"&amp;COUNTIF($B$5:B1728,B1728),COUNTIF($B$5:B1728,B1728))))</f>
        <v>VIS_20300729_001</v>
      </c>
      <c r="B1728" s="40">
        <v>47693</v>
      </c>
      <c r="C1728" s="47" t="str">
        <f t="shared" si="52"/>
        <v>Пн</v>
      </c>
      <c r="I1728" s="46"/>
      <c r="J1728" s="39">
        <f t="shared" si="53"/>
        <v>47688</v>
      </c>
      <c r="K1728" t="str">
        <f ca="1">IF(AND(B1728&gt;='План недели'!$B$4,B1728&lt;'План недели'!$D$4,D1728&lt;&gt;"",G1728&lt;&gt;"Отменён"),COUNTIFS($B$5:B1728,"&gt;="&amp;'План недели'!$B$4,$B$5:B1728,"&lt;"&amp;'План недели'!$D$4,$D$5:D1728,"&lt;&gt;",$G$5:G1728,"&lt;&gt;Отменён"),"")</f>
        <v/>
      </c>
    </row>
    <row r="1729" spans="1:11">
      <c r="A1729" t="str">
        <f>IF(B1729="","","VIS_"&amp;(YEAR(B1729)*10000+MONTH(B1729)*100+DAY(B1729))&amp;"_"&amp;IF(COUNTIF($B$5:B1729,B1729)&lt;10,"00"&amp;COUNTIF($B$5:B1729,B1729),IF(COUNTIF($B$5:B1729,B1729)&lt;100,"0"&amp;COUNTIF($B$5:B1729,B1729),COUNTIF($B$5:B1729,B1729))))</f>
        <v>VIS_20300730_001</v>
      </c>
      <c r="B1729" s="40">
        <v>47694</v>
      </c>
      <c r="C1729" s="47" t="str">
        <f t="shared" si="52"/>
        <v>Вт</v>
      </c>
      <c r="I1729" s="46"/>
      <c r="J1729" s="39">
        <f t="shared" si="53"/>
        <v>47688</v>
      </c>
      <c r="K1729" t="str">
        <f ca="1">IF(AND(B1729&gt;='План недели'!$B$4,B1729&lt;'План недели'!$D$4,D1729&lt;&gt;"",G1729&lt;&gt;"Отменён"),COUNTIFS($B$5:B1729,"&gt;="&amp;'План недели'!$B$4,$B$5:B1729,"&lt;"&amp;'План недели'!$D$4,$D$5:D1729,"&lt;&gt;",$G$5:G1729,"&lt;&gt;Отменён"),"")</f>
        <v/>
      </c>
    </row>
    <row r="1730" spans="1:11">
      <c r="A1730" t="str">
        <f>IF(B1730="","","VIS_"&amp;(YEAR(B1730)*10000+MONTH(B1730)*100+DAY(B1730))&amp;"_"&amp;IF(COUNTIF($B$5:B1730,B1730)&lt;10,"00"&amp;COUNTIF($B$5:B1730,B1730),IF(COUNTIF($B$5:B1730,B1730)&lt;100,"0"&amp;COUNTIF($B$5:B1730,B1730),COUNTIF($B$5:B1730,B1730))))</f>
        <v>VIS_20300731_001</v>
      </c>
      <c r="B1730" s="40">
        <v>47695</v>
      </c>
      <c r="C1730" s="47" t="str">
        <f t="shared" si="52"/>
        <v>Ср</v>
      </c>
      <c r="I1730" s="46"/>
      <c r="J1730" s="39">
        <f t="shared" si="53"/>
        <v>47695</v>
      </c>
      <c r="K1730" t="str">
        <f ca="1">IF(AND(B1730&gt;='План недели'!$B$4,B1730&lt;'План недели'!$D$4,D1730&lt;&gt;"",G1730&lt;&gt;"Отменён"),COUNTIFS($B$5:B1730,"&gt;="&amp;'План недели'!$B$4,$B$5:B1730,"&lt;"&amp;'План недели'!$D$4,$D$5:D1730,"&lt;&gt;",$G$5:G1730,"&lt;&gt;Отменён"),"")</f>
        <v/>
      </c>
    </row>
    <row r="1731" spans="1:11">
      <c r="A1731" t="str">
        <f>IF(B1731="","","VIS_"&amp;(YEAR(B1731)*10000+MONTH(B1731)*100+DAY(B1731))&amp;"_"&amp;IF(COUNTIF($B$5:B1731,B1731)&lt;10,"00"&amp;COUNTIF($B$5:B1731,B1731),IF(COUNTIF($B$5:B1731,B1731)&lt;100,"0"&amp;COUNTIF($B$5:B1731,B1731),COUNTIF($B$5:B1731,B1731))))</f>
        <v>VIS_20300801_001</v>
      </c>
      <c r="B1731" s="40">
        <v>47696</v>
      </c>
      <c r="C1731" s="47" t="str">
        <f t="shared" si="52"/>
        <v>Чт</v>
      </c>
      <c r="I1731" s="46"/>
      <c r="J1731" s="39">
        <f t="shared" si="53"/>
        <v>47695</v>
      </c>
      <c r="K1731" t="str">
        <f ca="1">IF(AND(B1731&gt;='План недели'!$B$4,B1731&lt;'План недели'!$D$4,D1731&lt;&gt;"",G1731&lt;&gt;"Отменён"),COUNTIFS($B$5:B1731,"&gt;="&amp;'План недели'!$B$4,$B$5:B1731,"&lt;"&amp;'План недели'!$D$4,$D$5:D1731,"&lt;&gt;",$G$5:G1731,"&lt;&gt;Отменён"),"")</f>
        <v/>
      </c>
    </row>
    <row r="1732" spans="1:11">
      <c r="A1732" t="str">
        <f>IF(B1732="","","VIS_"&amp;(YEAR(B1732)*10000+MONTH(B1732)*100+DAY(B1732))&amp;"_"&amp;IF(COUNTIF($B$5:B1732,B1732)&lt;10,"00"&amp;COUNTIF($B$5:B1732,B1732),IF(COUNTIF($B$5:B1732,B1732)&lt;100,"0"&amp;COUNTIF($B$5:B1732,B1732),COUNTIF($B$5:B1732,B1732))))</f>
        <v>VIS_20300802_001</v>
      </c>
      <c r="B1732" s="40">
        <v>47697</v>
      </c>
      <c r="C1732" s="47" t="str">
        <f t="shared" si="52"/>
        <v>Пт</v>
      </c>
      <c r="I1732" s="46"/>
      <c r="J1732" s="39">
        <f t="shared" si="53"/>
        <v>47695</v>
      </c>
      <c r="K1732" t="str">
        <f ca="1">IF(AND(B1732&gt;='План недели'!$B$4,B1732&lt;'План недели'!$D$4,D1732&lt;&gt;"",G1732&lt;&gt;"Отменён"),COUNTIFS($B$5:B1732,"&gt;="&amp;'План недели'!$B$4,$B$5:B1732,"&lt;"&amp;'План недели'!$D$4,$D$5:D1732,"&lt;&gt;",$G$5:G1732,"&lt;&gt;Отменён"),"")</f>
        <v/>
      </c>
    </row>
    <row r="1733" spans="1:11">
      <c r="A1733" t="str">
        <f>IF(B1733="","","VIS_"&amp;(YEAR(B1733)*10000+MONTH(B1733)*100+DAY(B1733))&amp;"_"&amp;IF(COUNTIF($B$5:B1733,B1733)&lt;10,"00"&amp;COUNTIF($B$5:B1733,B1733),IF(COUNTIF($B$5:B1733,B1733)&lt;100,"0"&amp;COUNTIF($B$5:B1733,B1733),COUNTIF($B$5:B1733,B1733))))</f>
        <v>VIS_20300803_001</v>
      </c>
      <c r="B1733" s="42">
        <v>47698</v>
      </c>
      <c r="C1733" s="49" t="str">
        <f t="shared" ref="C1733:C1796" si="54">IF(B1733="","",CHOOSE(WEEKDAY(B1733,2),"Пн","Вт","Ср","Чт","Пт","Сб","Вс"))</f>
        <v>Сб</v>
      </c>
      <c r="I1733" s="46"/>
      <c r="J1733" s="39">
        <f t="shared" ref="J1733:J1796" si="55">IF(B1733="","",B1733-MOD(WEEKDAY(B1733,2)-3,7))</f>
        <v>47695</v>
      </c>
      <c r="K1733" t="str">
        <f ca="1">IF(AND(B1733&gt;='План недели'!$B$4,B1733&lt;'План недели'!$D$4,D1733&lt;&gt;"",G1733&lt;&gt;"Отменён"),COUNTIFS($B$5:B1733,"&gt;="&amp;'План недели'!$B$4,$B$5:B1733,"&lt;"&amp;'План недели'!$D$4,$D$5:D1733,"&lt;&gt;",$G$5:G1733,"&lt;&gt;Отменён"),"")</f>
        <v/>
      </c>
    </row>
    <row r="1734" spans="1:11">
      <c r="A1734" t="str">
        <f>IF(B1734="","","VIS_"&amp;(YEAR(B1734)*10000+MONTH(B1734)*100+DAY(B1734))&amp;"_"&amp;IF(COUNTIF($B$5:B1734,B1734)&lt;10,"00"&amp;COUNTIF($B$5:B1734,B1734),IF(COUNTIF($B$5:B1734,B1734)&lt;100,"0"&amp;COUNTIF($B$5:B1734,B1734),COUNTIF($B$5:B1734,B1734))))</f>
        <v>VIS_20300804_001</v>
      </c>
      <c r="B1734" s="42">
        <v>47699</v>
      </c>
      <c r="C1734" s="49" t="str">
        <f t="shared" si="54"/>
        <v>Вс</v>
      </c>
      <c r="I1734" s="46"/>
      <c r="J1734" s="39">
        <f t="shared" si="55"/>
        <v>47695</v>
      </c>
      <c r="K1734" t="str">
        <f ca="1">IF(AND(B1734&gt;='План недели'!$B$4,B1734&lt;'План недели'!$D$4,D1734&lt;&gt;"",G1734&lt;&gt;"Отменён"),COUNTIFS($B$5:B1734,"&gt;="&amp;'План недели'!$B$4,$B$5:B1734,"&lt;"&amp;'План недели'!$D$4,$D$5:D1734,"&lt;&gt;",$G$5:G1734,"&lt;&gt;Отменён"),"")</f>
        <v/>
      </c>
    </row>
    <row r="1735" spans="1:11">
      <c r="A1735" t="str">
        <f>IF(B1735="","","VIS_"&amp;(YEAR(B1735)*10000+MONTH(B1735)*100+DAY(B1735))&amp;"_"&amp;IF(COUNTIF($B$5:B1735,B1735)&lt;10,"00"&amp;COUNTIF($B$5:B1735,B1735),IF(COUNTIF($B$5:B1735,B1735)&lt;100,"0"&amp;COUNTIF($B$5:B1735,B1735),COUNTIF($B$5:B1735,B1735))))</f>
        <v>VIS_20300805_001</v>
      </c>
      <c r="B1735" s="40">
        <v>47700</v>
      </c>
      <c r="C1735" s="47" t="str">
        <f t="shared" si="54"/>
        <v>Пн</v>
      </c>
      <c r="I1735" s="46"/>
      <c r="J1735" s="39">
        <f t="shared" si="55"/>
        <v>47695</v>
      </c>
      <c r="K1735" t="str">
        <f ca="1">IF(AND(B1735&gt;='План недели'!$B$4,B1735&lt;'План недели'!$D$4,D1735&lt;&gt;"",G1735&lt;&gt;"Отменён"),COUNTIFS($B$5:B1735,"&gt;="&amp;'План недели'!$B$4,$B$5:B1735,"&lt;"&amp;'План недели'!$D$4,$D$5:D1735,"&lt;&gt;",$G$5:G1735,"&lt;&gt;Отменён"),"")</f>
        <v/>
      </c>
    </row>
    <row r="1736" spans="1:11">
      <c r="A1736" t="str">
        <f>IF(B1736="","","VIS_"&amp;(YEAR(B1736)*10000+MONTH(B1736)*100+DAY(B1736))&amp;"_"&amp;IF(COUNTIF($B$5:B1736,B1736)&lt;10,"00"&amp;COUNTIF($B$5:B1736,B1736),IF(COUNTIF($B$5:B1736,B1736)&lt;100,"0"&amp;COUNTIF($B$5:B1736,B1736),COUNTIF($B$5:B1736,B1736))))</f>
        <v>VIS_20300806_001</v>
      </c>
      <c r="B1736" s="40">
        <v>47701</v>
      </c>
      <c r="C1736" s="47" t="str">
        <f t="shared" si="54"/>
        <v>Вт</v>
      </c>
      <c r="I1736" s="46"/>
      <c r="J1736" s="39">
        <f t="shared" si="55"/>
        <v>47695</v>
      </c>
      <c r="K1736" t="str">
        <f ca="1">IF(AND(B1736&gt;='План недели'!$B$4,B1736&lt;'План недели'!$D$4,D1736&lt;&gt;"",G1736&lt;&gt;"Отменён"),COUNTIFS($B$5:B1736,"&gt;="&amp;'План недели'!$B$4,$B$5:B1736,"&lt;"&amp;'План недели'!$D$4,$D$5:D1736,"&lt;&gt;",$G$5:G1736,"&lt;&gt;Отменён"),"")</f>
        <v/>
      </c>
    </row>
    <row r="1737" spans="1:11">
      <c r="A1737" t="str">
        <f>IF(B1737="","","VIS_"&amp;(YEAR(B1737)*10000+MONTH(B1737)*100+DAY(B1737))&amp;"_"&amp;IF(COUNTIF($B$5:B1737,B1737)&lt;10,"00"&amp;COUNTIF($B$5:B1737,B1737),IF(COUNTIF($B$5:B1737,B1737)&lt;100,"0"&amp;COUNTIF($B$5:B1737,B1737),COUNTIF($B$5:B1737,B1737))))</f>
        <v>VIS_20300807_001</v>
      </c>
      <c r="B1737" s="40">
        <v>47702</v>
      </c>
      <c r="C1737" s="47" t="str">
        <f t="shared" si="54"/>
        <v>Ср</v>
      </c>
      <c r="I1737" s="46"/>
      <c r="J1737" s="39">
        <f t="shared" si="55"/>
        <v>47702</v>
      </c>
      <c r="K1737" t="str">
        <f ca="1">IF(AND(B1737&gt;='План недели'!$B$4,B1737&lt;'План недели'!$D$4,D1737&lt;&gt;"",G1737&lt;&gt;"Отменён"),COUNTIFS($B$5:B1737,"&gt;="&amp;'План недели'!$B$4,$B$5:B1737,"&lt;"&amp;'План недели'!$D$4,$D$5:D1737,"&lt;&gt;",$G$5:G1737,"&lt;&gt;Отменён"),"")</f>
        <v/>
      </c>
    </row>
    <row r="1738" spans="1:11">
      <c r="A1738" t="str">
        <f>IF(B1738="","","VIS_"&amp;(YEAR(B1738)*10000+MONTH(B1738)*100+DAY(B1738))&amp;"_"&amp;IF(COUNTIF($B$5:B1738,B1738)&lt;10,"00"&amp;COUNTIF($B$5:B1738,B1738),IF(COUNTIF($B$5:B1738,B1738)&lt;100,"0"&amp;COUNTIF($B$5:B1738,B1738),COUNTIF($B$5:B1738,B1738))))</f>
        <v>VIS_20300808_001</v>
      </c>
      <c r="B1738" s="40">
        <v>47703</v>
      </c>
      <c r="C1738" s="47" t="str">
        <f t="shared" si="54"/>
        <v>Чт</v>
      </c>
      <c r="I1738" s="46"/>
      <c r="J1738" s="39">
        <f t="shared" si="55"/>
        <v>47702</v>
      </c>
      <c r="K1738" t="str">
        <f ca="1">IF(AND(B1738&gt;='План недели'!$B$4,B1738&lt;'План недели'!$D$4,D1738&lt;&gt;"",G1738&lt;&gt;"Отменён"),COUNTIFS($B$5:B1738,"&gt;="&amp;'План недели'!$B$4,$B$5:B1738,"&lt;"&amp;'План недели'!$D$4,$D$5:D1738,"&lt;&gt;",$G$5:G1738,"&lt;&gt;Отменён"),"")</f>
        <v/>
      </c>
    </row>
    <row r="1739" spans="1:11">
      <c r="A1739" t="str">
        <f>IF(B1739="","","VIS_"&amp;(YEAR(B1739)*10000+MONTH(B1739)*100+DAY(B1739))&amp;"_"&amp;IF(COUNTIF($B$5:B1739,B1739)&lt;10,"00"&amp;COUNTIF($B$5:B1739,B1739),IF(COUNTIF($B$5:B1739,B1739)&lt;100,"0"&amp;COUNTIF($B$5:B1739,B1739),COUNTIF($B$5:B1739,B1739))))</f>
        <v>VIS_20300809_001</v>
      </c>
      <c r="B1739" s="40">
        <v>47704</v>
      </c>
      <c r="C1739" s="47" t="str">
        <f t="shared" si="54"/>
        <v>Пт</v>
      </c>
      <c r="I1739" s="46"/>
      <c r="J1739" s="39">
        <f t="shared" si="55"/>
        <v>47702</v>
      </c>
      <c r="K1739" t="str">
        <f ca="1">IF(AND(B1739&gt;='План недели'!$B$4,B1739&lt;'План недели'!$D$4,D1739&lt;&gt;"",G1739&lt;&gt;"Отменён"),COUNTIFS($B$5:B1739,"&gt;="&amp;'План недели'!$B$4,$B$5:B1739,"&lt;"&amp;'План недели'!$D$4,$D$5:D1739,"&lt;&gt;",$G$5:G1739,"&lt;&gt;Отменён"),"")</f>
        <v/>
      </c>
    </row>
    <row r="1740" spans="1:11">
      <c r="A1740" t="str">
        <f>IF(B1740="","","VIS_"&amp;(YEAR(B1740)*10000+MONTH(B1740)*100+DAY(B1740))&amp;"_"&amp;IF(COUNTIF($B$5:B1740,B1740)&lt;10,"00"&amp;COUNTIF($B$5:B1740,B1740),IF(COUNTIF($B$5:B1740,B1740)&lt;100,"0"&amp;COUNTIF($B$5:B1740,B1740),COUNTIF($B$5:B1740,B1740))))</f>
        <v>VIS_20300810_001</v>
      </c>
      <c r="B1740" s="42">
        <v>47705</v>
      </c>
      <c r="C1740" s="49" t="str">
        <f t="shared" si="54"/>
        <v>Сб</v>
      </c>
      <c r="I1740" s="46"/>
      <c r="J1740" s="39">
        <f t="shared" si="55"/>
        <v>47702</v>
      </c>
      <c r="K1740" t="str">
        <f ca="1">IF(AND(B1740&gt;='План недели'!$B$4,B1740&lt;'План недели'!$D$4,D1740&lt;&gt;"",G1740&lt;&gt;"Отменён"),COUNTIFS($B$5:B1740,"&gt;="&amp;'План недели'!$B$4,$B$5:B1740,"&lt;"&amp;'План недели'!$D$4,$D$5:D1740,"&lt;&gt;",$G$5:G1740,"&lt;&gt;Отменён"),"")</f>
        <v/>
      </c>
    </row>
    <row r="1741" spans="1:11">
      <c r="A1741" t="str">
        <f>IF(B1741="","","VIS_"&amp;(YEAR(B1741)*10000+MONTH(B1741)*100+DAY(B1741))&amp;"_"&amp;IF(COUNTIF($B$5:B1741,B1741)&lt;10,"00"&amp;COUNTIF($B$5:B1741,B1741),IF(COUNTIF($B$5:B1741,B1741)&lt;100,"0"&amp;COUNTIF($B$5:B1741,B1741),COUNTIF($B$5:B1741,B1741))))</f>
        <v>VIS_20300811_001</v>
      </c>
      <c r="B1741" s="42">
        <v>47706</v>
      </c>
      <c r="C1741" s="49" t="str">
        <f t="shared" si="54"/>
        <v>Вс</v>
      </c>
      <c r="I1741" s="46"/>
      <c r="J1741" s="39">
        <f t="shared" si="55"/>
        <v>47702</v>
      </c>
      <c r="K1741" t="str">
        <f ca="1">IF(AND(B1741&gt;='План недели'!$B$4,B1741&lt;'План недели'!$D$4,D1741&lt;&gt;"",G1741&lt;&gt;"Отменён"),COUNTIFS($B$5:B1741,"&gt;="&amp;'План недели'!$B$4,$B$5:B1741,"&lt;"&amp;'План недели'!$D$4,$D$5:D1741,"&lt;&gt;",$G$5:G1741,"&lt;&gt;Отменён"),"")</f>
        <v/>
      </c>
    </row>
    <row r="1742" spans="1:11">
      <c r="A1742" t="str">
        <f>IF(B1742="","","VIS_"&amp;(YEAR(B1742)*10000+MONTH(B1742)*100+DAY(B1742))&amp;"_"&amp;IF(COUNTIF($B$5:B1742,B1742)&lt;10,"00"&amp;COUNTIF($B$5:B1742,B1742),IF(COUNTIF($B$5:B1742,B1742)&lt;100,"0"&amp;COUNTIF($B$5:B1742,B1742),COUNTIF($B$5:B1742,B1742))))</f>
        <v>VIS_20300812_001</v>
      </c>
      <c r="B1742" s="40">
        <v>47707</v>
      </c>
      <c r="C1742" s="47" t="str">
        <f t="shared" si="54"/>
        <v>Пн</v>
      </c>
      <c r="I1742" s="46"/>
      <c r="J1742" s="39">
        <f t="shared" si="55"/>
        <v>47702</v>
      </c>
      <c r="K1742" t="str">
        <f ca="1">IF(AND(B1742&gt;='План недели'!$B$4,B1742&lt;'План недели'!$D$4,D1742&lt;&gt;"",G1742&lt;&gt;"Отменён"),COUNTIFS($B$5:B1742,"&gt;="&amp;'План недели'!$B$4,$B$5:B1742,"&lt;"&amp;'План недели'!$D$4,$D$5:D1742,"&lt;&gt;",$G$5:G1742,"&lt;&gt;Отменён"),"")</f>
        <v/>
      </c>
    </row>
    <row r="1743" spans="1:11">
      <c r="A1743" t="str">
        <f>IF(B1743="","","VIS_"&amp;(YEAR(B1743)*10000+MONTH(B1743)*100+DAY(B1743))&amp;"_"&amp;IF(COUNTIF($B$5:B1743,B1743)&lt;10,"00"&amp;COUNTIF($B$5:B1743,B1743),IF(COUNTIF($B$5:B1743,B1743)&lt;100,"0"&amp;COUNTIF($B$5:B1743,B1743),COUNTIF($B$5:B1743,B1743))))</f>
        <v>VIS_20300813_001</v>
      </c>
      <c r="B1743" s="40">
        <v>47708</v>
      </c>
      <c r="C1743" s="47" t="str">
        <f t="shared" si="54"/>
        <v>Вт</v>
      </c>
      <c r="I1743" s="46"/>
      <c r="J1743" s="39">
        <f t="shared" si="55"/>
        <v>47702</v>
      </c>
      <c r="K1743" t="str">
        <f ca="1">IF(AND(B1743&gt;='План недели'!$B$4,B1743&lt;'План недели'!$D$4,D1743&lt;&gt;"",G1743&lt;&gt;"Отменён"),COUNTIFS($B$5:B1743,"&gt;="&amp;'План недели'!$B$4,$B$5:B1743,"&lt;"&amp;'План недели'!$D$4,$D$5:D1743,"&lt;&gt;",$G$5:G1743,"&lt;&gt;Отменён"),"")</f>
        <v/>
      </c>
    </row>
    <row r="1744" spans="1:11">
      <c r="A1744" t="str">
        <f>IF(B1744="","","VIS_"&amp;(YEAR(B1744)*10000+MONTH(B1744)*100+DAY(B1744))&amp;"_"&amp;IF(COUNTIF($B$5:B1744,B1744)&lt;10,"00"&amp;COUNTIF($B$5:B1744,B1744),IF(COUNTIF($B$5:B1744,B1744)&lt;100,"0"&amp;COUNTIF($B$5:B1744,B1744),COUNTIF($B$5:B1744,B1744))))</f>
        <v>VIS_20300814_001</v>
      </c>
      <c r="B1744" s="40">
        <v>47709</v>
      </c>
      <c r="C1744" s="47" t="str">
        <f t="shared" si="54"/>
        <v>Ср</v>
      </c>
      <c r="I1744" s="46"/>
      <c r="J1744" s="39">
        <f t="shared" si="55"/>
        <v>47709</v>
      </c>
      <c r="K1744" t="str">
        <f ca="1">IF(AND(B1744&gt;='План недели'!$B$4,B1744&lt;'План недели'!$D$4,D1744&lt;&gt;"",G1744&lt;&gt;"Отменён"),COUNTIFS($B$5:B1744,"&gt;="&amp;'План недели'!$B$4,$B$5:B1744,"&lt;"&amp;'План недели'!$D$4,$D$5:D1744,"&lt;&gt;",$G$5:G1744,"&lt;&gt;Отменён"),"")</f>
        <v/>
      </c>
    </row>
    <row r="1745" spans="1:11">
      <c r="A1745" t="str">
        <f>IF(B1745="","","VIS_"&amp;(YEAR(B1745)*10000+MONTH(B1745)*100+DAY(B1745))&amp;"_"&amp;IF(COUNTIF($B$5:B1745,B1745)&lt;10,"00"&amp;COUNTIF($B$5:B1745,B1745),IF(COUNTIF($B$5:B1745,B1745)&lt;100,"0"&amp;COUNTIF($B$5:B1745,B1745),COUNTIF($B$5:B1745,B1745))))</f>
        <v>VIS_20300815_001</v>
      </c>
      <c r="B1745" s="40">
        <v>47710</v>
      </c>
      <c r="C1745" s="47" t="str">
        <f t="shared" si="54"/>
        <v>Чт</v>
      </c>
      <c r="I1745" s="46"/>
      <c r="J1745" s="39">
        <f t="shared" si="55"/>
        <v>47709</v>
      </c>
      <c r="K1745" t="str">
        <f ca="1">IF(AND(B1745&gt;='План недели'!$B$4,B1745&lt;'План недели'!$D$4,D1745&lt;&gt;"",G1745&lt;&gt;"Отменён"),COUNTIFS($B$5:B1745,"&gt;="&amp;'План недели'!$B$4,$B$5:B1745,"&lt;"&amp;'План недели'!$D$4,$D$5:D1745,"&lt;&gt;",$G$5:G1745,"&lt;&gt;Отменён"),"")</f>
        <v/>
      </c>
    </row>
    <row r="1746" spans="1:11">
      <c r="A1746" t="str">
        <f>IF(B1746="","","VIS_"&amp;(YEAR(B1746)*10000+MONTH(B1746)*100+DAY(B1746))&amp;"_"&amp;IF(COUNTIF($B$5:B1746,B1746)&lt;10,"00"&amp;COUNTIF($B$5:B1746,B1746),IF(COUNTIF($B$5:B1746,B1746)&lt;100,"0"&amp;COUNTIF($B$5:B1746,B1746),COUNTIF($B$5:B1746,B1746))))</f>
        <v>VIS_20300816_001</v>
      </c>
      <c r="B1746" s="40">
        <v>47711</v>
      </c>
      <c r="C1746" s="47" t="str">
        <f t="shared" si="54"/>
        <v>Пт</v>
      </c>
      <c r="I1746" s="46"/>
      <c r="J1746" s="39">
        <f t="shared" si="55"/>
        <v>47709</v>
      </c>
      <c r="K1746" t="str">
        <f ca="1">IF(AND(B1746&gt;='План недели'!$B$4,B1746&lt;'План недели'!$D$4,D1746&lt;&gt;"",G1746&lt;&gt;"Отменён"),COUNTIFS($B$5:B1746,"&gt;="&amp;'План недели'!$B$4,$B$5:B1746,"&lt;"&amp;'План недели'!$D$4,$D$5:D1746,"&lt;&gt;",$G$5:G1746,"&lt;&gt;Отменён"),"")</f>
        <v/>
      </c>
    </row>
    <row r="1747" spans="1:11">
      <c r="A1747" t="str">
        <f>IF(B1747="","","VIS_"&amp;(YEAR(B1747)*10000+MONTH(B1747)*100+DAY(B1747))&amp;"_"&amp;IF(COUNTIF($B$5:B1747,B1747)&lt;10,"00"&amp;COUNTIF($B$5:B1747,B1747),IF(COUNTIF($B$5:B1747,B1747)&lt;100,"0"&amp;COUNTIF($B$5:B1747,B1747),COUNTIF($B$5:B1747,B1747))))</f>
        <v>VIS_20300817_001</v>
      </c>
      <c r="B1747" s="42">
        <v>47712</v>
      </c>
      <c r="C1747" s="49" t="str">
        <f t="shared" si="54"/>
        <v>Сб</v>
      </c>
      <c r="I1747" s="46"/>
      <c r="J1747" s="39">
        <f t="shared" si="55"/>
        <v>47709</v>
      </c>
      <c r="K1747" t="str">
        <f ca="1">IF(AND(B1747&gt;='План недели'!$B$4,B1747&lt;'План недели'!$D$4,D1747&lt;&gt;"",G1747&lt;&gt;"Отменён"),COUNTIFS($B$5:B1747,"&gt;="&amp;'План недели'!$B$4,$B$5:B1747,"&lt;"&amp;'План недели'!$D$4,$D$5:D1747,"&lt;&gt;",$G$5:G1747,"&lt;&gt;Отменён"),"")</f>
        <v/>
      </c>
    </row>
    <row r="1748" spans="1:11">
      <c r="A1748" t="str">
        <f>IF(B1748="","","VIS_"&amp;(YEAR(B1748)*10000+MONTH(B1748)*100+DAY(B1748))&amp;"_"&amp;IF(COUNTIF($B$5:B1748,B1748)&lt;10,"00"&amp;COUNTIF($B$5:B1748,B1748),IF(COUNTIF($B$5:B1748,B1748)&lt;100,"0"&amp;COUNTIF($B$5:B1748,B1748),COUNTIF($B$5:B1748,B1748))))</f>
        <v>VIS_20300818_001</v>
      </c>
      <c r="B1748" s="42">
        <v>47713</v>
      </c>
      <c r="C1748" s="49" t="str">
        <f t="shared" si="54"/>
        <v>Вс</v>
      </c>
      <c r="I1748" s="46"/>
      <c r="J1748" s="39">
        <f t="shared" si="55"/>
        <v>47709</v>
      </c>
      <c r="K1748" t="str">
        <f ca="1">IF(AND(B1748&gt;='План недели'!$B$4,B1748&lt;'План недели'!$D$4,D1748&lt;&gt;"",G1748&lt;&gt;"Отменён"),COUNTIFS($B$5:B1748,"&gt;="&amp;'План недели'!$B$4,$B$5:B1748,"&lt;"&amp;'План недели'!$D$4,$D$5:D1748,"&lt;&gt;",$G$5:G1748,"&lt;&gt;Отменён"),"")</f>
        <v/>
      </c>
    </row>
    <row r="1749" spans="1:11">
      <c r="A1749" t="str">
        <f>IF(B1749="","","VIS_"&amp;(YEAR(B1749)*10000+MONTH(B1749)*100+DAY(B1749))&amp;"_"&amp;IF(COUNTIF($B$5:B1749,B1749)&lt;10,"00"&amp;COUNTIF($B$5:B1749,B1749),IF(COUNTIF($B$5:B1749,B1749)&lt;100,"0"&amp;COUNTIF($B$5:B1749,B1749),COUNTIF($B$5:B1749,B1749))))</f>
        <v>VIS_20300819_001</v>
      </c>
      <c r="B1749" s="40">
        <v>47714</v>
      </c>
      <c r="C1749" s="47" t="str">
        <f t="shared" si="54"/>
        <v>Пн</v>
      </c>
      <c r="I1749" s="46"/>
      <c r="J1749" s="39">
        <f t="shared" si="55"/>
        <v>47709</v>
      </c>
      <c r="K1749" t="str">
        <f ca="1">IF(AND(B1749&gt;='План недели'!$B$4,B1749&lt;'План недели'!$D$4,D1749&lt;&gt;"",G1749&lt;&gt;"Отменён"),COUNTIFS($B$5:B1749,"&gt;="&amp;'План недели'!$B$4,$B$5:B1749,"&lt;"&amp;'План недели'!$D$4,$D$5:D1749,"&lt;&gt;",$G$5:G1749,"&lt;&gt;Отменён"),"")</f>
        <v/>
      </c>
    </row>
    <row r="1750" spans="1:11">
      <c r="A1750" t="str">
        <f>IF(B1750="","","VIS_"&amp;(YEAR(B1750)*10000+MONTH(B1750)*100+DAY(B1750))&amp;"_"&amp;IF(COUNTIF($B$5:B1750,B1750)&lt;10,"00"&amp;COUNTIF($B$5:B1750,B1750),IF(COUNTIF($B$5:B1750,B1750)&lt;100,"0"&amp;COUNTIF($B$5:B1750,B1750),COUNTIF($B$5:B1750,B1750))))</f>
        <v>VIS_20300820_001</v>
      </c>
      <c r="B1750" s="40">
        <v>47715</v>
      </c>
      <c r="C1750" s="47" t="str">
        <f t="shared" si="54"/>
        <v>Вт</v>
      </c>
      <c r="I1750" s="46"/>
      <c r="J1750" s="39">
        <f t="shared" si="55"/>
        <v>47709</v>
      </c>
      <c r="K1750" t="str">
        <f ca="1">IF(AND(B1750&gt;='План недели'!$B$4,B1750&lt;'План недели'!$D$4,D1750&lt;&gt;"",G1750&lt;&gt;"Отменён"),COUNTIFS($B$5:B1750,"&gt;="&amp;'План недели'!$B$4,$B$5:B1750,"&lt;"&amp;'План недели'!$D$4,$D$5:D1750,"&lt;&gt;",$G$5:G1750,"&lt;&gt;Отменён"),"")</f>
        <v/>
      </c>
    </row>
    <row r="1751" spans="1:11">
      <c r="A1751" t="str">
        <f>IF(B1751="","","VIS_"&amp;(YEAR(B1751)*10000+MONTH(B1751)*100+DAY(B1751))&amp;"_"&amp;IF(COUNTIF($B$5:B1751,B1751)&lt;10,"00"&amp;COUNTIF($B$5:B1751,B1751),IF(COUNTIF($B$5:B1751,B1751)&lt;100,"0"&amp;COUNTIF($B$5:B1751,B1751),COUNTIF($B$5:B1751,B1751))))</f>
        <v>VIS_20300821_001</v>
      </c>
      <c r="B1751" s="40">
        <v>47716</v>
      </c>
      <c r="C1751" s="47" t="str">
        <f t="shared" si="54"/>
        <v>Ср</v>
      </c>
      <c r="I1751" s="46"/>
      <c r="J1751" s="39">
        <f t="shared" si="55"/>
        <v>47716</v>
      </c>
      <c r="K1751" t="str">
        <f ca="1">IF(AND(B1751&gt;='План недели'!$B$4,B1751&lt;'План недели'!$D$4,D1751&lt;&gt;"",G1751&lt;&gt;"Отменён"),COUNTIFS($B$5:B1751,"&gt;="&amp;'План недели'!$B$4,$B$5:B1751,"&lt;"&amp;'План недели'!$D$4,$D$5:D1751,"&lt;&gt;",$G$5:G1751,"&lt;&gt;Отменён"),"")</f>
        <v/>
      </c>
    </row>
    <row r="1752" spans="1:11">
      <c r="A1752" t="str">
        <f>IF(B1752="","","VIS_"&amp;(YEAR(B1752)*10000+MONTH(B1752)*100+DAY(B1752))&amp;"_"&amp;IF(COUNTIF($B$5:B1752,B1752)&lt;10,"00"&amp;COUNTIF($B$5:B1752,B1752),IF(COUNTIF($B$5:B1752,B1752)&lt;100,"0"&amp;COUNTIF($B$5:B1752,B1752),COUNTIF($B$5:B1752,B1752))))</f>
        <v>VIS_20300822_001</v>
      </c>
      <c r="B1752" s="40">
        <v>47717</v>
      </c>
      <c r="C1752" s="47" t="str">
        <f t="shared" si="54"/>
        <v>Чт</v>
      </c>
      <c r="I1752" s="46"/>
      <c r="J1752" s="39">
        <f t="shared" si="55"/>
        <v>47716</v>
      </c>
      <c r="K1752" t="str">
        <f ca="1">IF(AND(B1752&gt;='План недели'!$B$4,B1752&lt;'План недели'!$D$4,D1752&lt;&gt;"",G1752&lt;&gt;"Отменён"),COUNTIFS($B$5:B1752,"&gt;="&amp;'План недели'!$B$4,$B$5:B1752,"&lt;"&amp;'План недели'!$D$4,$D$5:D1752,"&lt;&gt;",$G$5:G1752,"&lt;&gt;Отменён"),"")</f>
        <v/>
      </c>
    </row>
    <row r="1753" spans="1:11">
      <c r="A1753" t="str">
        <f>IF(B1753="","","VIS_"&amp;(YEAR(B1753)*10000+MONTH(B1753)*100+DAY(B1753))&amp;"_"&amp;IF(COUNTIF($B$5:B1753,B1753)&lt;10,"00"&amp;COUNTIF($B$5:B1753,B1753),IF(COUNTIF($B$5:B1753,B1753)&lt;100,"0"&amp;COUNTIF($B$5:B1753,B1753),COUNTIF($B$5:B1753,B1753))))</f>
        <v>VIS_20300823_001</v>
      </c>
      <c r="B1753" s="40">
        <v>47718</v>
      </c>
      <c r="C1753" s="47" t="str">
        <f t="shared" si="54"/>
        <v>Пт</v>
      </c>
      <c r="I1753" s="46"/>
      <c r="J1753" s="39">
        <f t="shared" si="55"/>
        <v>47716</v>
      </c>
      <c r="K1753" t="str">
        <f ca="1">IF(AND(B1753&gt;='План недели'!$B$4,B1753&lt;'План недели'!$D$4,D1753&lt;&gt;"",G1753&lt;&gt;"Отменён"),COUNTIFS($B$5:B1753,"&gt;="&amp;'План недели'!$B$4,$B$5:B1753,"&lt;"&amp;'План недели'!$D$4,$D$5:D1753,"&lt;&gt;",$G$5:G1753,"&lt;&gt;Отменён"),"")</f>
        <v/>
      </c>
    </row>
    <row r="1754" spans="1:11">
      <c r="A1754" t="str">
        <f>IF(B1754="","","VIS_"&amp;(YEAR(B1754)*10000+MONTH(B1754)*100+DAY(B1754))&amp;"_"&amp;IF(COUNTIF($B$5:B1754,B1754)&lt;10,"00"&amp;COUNTIF($B$5:B1754,B1754),IF(COUNTIF($B$5:B1754,B1754)&lt;100,"0"&amp;COUNTIF($B$5:B1754,B1754),COUNTIF($B$5:B1754,B1754))))</f>
        <v>VIS_20300824_001</v>
      </c>
      <c r="B1754" s="42">
        <v>47719</v>
      </c>
      <c r="C1754" s="49" t="str">
        <f t="shared" si="54"/>
        <v>Сб</v>
      </c>
      <c r="I1754" s="46"/>
      <c r="J1754" s="39">
        <f t="shared" si="55"/>
        <v>47716</v>
      </c>
      <c r="K1754" t="str">
        <f ca="1">IF(AND(B1754&gt;='План недели'!$B$4,B1754&lt;'План недели'!$D$4,D1754&lt;&gt;"",G1754&lt;&gt;"Отменён"),COUNTIFS($B$5:B1754,"&gt;="&amp;'План недели'!$B$4,$B$5:B1754,"&lt;"&amp;'План недели'!$D$4,$D$5:D1754,"&lt;&gt;",$G$5:G1754,"&lt;&gt;Отменён"),"")</f>
        <v/>
      </c>
    </row>
    <row r="1755" spans="1:11">
      <c r="A1755" t="str">
        <f>IF(B1755="","","VIS_"&amp;(YEAR(B1755)*10000+MONTH(B1755)*100+DAY(B1755))&amp;"_"&amp;IF(COUNTIF($B$5:B1755,B1755)&lt;10,"00"&amp;COUNTIF($B$5:B1755,B1755),IF(COUNTIF($B$5:B1755,B1755)&lt;100,"0"&amp;COUNTIF($B$5:B1755,B1755),COUNTIF($B$5:B1755,B1755))))</f>
        <v>VIS_20300825_001</v>
      </c>
      <c r="B1755" s="42">
        <v>47720</v>
      </c>
      <c r="C1755" s="49" t="str">
        <f t="shared" si="54"/>
        <v>Вс</v>
      </c>
      <c r="I1755" s="46"/>
      <c r="J1755" s="39">
        <f t="shared" si="55"/>
        <v>47716</v>
      </c>
      <c r="K1755" t="str">
        <f ca="1">IF(AND(B1755&gt;='План недели'!$B$4,B1755&lt;'План недели'!$D$4,D1755&lt;&gt;"",G1755&lt;&gt;"Отменён"),COUNTIFS($B$5:B1755,"&gt;="&amp;'План недели'!$B$4,$B$5:B1755,"&lt;"&amp;'План недели'!$D$4,$D$5:D1755,"&lt;&gt;",$G$5:G1755,"&lt;&gt;Отменён"),"")</f>
        <v/>
      </c>
    </row>
    <row r="1756" spans="1:11">
      <c r="A1756" t="str">
        <f>IF(B1756="","","VIS_"&amp;(YEAR(B1756)*10000+MONTH(B1756)*100+DAY(B1756))&amp;"_"&amp;IF(COUNTIF($B$5:B1756,B1756)&lt;10,"00"&amp;COUNTIF($B$5:B1756,B1756),IF(COUNTIF($B$5:B1756,B1756)&lt;100,"0"&amp;COUNTIF($B$5:B1756,B1756),COUNTIF($B$5:B1756,B1756))))</f>
        <v>VIS_20300826_001</v>
      </c>
      <c r="B1756" s="40">
        <v>47721</v>
      </c>
      <c r="C1756" s="47" t="str">
        <f t="shared" si="54"/>
        <v>Пн</v>
      </c>
      <c r="I1756" s="46"/>
      <c r="J1756" s="39">
        <f t="shared" si="55"/>
        <v>47716</v>
      </c>
      <c r="K1756" t="str">
        <f ca="1">IF(AND(B1756&gt;='План недели'!$B$4,B1756&lt;'План недели'!$D$4,D1756&lt;&gt;"",G1756&lt;&gt;"Отменён"),COUNTIFS($B$5:B1756,"&gt;="&amp;'План недели'!$B$4,$B$5:B1756,"&lt;"&amp;'План недели'!$D$4,$D$5:D1756,"&lt;&gt;",$G$5:G1756,"&lt;&gt;Отменён"),"")</f>
        <v/>
      </c>
    </row>
    <row r="1757" spans="1:11">
      <c r="A1757" t="str">
        <f>IF(B1757="","","VIS_"&amp;(YEAR(B1757)*10000+MONTH(B1757)*100+DAY(B1757))&amp;"_"&amp;IF(COUNTIF($B$5:B1757,B1757)&lt;10,"00"&amp;COUNTIF($B$5:B1757,B1757),IF(COUNTIF($B$5:B1757,B1757)&lt;100,"0"&amp;COUNTIF($B$5:B1757,B1757),COUNTIF($B$5:B1757,B1757))))</f>
        <v>VIS_20300827_001</v>
      </c>
      <c r="B1757" s="40">
        <v>47722</v>
      </c>
      <c r="C1757" s="47" t="str">
        <f t="shared" si="54"/>
        <v>Вт</v>
      </c>
      <c r="I1757" s="46"/>
      <c r="J1757" s="39">
        <f t="shared" si="55"/>
        <v>47716</v>
      </c>
      <c r="K1757" t="str">
        <f ca="1">IF(AND(B1757&gt;='План недели'!$B$4,B1757&lt;'План недели'!$D$4,D1757&lt;&gt;"",G1757&lt;&gt;"Отменён"),COUNTIFS($B$5:B1757,"&gt;="&amp;'План недели'!$B$4,$B$5:B1757,"&lt;"&amp;'План недели'!$D$4,$D$5:D1757,"&lt;&gt;",$G$5:G1757,"&lt;&gt;Отменён"),"")</f>
        <v/>
      </c>
    </row>
    <row r="1758" spans="1:11">
      <c r="A1758" t="str">
        <f>IF(B1758="","","VIS_"&amp;(YEAR(B1758)*10000+MONTH(B1758)*100+DAY(B1758))&amp;"_"&amp;IF(COUNTIF($B$5:B1758,B1758)&lt;10,"00"&amp;COUNTIF($B$5:B1758,B1758),IF(COUNTIF($B$5:B1758,B1758)&lt;100,"0"&amp;COUNTIF($B$5:B1758,B1758),COUNTIF($B$5:B1758,B1758))))</f>
        <v>VIS_20300828_001</v>
      </c>
      <c r="B1758" s="40">
        <v>47723</v>
      </c>
      <c r="C1758" s="47" t="str">
        <f t="shared" si="54"/>
        <v>Ср</v>
      </c>
      <c r="I1758" s="46"/>
      <c r="J1758" s="39">
        <f t="shared" si="55"/>
        <v>47723</v>
      </c>
      <c r="K1758" t="str">
        <f ca="1">IF(AND(B1758&gt;='План недели'!$B$4,B1758&lt;'План недели'!$D$4,D1758&lt;&gt;"",G1758&lt;&gt;"Отменён"),COUNTIFS($B$5:B1758,"&gt;="&amp;'План недели'!$B$4,$B$5:B1758,"&lt;"&amp;'План недели'!$D$4,$D$5:D1758,"&lt;&gt;",$G$5:G1758,"&lt;&gt;Отменён"),"")</f>
        <v/>
      </c>
    </row>
    <row r="1759" spans="1:11">
      <c r="A1759" t="str">
        <f>IF(B1759="","","VIS_"&amp;(YEAR(B1759)*10000+MONTH(B1759)*100+DAY(B1759))&amp;"_"&amp;IF(COUNTIF($B$5:B1759,B1759)&lt;10,"00"&amp;COUNTIF($B$5:B1759,B1759),IF(COUNTIF($B$5:B1759,B1759)&lt;100,"0"&amp;COUNTIF($B$5:B1759,B1759),COUNTIF($B$5:B1759,B1759))))</f>
        <v>VIS_20300829_001</v>
      </c>
      <c r="B1759" s="40">
        <v>47724</v>
      </c>
      <c r="C1759" s="47" t="str">
        <f t="shared" si="54"/>
        <v>Чт</v>
      </c>
      <c r="I1759" s="46"/>
      <c r="J1759" s="39">
        <f t="shared" si="55"/>
        <v>47723</v>
      </c>
      <c r="K1759" t="str">
        <f ca="1">IF(AND(B1759&gt;='План недели'!$B$4,B1759&lt;'План недели'!$D$4,D1759&lt;&gt;"",G1759&lt;&gt;"Отменён"),COUNTIFS($B$5:B1759,"&gt;="&amp;'План недели'!$B$4,$B$5:B1759,"&lt;"&amp;'План недели'!$D$4,$D$5:D1759,"&lt;&gt;",$G$5:G1759,"&lt;&gt;Отменён"),"")</f>
        <v/>
      </c>
    </row>
    <row r="1760" spans="1:11">
      <c r="A1760" t="str">
        <f>IF(B1760="","","VIS_"&amp;(YEAR(B1760)*10000+MONTH(B1760)*100+DAY(B1760))&amp;"_"&amp;IF(COUNTIF($B$5:B1760,B1760)&lt;10,"00"&amp;COUNTIF($B$5:B1760,B1760),IF(COUNTIF($B$5:B1760,B1760)&lt;100,"0"&amp;COUNTIF($B$5:B1760,B1760),COUNTIF($B$5:B1760,B1760))))</f>
        <v>VIS_20300830_001</v>
      </c>
      <c r="B1760" s="40">
        <v>47725</v>
      </c>
      <c r="C1760" s="47" t="str">
        <f t="shared" si="54"/>
        <v>Пт</v>
      </c>
      <c r="I1760" s="46"/>
      <c r="J1760" s="39">
        <f t="shared" si="55"/>
        <v>47723</v>
      </c>
      <c r="K1760" t="str">
        <f ca="1">IF(AND(B1760&gt;='План недели'!$B$4,B1760&lt;'План недели'!$D$4,D1760&lt;&gt;"",G1760&lt;&gt;"Отменён"),COUNTIFS($B$5:B1760,"&gt;="&amp;'План недели'!$B$4,$B$5:B1760,"&lt;"&amp;'План недели'!$D$4,$D$5:D1760,"&lt;&gt;",$G$5:G1760,"&lt;&gt;Отменён"),"")</f>
        <v/>
      </c>
    </row>
    <row r="1761" spans="1:11">
      <c r="A1761" t="str">
        <f>IF(B1761="","","VIS_"&amp;(YEAR(B1761)*10000+MONTH(B1761)*100+DAY(B1761))&amp;"_"&amp;IF(COUNTIF($B$5:B1761,B1761)&lt;10,"00"&amp;COUNTIF($B$5:B1761,B1761),IF(COUNTIF($B$5:B1761,B1761)&lt;100,"0"&amp;COUNTIF($B$5:B1761,B1761),COUNTIF($B$5:B1761,B1761))))</f>
        <v>VIS_20300831_001</v>
      </c>
      <c r="B1761" s="42">
        <v>47726</v>
      </c>
      <c r="C1761" s="49" t="str">
        <f t="shared" si="54"/>
        <v>Сб</v>
      </c>
      <c r="I1761" s="46"/>
      <c r="J1761" s="39">
        <f t="shared" si="55"/>
        <v>47723</v>
      </c>
      <c r="K1761" t="str">
        <f ca="1">IF(AND(B1761&gt;='План недели'!$B$4,B1761&lt;'План недели'!$D$4,D1761&lt;&gt;"",G1761&lt;&gt;"Отменён"),COUNTIFS($B$5:B1761,"&gt;="&amp;'План недели'!$B$4,$B$5:B1761,"&lt;"&amp;'План недели'!$D$4,$D$5:D1761,"&lt;&gt;",$G$5:G1761,"&lt;&gt;Отменён"),"")</f>
        <v/>
      </c>
    </row>
    <row r="1762" spans="1:11">
      <c r="A1762" t="str">
        <f>IF(B1762="","","VIS_"&amp;(YEAR(B1762)*10000+MONTH(B1762)*100+DAY(B1762))&amp;"_"&amp;IF(COUNTIF($B$5:B1762,B1762)&lt;10,"00"&amp;COUNTIF($B$5:B1762,B1762),IF(COUNTIF($B$5:B1762,B1762)&lt;100,"0"&amp;COUNTIF($B$5:B1762,B1762),COUNTIF($B$5:B1762,B1762))))</f>
        <v>VIS_20300901_001</v>
      </c>
      <c r="B1762" s="42">
        <v>47727</v>
      </c>
      <c r="C1762" s="49" t="str">
        <f t="shared" si="54"/>
        <v>Вс</v>
      </c>
      <c r="I1762" s="46"/>
      <c r="J1762" s="39">
        <f t="shared" si="55"/>
        <v>47723</v>
      </c>
      <c r="K1762" t="str">
        <f ca="1">IF(AND(B1762&gt;='План недели'!$B$4,B1762&lt;'План недели'!$D$4,D1762&lt;&gt;"",G1762&lt;&gt;"Отменён"),COUNTIFS($B$5:B1762,"&gt;="&amp;'План недели'!$B$4,$B$5:B1762,"&lt;"&amp;'План недели'!$D$4,$D$5:D1762,"&lt;&gt;",$G$5:G1762,"&lt;&gt;Отменён"),"")</f>
        <v/>
      </c>
    </row>
    <row r="1763" spans="1:11">
      <c r="A1763" t="str">
        <f>IF(B1763="","","VIS_"&amp;(YEAR(B1763)*10000+MONTH(B1763)*100+DAY(B1763))&amp;"_"&amp;IF(COUNTIF($B$5:B1763,B1763)&lt;10,"00"&amp;COUNTIF($B$5:B1763,B1763),IF(COUNTIF($B$5:B1763,B1763)&lt;100,"0"&amp;COUNTIF($B$5:B1763,B1763),COUNTIF($B$5:B1763,B1763))))</f>
        <v>VIS_20300902_001</v>
      </c>
      <c r="B1763" s="40">
        <v>47728</v>
      </c>
      <c r="C1763" s="47" t="str">
        <f t="shared" si="54"/>
        <v>Пн</v>
      </c>
      <c r="I1763" s="46"/>
      <c r="J1763" s="39">
        <f t="shared" si="55"/>
        <v>47723</v>
      </c>
      <c r="K1763" t="str">
        <f ca="1">IF(AND(B1763&gt;='План недели'!$B$4,B1763&lt;'План недели'!$D$4,D1763&lt;&gt;"",G1763&lt;&gt;"Отменён"),COUNTIFS($B$5:B1763,"&gt;="&amp;'План недели'!$B$4,$B$5:B1763,"&lt;"&amp;'План недели'!$D$4,$D$5:D1763,"&lt;&gt;",$G$5:G1763,"&lt;&gt;Отменён"),"")</f>
        <v/>
      </c>
    </row>
    <row r="1764" spans="1:11">
      <c r="A1764" t="str">
        <f>IF(B1764="","","VIS_"&amp;(YEAR(B1764)*10000+MONTH(B1764)*100+DAY(B1764))&amp;"_"&amp;IF(COUNTIF($B$5:B1764,B1764)&lt;10,"00"&amp;COUNTIF($B$5:B1764,B1764),IF(COUNTIF($B$5:B1764,B1764)&lt;100,"0"&amp;COUNTIF($B$5:B1764,B1764),COUNTIF($B$5:B1764,B1764))))</f>
        <v>VIS_20300903_001</v>
      </c>
      <c r="B1764" s="40">
        <v>47729</v>
      </c>
      <c r="C1764" s="47" t="str">
        <f t="shared" si="54"/>
        <v>Вт</v>
      </c>
      <c r="I1764" s="46"/>
      <c r="J1764" s="39">
        <f t="shared" si="55"/>
        <v>47723</v>
      </c>
      <c r="K1764" t="str">
        <f ca="1">IF(AND(B1764&gt;='План недели'!$B$4,B1764&lt;'План недели'!$D$4,D1764&lt;&gt;"",G1764&lt;&gt;"Отменён"),COUNTIFS($B$5:B1764,"&gt;="&amp;'План недели'!$B$4,$B$5:B1764,"&lt;"&amp;'План недели'!$D$4,$D$5:D1764,"&lt;&gt;",$G$5:G1764,"&lt;&gt;Отменён"),"")</f>
        <v/>
      </c>
    </row>
    <row r="1765" spans="1:11">
      <c r="A1765" t="str">
        <f>IF(B1765="","","VIS_"&amp;(YEAR(B1765)*10000+MONTH(B1765)*100+DAY(B1765))&amp;"_"&amp;IF(COUNTIF($B$5:B1765,B1765)&lt;10,"00"&amp;COUNTIF($B$5:B1765,B1765),IF(COUNTIF($B$5:B1765,B1765)&lt;100,"0"&amp;COUNTIF($B$5:B1765,B1765),COUNTIF($B$5:B1765,B1765))))</f>
        <v>VIS_20300904_001</v>
      </c>
      <c r="B1765" s="40">
        <v>47730</v>
      </c>
      <c r="C1765" s="47" t="str">
        <f t="shared" si="54"/>
        <v>Ср</v>
      </c>
      <c r="I1765" s="46"/>
      <c r="J1765" s="39">
        <f t="shared" si="55"/>
        <v>47730</v>
      </c>
      <c r="K1765" t="str">
        <f ca="1">IF(AND(B1765&gt;='План недели'!$B$4,B1765&lt;'План недели'!$D$4,D1765&lt;&gt;"",G1765&lt;&gt;"Отменён"),COUNTIFS($B$5:B1765,"&gt;="&amp;'План недели'!$B$4,$B$5:B1765,"&lt;"&amp;'План недели'!$D$4,$D$5:D1765,"&lt;&gt;",$G$5:G1765,"&lt;&gt;Отменён"),"")</f>
        <v/>
      </c>
    </row>
    <row r="1766" spans="1:11">
      <c r="A1766" t="str">
        <f>IF(B1766="","","VIS_"&amp;(YEAR(B1766)*10000+MONTH(B1766)*100+DAY(B1766))&amp;"_"&amp;IF(COUNTIF($B$5:B1766,B1766)&lt;10,"00"&amp;COUNTIF($B$5:B1766,B1766),IF(COUNTIF($B$5:B1766,B1766)&lt;100,"0"&amp;COUNTIF($B$5:B1766,B1766),COUNTIF($B$5:B1766,B1766))))</f>
        <v>VIS_20300905_001</v>
      </c>
      <c r="B1766" s="40">
        <v>47731</v>
      </c>
      <c r="C1766" s="47" t="str">
        <f t="shared" si="54"/>
        <v>Чт</v>
      </c>
      <c r="I1766" s="46"/>
      <c r="J1766" s="39">
        <f t="shared" si="55"/>
        <v>47730</v>
      </c>
      <c r="K1766" t="str">
        <f ca="1">IF(AND(B1766&gt;='План недели'!$B$4,B1766&lt;'План недели'!$D$4,D1766&lt;&gt;"",G1766&lt;&gt;"Отменён"),COUNTIFS($B$5:B1766,"&gt;="&amp;'План недели'!$B$4,$B$5:B1766,"&lt;"&amp;'План недели'!$D$4,$D$5:D1766,"&lt;&gt;",$G$5:G1766,"&lt;&gt;Отменён"),"")</f>
        <v/>
      </c>
    </row>
    <row r="1767" spans="1:11">
      <c r="A1767" t="str">
        <f>IF(B1767="","","VIS_"&amp;(YEAR(B1767)*10000+MONTH(B1767)*100+DAY(B1767))&amp;"_"&amp;IF(COUNTIF($B$5:B1767,B1767)&lt;10,"00"&amp;COUNTIF($B$5:B1767,B1767),IF(COUNTIF($B$5:B1767,B1767)&lt;100,"0"&amp;COUNTIF($B$5:B1767,B1767),COUNTIF($B$5:B1767,B1767))))</f>
        <v>VIS_20300906_001</v>
      </c>
      <c r="B1767" s="40">
        <v>47732</v>
      </c>
      <c r="C1767" s="47" t="str">
        <f t="shared" si="54"/>
        <v>Пт</v>
      </c>
      <c r="I1767" s="46"/>
      <c r="J1767" s="39">
        <f t="shared" si="55"/>
        <v>47730</v>
      </c>
      <c r="K1767" t="str">
        <f ca="1">IF(AND(B1767&gt;='План недели'!$B$4,B1767&lt;'План недели'!$D$4,D1767&lt;&gt;"",G1767&lt;&gt;"Отменён"),COUNTIFS($B$5:B1767,"&gt;="&amp;'План недели'!$B$4,$B$5:B1767,"&lt;"&amp;'План недели'!$D$4,$D$5:D1767,"&lt;&gt;",$G$5:G1767,"&lt;&gt;Отменён"),"")</f>
        <v/>
      </c>
    </row>
    <row r="1768" spans="1:11">
      <c r="A1768" t="str">
        <f>IF(B1768="","","VIS_"&amp;(YEAR(B1768)*10000+MONTH(B1768)*100+DAY(B1768))&amp;"_"&amp;IF(COUNTIF($B$5:B1768,B1768)&lt;10,"00"&amp;COUNTIF($B$5:B1768,B1768),IF(COUNTIF($B$5:B1768,B1768)&lt;100,"0"&amp;COUNTIF($B$5:B1768,B1768),COUNTIF($B$5:B1768,B1768))))</f>
        <v>VIS_20300907_001</v>
      </c>
      <c r="B1768" s="42">
        <v>47733</v>
      </c>
      <c r="C1768" s="49" t="str">
        <f t="shared" si="54"/>
        <v>Сб</v>
      </c>
      <c r="I1768" s="46"/>
      <c r="J1768" s="39">
        <f t="shared" si="55"/>
        <v>47730</v>
      </c>
      <c r="K1768" t="str">
        <f ca="1">IF(AND(B1768&gt;='План недели'!$B$4,B1768&lt;'План недели'!$D$4,D1768&lt;&gt;"",G1768&lt;&gt;"Отменён"),COUNTIFS($B$5:B1768,"&gt;="&amp;'План недели'!$B$4,$B$5:B1768,"&lt;"&amp;'План недели'!$D$4,$D$5:D1768,"&lt;&gt;",$G$5:G1768,"&lt;&gt;Отменён"),"")</f>
        <v/>
      </c>
    </row>
    <row r="1769" spans="1:11">
      <c r="A1769" t="str">
        <f>IF(B1769="","","VIS_"&amp;(YEAR(B1769)*10000+MONTH(B1769)*100+DAY(B1769))&amp;"_"&amp;IF(COUNTIF($B$5:B1769,B1769)&lt;10,"00"&amp;COUNTIF($B$5:B1769,B1769),IF(COUNTIF($B$5:B1769,B1769)&lt;100,"0"&amp;COUNTIF($B$5:B1769,B1769),COUNTIF($B$5:B1769,B1769))))</f>
        <v>VIS_20300908_001</v>
      </c>
      <c r="B1769" s="42">
        <v>47734</v>
      </c>
      <c r="C1769" s="49" t="str">
        <f t="shared" si="54"/>
        <v>Вс</v>
      </c>
      <c r="I1769" s="46"/>
      <c r="J1769" s="39">
        <f t="shared" si="55"/>
        <v>47730</v>
      </c>
      <c r="K1769" t="str">
        <f ca="1">IF(AND(B1769&gt;='План недели'!$B$4,B1769&lt;'План недели'!$D$4,D1769&lt;&gt;"",G1769&lt;&gt;"Отменён"),COUNTIFS($B$5:B1769,"&gt;="&amp;'План недели'!$B$4,$B$5:B1769,"&lt;"&amp;'План недели'!$D$4,$D$5:D1769,"&lt;&gt;",$G$5:G1769,"&lt;&gt;Отменён"),"")</f>
        <v/>
      </c>
    </row>
    <row r="1770" spans="1:11">
      <c r="A1770" t="str">
        <f>IF(B1770="","","VIS_"&amp;(YEAR(B1770)*10000+MONTH(B1770)*100+DAY(B1770))&amp;"_"&amp;IF(COUNTIF($B$5:B1770,B1770)&lt;10,"00"&amp;COUNTIF($B$5:B1770,B1770),IF(COUNTIF($B$5:B1770,B1770)&lt;100,"0"&amp;COUNTIF($B$5:B1770,B1770),COUNTIF($B$5:B1770,B1770))))</f>
        <v>VIS_20300909_001</v>
      </c>
      <c r="B1770" s="40">
        <v>47735</v>
      </c>
      <c r="C1770" s="47" t="str">
        <f t="shared" si="54"/>
        <v>Пн</v>
      </c>
      <c r="I1770" s="46"/>
      <c r="J1770" s="39">
        <f t="shared" si="55"/>
        <v>47730</v>
      </c>
      <c r="K1770" t="str">
        <f ca="1">IF(AND(B1770&gt;='План недели'!$B$4,B1770&lt;'План недели'!$D$4,D1770&lt;&gt;"",G1770&lt;&gt;"Отменён"),COUNTIFS($B$5:B1770,"&gt;="&amp;'План недели'!$B$4,$B$5:B1770,"&lt;"&amp;'План недели'!$D$4,$D$5:D1770,"&lt;&gt;",$G$5:G1770,"&lt;&gt;Отменён"),"")</f>
        <v/>
      </c>
    </row>
    <row r="1771" spans="1:11">
      <c r="A1771" t="str">
        <f>IF(B1771="","","VIS_"&amp;(YEAR(B1771)*10000+MONTH(B1771)*100+DAY(B1771))&amp;"_"&amp;IF(COUNTIF($B$5:B1771,B1771)&lt;10,"00"&amp;COUNTIF($B$5:B1771,B1771),IF(COUNTIF($B$5:B1771,B1771)&lt;100,"0"&amp;COUNTIF($B$5:B1771,B1771),COUNTIF($B$5:B1771,B1771))))</f>
        <v>VIS_20300910_001</v>
      </c>
      <c r="B1771" s="40">
        <v>47736</v>
      </c>
      <c r="C1771" s="47" t="str">
        <f t="shared" si="54"/>
        <v>Вт</v>
      </c>
      <c r="I1771" s="46"/>
      <c r="J1771" s="39">
        <f t="shared" si="55"/>
        <v>47730</v>
      </c>
      <c r="K1771" t="str">
        <f ca="1">IF(AND(B1771&gt;='План недели'!$B$4,B1771&lt;'План недели'!$D$4,D1771&lt;&gt;"",G1771&lt;&gt;"Отменён"),COUNTIFS($B$5:B1771,"&gt;="&amp;'План недели'!$B$4,$B$5:B1771,"&lt;"&amp;'План недели'!$D$4,$D$5:D1771,"&lt;&gt;",$G$5:G1771,"&lt;&gt;Отменён"),"")</f>
        <v/>
      </c>
    </row>
    <row r="1772" spans="1:11">
      <c r="A1772" t="str">
        <f>IF(B1772="","","VIS_"&amp;(YEAR(B1772)*10000+MONTH(B1772)*100+DAY(B1772))&amp;"_"&amp;IF(COUNTIF($B$5:B1772,B1772)&lt;10,"00"&amp;COUNTIF($B$5:B1772,B1772),IF(COUNTIF($B$5:B1772,B1772)&lt;100,"0"&amp;COUNTIF($B$5:B1772,B1772),COUNTIF($B$5:B1772,B1772))))</f>
        <v>VIS_20300911_001</v>
      </c>
      <c r="B1772" s="40">
        <v>47737</v>
      </c>
      <c r="C1772" s="47" t="str">
        <f t="shared" si="54"/>
        <v>Ср</v>
      </c>
      <c r="I1772" s="46"/>
      <c r="J1772" s="39">
        <f t="shared" si="55"/>
        <v>47737</v>
      </c>
      <c r="K1772" t="str">
        <f ca="1">IF(AND(B1772&gt;='План недели'!$B$4,B1772&lt;'План недели'!$D$4,D1772&lt;&gt;"",G1772&lt;&gt;"Отменён"),COUNTIFS($B$5:B1772,"&gt;="&amp;'План недели'!$B$4,$B$5:B1772,"&lt;"&amp;'План недели'!$D$4,$D$5:D1772,"&lt;&gt;",$G$5:G1772,"&lt;&gt;Отменён"),"")</f>
        <v/>
      </c>
    </row>
    <row r="1773" spans="1:11">
      <c r="A1773" t="str">
        <f>IF(B1773="","","VIS_"&amp;(YEAR(B1773)*10000+MONTH(B1773)*100+DAY(B1773))&amp;"_"&amp;IF(COUNTIF($B$5:B1773,B1773)&lt;10,"00"&amp;COUNTIF($B$5:B1773,B1773),IF(COUNTIF($B$5:B1773,B1773)&lt;100,"0"&amp;COUNTIF($B$5:B1773,B1773),COUNTIF($B$5:B1773,B1773))))</f>
        <v>VIS_20300912_001</v>
      </c>
      <c r="B1773" s="40">
        <v>47738</v>
      </c>
      <c r="C1773" s="47" t="str">
        <f t="shared" si="54"/>
        <v>Чт</v>
      </c>
      <c r="I1773" s="46"/>
      <c r="J1773" s="39">
        <f t="shared" si="55"/>
        <v>47737</v>
      </c>
      <c r="K1773" t="str">
        <f ca="1">IF(AND(B1773&gt;='План недели'!$B$4,B1773&lt;'План недели'!$D$4,D1773&lt;&gt;"",G1773&lt;&gt;"Отменён"),COUNTIFS($B$5:B1773,"&gt;="&amp;'План недели'!$B$4,$B$5:B1773,"&lt;"&amp;'План недели'!$D$4,$D$5:D1773,"&lt;&gt;",$G$5:G1773,"&lt;&gt;Отменён"),"")</f>
        <v/>
      </c>
    </row>
    <row r="1774" spans="1:11">
      <c r="A1774" t="str">
        <f>IF(B1774="","","VIS_"&amp;(YEAR(B1774)*10000+MONTH(B1774)*100+DAY(B1774))&amp;"_"&amp;IF(COUNTIF($B$5:B1774,B1774)&lt;10,"00"&amp;COUNTIF($B$5:B1774,B1774),IF(COUNTIF($B$5:B1774,B1774)&lt;100,"0"&amp;COUNTIF($B$5:B1774,B1774),COUNTIF($B$5:B1774,B1774))))</f>
        <v>VIS_20300913_001</v>
      </c>
      <c r="B1774" s="40">
        <v>47739</v>
      </c>
      <c r="C1774" s="47" t="str">
        <f t="shared" si="54"/>
        <v>Пт</v>
      </c>
      <c r="I1774" s="46"/>
      <c r="J1774" s="39">
        <f t="shared" si="55"/>
        <v>47737</v>
      </c>
      <c r="K1774" t="str">
        <f ca="1">IF(AND(B1774&gt;='План недели'!$B$4,B1774&lt;'План недели'!$D$4,D1774&lt;&gt;"",G1774&lt;&gt;"Отменён"),COUNTIFS($B$5:B1774,"&gt;="&amp;'План недели'!$B$4,$B$5:B1774,"&lt;"&amp;'План недели'!$D$4,$D$5:D1774,"&lt;&gt;",$G$5:G1774,"&lt;&gt;Отменён"),"")</f>
        <v/>
      </c>
    </row>
    <row r="1775" spans="1:11">
      <c r="A1775" t="str">
        <f>IF(B1775="","","VIS_"&amp;(YEAR(B1775)*10000+MONTH(B1775)*100+DAY(B1775))&amp;"_"&amp;IF(COUNTIF($B$5:B1775,B1775)&lt;10,"00"&amp;COUNTIF($B$5:B1775,B1775),IF(COUNTIF($B$5:B1775,B1775)&lt;100,"0"&amp;COUNTIF($B$5:B1775,B1775),COUNTIF($B$5:B1775,B1775))))</f>
        <v>VIS_20300914_001</v>
      </c>
      <c r="B1775" s="42">
        <v>47740</v>
      </c>
      <c r="C1775" s="49" t="str">
        <f t="shared" si="54"/>
        <v>Сб</v>
      </c>
      <c r="I1775" s="46"/>
      <c r="J1775" s="39">
        <f t="shared" si="55"/>
        <v>47737</v>
      </c>
      <c r="K1775" t="str">
        <f ca="1">IF(AND(B1775&gt;='План недели'!$B$4,B1775&lt;'План недели'!$D$4,D1775&lt;&gt;"",G1775&lt;&gt;"Отменён"),COUNTIFS($B$5:B1775,"&gt;="&amp;'План недели'!$B$4,$B$5:B1775,"&lt;"&amp;'План недели'!$D$4,$D$5:D1775,"&lt;&gt;",$G$5:G1775,"&lt;&gt;Отменён"),"")</f>
        <v/>
      </c>
    </row>
    <row r="1776" spans="1:11">
      <c r="A1776" t="str">
        <f>IF(B1776="","","VIS_"&amp;(YEAR(B1776)*10000+MONTH(B1776)*100+DAY(B1776))&amp;"_"&amp;IF(COUNTIF($B$5:B1776,B1776)&lt;10,"00"&amp;COUNTIF($B$5:B1776,B1776),IF(COUNTIF($B$5:B1776,B1776)&lt;100,"0"&amp;COUNTIF($B$5:B1776,B1776),COUNTIF($B$5:B1776,B1776))))</f>
        <v>VIS_20300915_001</v>
      </c>
      <c r="B1776" s="42">
        <v>47741</v>
      </c>
      <c r="C1776" s="49" t="str">
        <f t="shared" si="54"/>
        <v>Вс</v>
      </c>
      <c r="I1776" s="46"/>
      <c r="J1776" s="39">
        <f t="shared" si="55"/>
        <v>47737</v>
      </c>
      <c r="K1776" t="str">
        <f ca="1">IF(AND(B1776&gt;='План недели'!$B$4,B1776&lt;'План недели'!$D$4,D1776&lt;&gt;"",G1776&lt;&gt;"Отменён"),COUNTIFS($B$5:B1776,"&gt;="&amp;'План недели'!$B$4,$B$5:B1776,"&lt;"&amp;'План недели'!$D$4,$D$5:D1776,"&lt;&gt;",$G$5:G1776,"&lt;&gt;Отменён"),"")</f>
        <v/>
      </c>
    </row>
    <row r="1777" spans="1:11">
      <c r="A1777" t="str">
        <f>IF(B1777="","","VIS_"&amp;(YEAR(B1777)*10000+MONTH(B1777)*100+DAY(B1777))&amp;"_"&amp;IF(COUNTIF($B$5:B1777,B1777)&lt;10,"00"&amp;COUNTIF($B$5:B1777,B1777),IF(COUNTIF($B$5:B1777,B1777)&lt;100,"0"&amp;COUNTIF($B$5:B1777,B1777),COUNTIF($B$5:B1777,B1777))))</f>
        <v>VIS_20300916_001</v>
      </c>
      <c r="B1777" s="40">
        <v>47742</v>
      </c>
      <c r="C1777" s="47" t="str">
        <f t="shared" si="54"/>
        <v>Пн</v>
      </c>
      <c r="I1777" s="46"/>
      <c r="J1777" s="39">
        <f t="shared" si="55"/>
        <v>47737</v>
      </c>
      <c r="K1777" t="str">
        <f ca="1">IF(AND(B1777&gt;='План недели'!$B$4,B1777&lt;'План недели'!$D$4,D1777&lt;&gt;"",G1777&lt;&gt;"Отменён"),COUNTIFS($B$5:B1777,"&gt;="&amp;'План недели'!$B$4,$B$5:B1777,"&lt;"&amp;'План недели'!$D$4,$D$5:D1777,"&lt;&gt;",$G$5:G1777,"&lt;&gt;Отменён"),"")</f>
        <v/>
      </c>
    </row>
    <row r="1778" spans="1:11">
      <c r="A1778" t="str">
        <f>IF(B1778="","","VIS_"&amp;(YEAR(B1778)*10000+MONTH(B1778)*100+DAY(B1778))&amp;"_"&amp;IF(COUNTIF($B$5:B1778,B1778)&lt;10,"00"&amp;COUNTIF($B$5:B1778,B1778),IF(COUNTIF($B$5:B1778,B1778)&lt;100,"0"&amp;COUNTIF($B$5:B1778,B1778),COUNTIF($B$5:B1778,B1778))))</f>
        <v>VIS_20300917_001</v>
      </c>
      <c r="B1778" s="40">
        <v>47743</v>
      </c>
      <c r="C1778" s="47" t="str">
        <f t="shared" si="54"/>
        <v>Вт</v>
      </c>
      <c r="I1778" s="46"/>
      <c r="J1778" s="39">
        <f t="shared" si="55"/>
        <v>47737</v>
      </c>
      <c r="K1778" t="str">
        <f ca="1">IF(AND(B1778&gt;='План недели'!$B$4,B1778&lt;'План недели'!$D$4,D1778&lt;&gt;"",G1778&lt;&gt;"Отменён"),COUNTIFS($B$5:B1778,"&gt;="&amp;'План недели'!$B$4,$B$5:B1778,"&lt;"&amp;'План недели'!$D$4,$D$5:D1778,"&lt;&gt;",$G$5:G1778,"&lt;&gt;Отменён"),"")</f>
        <v/>
      </c>
    </row>
    <row r="1779" spans="1:11">
      <c r="A1779" t="str">
        <f>IF(B1779="","","VIS_"&amp;(YEAR(B1779)*10000+MONTH(B1779)*100+DAY(B1779))&amp;"_"&amp;IF(COUNTIF($B$5:B1779,B1779)&lt;10,"00"&amp;COUNTIF($B$5:B1779,B1779),IF(COUNTIF($B$5:B1779,B1779)&lt;100,"0"&amp;COUNTIF($B$5:B1779,B1779),COUNTIF($B$5:B1779,B1779))))</f>
        <v>VIS_20300918_001</v>
      </c>
      <c r="B1779" s="40">
        <v>47744</v>
      </c>
      <c r="C1779" s="47" t="str">
        <f t="shared" si="54"/>
        <v>Ср</v>
      </c>
      <c r="I1779" s="46"/>
      <c r="J1779" s="39">
        <f t="shared" si="55"/>
        <v>47744</v>
      </c>
      <c r="K1779" t="str">
        <f ca="1">IF(AND(B1779&gt;='План недели'!$B$4,B1779&lt;'План недели'!$D$4,D1779&lt;&gt;"",G1779&lt;&gt;"Отменён"),COUNTIFS($B$5:B1779,"&gt;="&amp;'План недели'!$B$4,$B$5:B1779,"&lt;"&amp;'План недели'!$D$4,$D$5:D1779,"&lt;&gt;",$G$5:G1779,"&lt;&gt;Отменён"),"")</f>
        <v/>
      </c>
    </row>
    <row r="1780" spans="1:11">
      <c r="A1780" t="str">
        <f>IF(B1780="","","VIS_"&amp;(YEAR(B1780)*10000+MONTH(B1780)*100+DAY(B1780))&amp;"_"&amp;IF(COUNTIF($B$5:B1780,B1780)&lt;10,"00"&amp;COUNTIF($B$5:B1780,B1780),IF(COUNTIF($B$5:B1780,B1780)&lt;100,"0"&amp;COUNTIF($B$5:B1780,B1780),COUNTIF($B$5:B1780,B1780))))</f>
        <v>VIS_20300919_001</v>
      </c>
      <c r="B1780" s="40">
        <v>47745</v>
      </c>
      <c r="C1780" s="47" t="str">
        <f t="shared" si="54"/>
        <v>Чт</v>
      </c>
      <c r="I1780" s="46"/>
      <c r="J1780" s="39">
        <f t="shared" si="55"/>
        <v>47744</v>
      </c>
      <c r="K1780" t="str">
        <f ca="1">IF(AND(B1780&gt;='План недели'!$B$4,B1780&lt;'План недели'!$D$4,D1780&lt;&gt;"",G1780&lt;&gt;"Отменён"),COUNTIFS($B$5:B1780,"&gt;="&amp;'План недели'!$B$4,$B$5:B1780,"&lt;"&amp;'План недели'!$D$4,$D$5:D1780,"&lt;&gt;",$G$5:G1780,"&lt;&gt;Отменён"),"")</f>
        <v/>
      </c>
    </row>
    <row r="1781" spans="1:11">
      <c r="A1781" t="str">
        <f>IF(B1781="","","VIS_"&amp;(YEAR(B1781)*10000+MONTH(B1781)*100+DAY(B1781))&amp;"_"&amp;IF(COUNTIF($B$5:B1781,B1781)&lt;10,"00"&amp;COUNTIF($B$5:B1781,B1781),IF(COUNTIF($B$5:B1781,B1781)&lt;100,"0"&amp;COUNTIF($B$5:B1781,B1781),COUNTIF($B$5:B1781,B1781))))</f>
        <v>VIS_20300920_001</v>
      </c>
      <c r="B1781" s="40">
        <v>47746</v>
      </c>
      <c r="C1781" s="47" t="str">
        <f t="shared" si="54"/>
        <v>Пт</v>
      </c>
      <c r="I1781" s="46"/>
      <c r="J1781" s="39">
        <f t="shared" si="55"/>
        <v>47744</v>
      </c>
      <c r="K1781" t="str">
        <f ca="1">IF(AND(B1781&gt;='План недели'!$B$4,B1781&lt;'План недели'!$D$4,D1781&lt;&gt;"",G1781&lt;&gt;"Отменён"),COUNTIFS($B$5:B1781,"&gt;="&amp;'План недели'!$B$4,$B$5:B1781,"&lt;"&amp;'План недели'!$D$4,$D$5:D1781,"&lt;&gt;",$G$5:G1781,"&lt;&gt;Отменён"),"")</f>
        <v/>
      </c>
    </row>
    <row r="1782" spans="1:11">
      <c r="A1782" t="str">
        <f>IF(B1782="","","VIS_"&amp;(YEAR(B1782)*10000+MONTH(B1782)*100+DAY(B1782))&amp;"_"&amp;IF(COUNTIF($B$5:B1782,B1782)&lt;10,"00"&amp;COUNTIF($B$5:B1782,B1782),IF(COUNTIF($B$5:B1782,B1782)&lt;100,"0"&amp;COUNTIF($B$5:B1782,B1782),COUNTIF($B$5:B1782,B1782))))</f>
        <v>VIS_20300921_001</v>
      </c>
      <c r="B1782" s="42">
        <v>47747</v>
      </c>
      <c r="C1782" s="49" t="str">
        <f t="shared" si="54"/>
        <v>Сб</v>
      </c>
      <c r="I1782" s="46"/>
      <c r="J1782" s="39">
        <f t="shared" si="55"/>
        <v>47744</v>
      </c>
      <c r="K1782" t="str">
        <f ca="1">IF(AND(B1782&gt;='План недели'!$B$4,B1782&lt;'План недели'!$D$4,D1782&lt;&gt;"",G1782&lt;&gt;"Отменён"),COUNTIFS($B$5:B1782,"&gt;="&amp;'План недели'!$B$4,$B$5:B1782,"&lt;"&amp;'План недели'!$D$4,$D$5:D1782,"&lt;&gt;",$G$5:G1782,"&lt;&gt;Отменён"),"")</f>
        <v/>
      </c>
    </row>
    <row r="1783" spans="1:11">
      <c r="A1783" t="str">
        <f>IF(B1783="","","VIS_"&amp;(YEAR(B1783)*10000+MONTH(B1783)*100+DAY(B1783))&amp;"_"&amp;IF(COUNTIF($B$5:B1783,B1783)&lt;10,"00"&amp;COUNTIF($B$5:B1783,B1783),IF(COUNTIF($B$5:B1783,B1783)&lt;100,"0"&amp;COUNTIF($B$5:B1783,B1783),COUNTIF($B$5:B1783,B1783))))</f>
        <v>VIS_20300922_001</v>
      </c>
      <c r="B1783" s="42">
        <v>47748</v>
      </c>
      <c r="C1783" s="49" t="str">
        <f t="shared" si="54"/>
        <v>Вс</v>
      </c>
      <c r="I1783" s="46"/>
      <c r="J1783" s="39">
        <f t="shared" si="55"/>
        <v>47744</v>
      </c>
      <c r="K1783" t="str">
        <f ca="1">IF(AND(B1783&gt;='План недели'!$B$4,B1783&lt;'План недели'!$D$4,D1783&lt;&gt;"",G1783&lt;&gt;"Отменён"),COUNTIFS($B$5:B1783,"&gt;="&amp;'План недели'!$B$4,$B$5:B1783,"&lt;"&amp;'План недели'!$D$4,$D$5:D1783,"&lt;&gt;",$G$5:G1783,"&lt;&gt;Отменён"),"")</f>
        <v/>
      </c>
    </row>
    <row r="1784" spans="1:11">
      <c r="A1784" t="str">
        <f>IF(B1784="","","VIS_"&amp;(YEAR(B1784)*10000+MONTH(B1784)*100+DAY(B1784))&amp;"_"&amp;IF(COUNTIF($B$5:B1784,B1784)&lt;10,"00"&amp;COUNTIF($B$5:B1784,B1784),IF(COUNTIF($B$5:B1784,B1784)&lt;100,"0"&amp;COUNTIF($B$5:B1784,B1784),COUNTIF($B$5:B1784,B1784))))</f>
        <v>VIS_20300923_001</v>
      </c>
      <c r="B1784" s="40">
        <v>47749</v>
      </c>
      <c r="C1784" s="47" t="str">
        <f t="shared" si="54"/>
        <v>Пн</v>
      </c>
      <c r="I1784" s="46"/>
      <c r="J1784" s="39">
        <f t="shared" si="55"/>
        <v>47744</v>
      </c>
      <c r="K1784" t="str">
        <f ca="1">IF(AND(B1784&gt;='План недели'!$B$4,B1784&lt;'План недели'!$D$4,D1784&lt;&gt;"",G1784&lt;&gt;"Отменён"),COUNTIFS($B$5:B1784,"&gt;="&amp;'План недели'!$B$4,$B$5:B1784,"&lt;"&amp;'План недели'!$D$4,$D$5:D1784,"&lt;&gt;",$G$5:G1784,"&lt;&gt;Отменён"),"")</f>
        <v/>
      </c>
    </row>
    <row r="1785" spans="1:11">
      <c r="A1785" t="str">
        <f>IF(B1785="","","VIS_"&amp;(YEAR(B1785)*10000+MONTH(B1785)*100+DAY(B1785))&amp;"_"&amp;IF(COUNTIF($B$5:B1785,B1785)&lt;10,"00"&amp;COUNTIF($B$5:B1785,B1785),IF(COUNTIF($B$5:B1785,B1785)&lt;100,"0"&amp;COUNTIF($B$5:B1785,B1785),COUNTIF($B$5:B1785,B1785))))</f>
        <v>VIS_20300924_001</v>
      </c>
      <c r="B1785" s="40">
        <v>47750</v>
      </c>
      <c r="C1785" s="47" t="str">
        <f t="shared" si="54"/>
        <v>Вт</v>
      </c>
      <c r="I1785" s="46"/>
      <c r="J1785" s="39">
        <f t="shared" si="55"/>
        <v>47744</v>
      </c>
      <c r="K1785" t="str">
        <f ca="1">IF(AND(B1785&gt;='План недели'!$B$4,B1785&lt;'План недели'!$D$4,D1785&lt;&gt;"",G1785&lt;&gt;"Отменён"),COUNTIFS($B$5:B1785,"&gt;="&amp;'План недели'!$B$4,$B$5:B1785,"&lt;"&amp;'План недели'!$D$4,$D$5:D1785,"&lt;&gt;",$G$5:G1785,"&lt;&gt;Отменён"),"")</f>
        <v/>
      </c>
    </row>
    <row r="1786" spans="1:11">
      <c r="A1786" t="str">
        <f>IF(B1786="","","VIS_"&amp;(YEAR(B1786)*10000+MONTH(B1786)*100+DAY(B1786))&amp;"_"&amp;IF(COUNTIF($B$5:B1786,B1786)&lt;10,"00"&amp;COUNTIF($B$5:B1786,B1786),IF(COUNTIF($B$5:B1786,B1786)&lt;100,"0"&amp;COUNTIF($B$5:B1786,B1786),COUNTIF($B$5:B1786,B1786))))</f>
        <v>VIS_20300925_001</v>
      </c>
      <c r="B1786" s="40">
        <v>47751</v>
      </c>
      <c r="C1786" s="47" t="str">
        <f t="shared" si="54"/>
        <v>Ср</v>
      </c>
      <c r="I1786" s="46"/>
      <c r="J1786" s="39">
        <f t="shared" si="55"/>
        <v>47751</v>
      </c>
      <c r="K1786" t="str">
        <f ca="1">IF(AND(B1786&gt;='План недели'!$B$4,B1786&lt;'План недели'!$D$4,D1786&lt;&gt;"",G1786&lt;&gt;"Отменён"),COUNTIFS($B$5:B1786,"&gt;="&amp;'План недели'!$B$4,$B$5:B1786,"&lt;"&amp;'План недели'!$D$4,$D$5:D1786,"&lt;&gt;",$G$5:G1786,"&lt;&gt;Отменён"),"")</f>
        <v/>
      </c>
    </row>
    <row r="1787" spans="1:11">
      <c r="A1787" t="str">
        <f>IF(B1787="","","VIS_"&amp;(YEAR(B1787)*10000+MONTH(B1787)*100+DAY(B1787))&amp;"_"&amp;IF(COUNTIF($B$5:B1787,B1787)&lt;10,"00"&amp;COUNTIF($B$5:B1787,B1787),IF(COUNTIF($B$5:B1787,B1787)&lt;100,"0"&amp;COUNTIF($B$5:B1787,B1787),COUNTIF($B$5:B1787,B1787))))</f>
        <v>VIS_20300926_001</v>
      </c>
      <c r="B1787" s="40">
        <v>47752</v>
      </c>
      <c r="C1787" s="47" t="str">
        <f t="shared" si="54"/>
        <v>Чт</v>
      </c>
      <c r="I1787" s="46"/>
      <c r="J1787" s="39">
        <f t="shared" si="55"/>
        <v>47751</v>
      </c>
      <c r="K1787" t="str">
        <f ca="1">IF(AND(B1787&gt;='План недели'!$B$4,B1787&lt;'План недели'!$D$4,D1787&lt;&gt;"",G1787&lt;&gt;"Отменён"),COUNTIFS($B$5:B1787,"&gt;="&amp;'План недели'!$B$4,$B$5:B1787,"&lt;"&amp;'План недели'!$D$4,$D$5:D1787,"&lt;&gt;",$G$5:G1787,"&lt;&gt;Отменён"),"")</f>
        <v/>
      </c>
    </row>
    <row r="1788" spans="1:11">
      <c r="A1788" t="str">
        <f>IF(B1788="","","VIS_"&amp;(YEAR(B1788)*10000+MONTH(B1788)*100+DAY(B1788))&amp;"_"&amp;IF(COUNTIF($B$5:B1788,B1788)&lt;10,"00"&amp;COUNTIF($B$5:B1788,B1788),IF(COUNTIF($B$5:B1788,B1788)&lt;100,"0"&amp;COUNTIF($B$5:B1788,B1788),COUNTIF($B$5:B1788,B1788))))</f>
        <v>VIS_20300927_001</v>
      </c>
      <c r="B1788" s="40">
        <v>47753</v>
      </c>
      <c r="C1788" s="47" t="str">
        <f t="shared" si="54"/>
        <v>Пт</v>
      </c>
      <c r="I1788" s="46"/>
      <c r="J1788" s="39">
        <f t="shared" si="55"/>
        <v>47751</v>
      </c>
      <c r="K1788" t="str">
        <f ca="1">IF(AND(B1788&gt;='План недели'!$B$4,B1788&lt;'План недели'!$D$4,D1788&lt;&gt;"",G1788&lt;&gt;"Отменён"),COUNTIFS($B$5:B1788,"&gt;="&amp;'План недели'!$B$4,$B$5:B1788,"&lt;"&amp;'План недели'!$D$4,$D$5:D1788,"&lt;&gt;",$G$5:G1788,"&lt;&gt;Отменён"),"")</f>
        <v/>
      </c>
    </row>
    <row r="1789" spans="1:11">
      <c r="A1789" t="str">
        <f>IF(B1789="","","VIS_"&amp;(YEAR(B1789)*10000+MONTH(B1789)*100+DAY(B1789))&amp;"_"&amp;IF(COUNTIF($B$5:B1789,B1789)&lt;10,"00"&amp;COUNTIF($B$5:B1789,B1789),IF(COUNTIF($B$5:B1789,B1789)&lt;100,"0"&amp;COUNTIF($B$5:B1789,B1789),COUNTIF($B$5:B1789,B1789))))</f>
        <v>VIS_20300928_001</v>
      </c>
      <c r="B1789" s="42">
        <v>47754</v>
      </c>
      <c r="C1789" s="49" t="str">
        <f t="shared" si="54"/>
        <v>Сб</v>
      </c>
      <c r="I1789" s="46"/>
      <c r="J1789" s="39">
        <f t="shared" si="55"/>
        <v>47751</v>
      </c>
      <c r="K1789" t="str">
        <f ca="1">IF(AND(B1789&gt;='План недели'!$B$4,B1789&lt;'План недели'!$D$4,D1789&lt;&gt;"",G1789&lt;&gt;"Отменён"),COUNTIFS($B$5:B1789,"&gt;="&amp;'План недели'!$B$4,$B$5:B1789,"&lt;"&amp;'План недели'!$D$4,$D$5:D1789,"&lt;&gt;",$G$5:G1789,"&lt;&gt;Отменён"),"")</f>
        <v/>
      </c>
    </row>
    <row r="1790" spans="1:11">
      <c r="A1790" t="str">
        <f>IF(B1790="","","VIS_"&amp;(YEAR(B1790)*10000+MONTH(B1790)*100+DAY(B1790))&amp;"_"&amp;IF(COUNTIF($B$5:B1790,B1790)&lt;10,"00"&amp;COUNTIF($B$5:B1790,B1790),IF(COUNTIF($B$5:B1790,B1790)&lt;100,"0"&amp;COUNTIF($B$5:B1790,B1790),COUNTIF($B$5:B1790,B1790))))</f>
        <v>VIS_20300929_001</v>
      </c>
      <c r="B1790" s="42">
        <v>47755</v>
      </c>
      <c r="C1790" s="49" t="str">
        <f t="shared" si="54"/>
        <v>Вс</v>
      </c>
      <c r="I1790" s="46"/>
      <c r="J1790" s="39">
        <f t="shared" si="55"/>
        <v>47751</v>
      </c>
      <c r="K1790" t="str">
        <f ca="1">IF(AND(B1790&gt;='План недели'!$B$4,B1790&lt;'План недели'!$D$4,D1790&lt;&gt;"",G1790&lt;&gt;"Отменён"),COUNTIFS($B$5:B1790,"&gt;="&amp;'План недели'!$B$4,$B$5:B1790,"&lt;"&amp;'План недели'!$D$4,$D$5:D1790,"&lt;&gt;",$G$5:G1790,"&lt;&gt;Отменён"),"")</f>
        <v/>
      </c>
    </row>
    <row r="1791" spans="1:11">
      <c r="A1791" t="str">
        <f>IF(B1791="","","VIS_"&amp;(YEAR(B1791)*10000+MONTH(B1791)*100+DAY(B1791))&amp;"_"&amp;IF(COUNTIF($B$5:B1791,B1791)&lt;10,"00"&amp;COUNTIF($B$5:B1791,B1791),IF(COUNTIF($B$5:B1791,B1791)&lt;100,"0"&amp;COUNTIF($B$5:B1791,B1791),COUNTIF($B$5:B1791,B1791))))</f>
        <v>VIS_20300930_001</v>
      </c>
      <c r="B1791" s="40">
        <v>47756</v>
      </c>
      <c r="C1791" s="47" t="str">
        <f t="shared" si="54"/>
        <v>Пн</v>
      </c>
      <c r="I1791" s="46"/>
      <c r="J1791" s="39">
        <f t="shared" si="55"/>
        <v>47751</v>
      </c>
      <c r="K1791" t="str">
        <f ca="1">IF(AND(B1791&gt;='План недели'!$B$4,B1791&lt;'План недели'!$D$4,D1791&lt;&gt;"",G1791&lt;&gt;"Отменён"),COUNTIFS($B$5:B1791,"&gt;="&amp;'План недели'!$B$4,$B$5:B1791,"&lt;"&amp;'План недели'!$D$4,$D$5:D1791,"&lt;&gt;",$G$5:G1791,"&lt;&gt;Отменён"),"")</f>
        <v/>
      </c>
    </row>
    <row r="1792" spans="1:11">
      <c r="A1792" t="str">
        <f>IF(B1792="","","VIS_"&amp;(YEAR(B1792)*10000+MONTH(B1792)*100+DAY(B1792))&amp;"_"&amp;IF(COUNTIF($B$5:B1792,B1792)&lt;10,"00"&amp;COUNTIF($B$5:B1792,B1792),IF(COUNTIF($B$5:B1792,B1792)&lt;100,"0"&amp;COUNTIF($B$5:B1792,B1792),COUNTIF($B$5:B1792,B1792))))</f>
        <v>VIS_20301001_001</v>
      </c>
      <c r="B1792" s="40">
        <v>47757</v>
      </c>
      <c r="C1792" s="47" t="str">
        <f t="shared" si="54"/>
        <v>Вт</v>
      </c>
      <c r="I1792" s="46"/>
      <c r="J1792" s="39">
        <f t="shared" si="55"/>
        <v>47751</v>
      </c>
      <c r="K1792" t="str">
        <f ca="1">IF(AND(B1792&gt;='План недели'!$B$4,B1792&lt;'План недели'!$D$4,D1792&lt;&gt;"",G1792&lt;&gt;"Отменён"),COUNTIFS($B$5:B1792,"&gt;="&amp;'План недели'!$B$4,$B$5:B1792,"&lt;"&amp;'План недели'!$D$4,$D$5:D1792,"&lt;&gt;",$G$5:G1792,"&lt;&gt;Отменён"),"")</f>
        <v/>
      </c>
    </row>
    <row r="1793" spans="1:11">
      <c r="A1793" t="str">
        <f>IF(B1793="","","VIS_"&amp;(YEAR(B1793)*10000+MONTH(B1793)*100+DAY(B1793))&amp;"_"&amp;IF(COUNTIF($B$5:B1793,B1793)&lt;10,"00"&amp;COUNTIF($B$5:B1793,B1793),IF(COUNTIF($B$5:B1793,B1793)&lt;100,"0"&amp;COUNTIF($B$5:B1793,B1793),COUNTIF($B$5:B1793,B1793))))</f>
        <v>VIS_20301002_001</v>
      </c>
      <c r="B1793" s="40">
        <v>47758</v>
      </c>
      <c r="C1793" s="47" t="str">
        <f t="shared" si="54"/>
        <v>Ср</v>
      </c>
      <c r="I1793" s="46"/>
      <c r="J1793" s="39">
        <f t="shared" si="55"/>
        <v>47758</v>
      </c>
      <c r="K1793" t="str">
        <f ca="1">IF(AND(B1793&gt;='План недели'!$B$4,B1793&lt;'План недели'!$D$4,D1793&lt;&gt;"",G1793&lt;&gt;"Отменён"),COUNTIFS($B$5:B1793,"&gt;="&amp;'План недели'!$B$4,$B$5:B1793,"&lt;"&amp;'План недели'!$D$4,$D$5:D1793,"&lt;&gt;",$G$5:G1793,"&lt;&gt;Отменён"),"")</f>
        <v/>
      </c>
    </row>
    <row r="1794" spans="1:11">
      <c r="A1794" t="str">
        <f>IF(B1794="","","VIS_"&amp;(YEAR(B1794)*10000+MONTH(B1794)*100+DAY(B1794))&amp;"_"&amp;IF(COUNTIF($B$5:B1794,B1794)&lt;10,"00"&amp;COUNTIF($B$5:B1794,B1794),IF(COUNTIF($B$5:B1794,B1794)&lt;100,"0"&amp;COUNTIF($B$5:B1794,B1794),COUNTIF($B$5:B1794,B1794))))</f>
        <v>VIS_20301003_001</v>
      </c>
      <c r="B1794" s="40">
        <v>47759</v>
      </c>
      <c r="C1794" s="47" t="str">
        <f t="shared" si="54"/>
        <v>Чт</v>
      </c>
      <c r="I1794" s="46"/>
      <c r="J1794" s="39">
        <f t="shared" si="55"/>
        <v>47758</v>
      </c>
      <c r="K1794" t="str">
        <f ca="1">IF(AND(B1794&gt;='План недели'!$B$4,B1794&lt;'План недели'!$D$4,D1794&lt;&gt;"",G1794&lt;&gt;"Отменён"),COUNTIFS($B$5:B1794,"&gt;="&amp;'План недели'!$B$4,$B$5:B1794,"&lt;"&amp;'План недели'!$D$4,$D$5:D1794,"&lt;&gt;",$G$5:G1794,"&lt;&gt;Отменён"),"")</f>
        <v/>
      </c>
    </row>
    <row r="1795" spans="1:11">
      <c r="A1795" t="str">
        <f>IF(B1795="","","VIS_"&amp;(YEAR(B1795)*10000+MONTH(B1795)*100+DAY(B1795))&amp;"_"&amp;IF(COUNTIF($B$5:B1795,B1795)&lt;10,"00"&amp;COUNTIF($B$5:B1795,B1795),IF(COUNTIF($B$5:B1795,B1795)&lt;100,"0"&amp;COUNTIF($B$5:B1795,B1795),COUNTIF($B$5:B1795,B1795))))</f>
        <v>VIS_20301004_001</v>
      </c>
      <c r="B1795" s="40">
        <v>47760</v>
      </c>
      <c r="C1795" s="47" t="str">
        <f t="shared" si="54"/>
        <v>Пт</v>
      </c>
      <c r="I1795" s="46"/>
      <c r="J1795" s="39">
        <f t="shared" si="55"/>
        <v>47758</v>
      </c>
      <c r="K1795" t="str">
        <f ca="1">IF(AND(B1795&gt;='План недели'!$B$4,B1795&lt;'План недели'!$D$4,D1795&lt;&gt;"",G1795&lt;&gt;"Отменён"),COUNTIFS($B$5:B1795,"&gt;="&amp;'План недели'!$B$4,$B$5:B1795,"&lt;"&amp;'План недели'!$D$4,$D$5:D1795,"&lt;&gt;",$G$5:G1795,"&lt;&gt;Отменён"),"")</f>
        <v/>
      </c>
    </row>
    <row r="1796" spans="1:11">
      <c r="A1796" t="str">
        <f>IF(B1796="","","VIS_"&amp;(YEAR(B1796)*10000+MONTH(B1796)*100+DAY(B1796))&amp;"_"&amp;IF(COUNTIF($B$5:B1796,B1796)&lt;10,"00"&amp;COUNTIF($B$5:B1796,B1796),IF(COUNTIF($B$5:B1796,B1796)&lt;100,"0"&amp;COUNTIF($B$5:B1796,B1796),COUNTIF($B$5:B1796,B1796))))</f>
        <v>VIS_20301005_001</v>
      </c>
      <c r="B1796" s="42">
        <v>47761</v>
      </c>
      <c r="C1796" s="49" t="str">
        <f t="shared" si="54"/>
        <v>Сб</v>
      </c>
      <c r="I1796" s="46"/>
      <c r="J1796" s="39">
        <f t="shared" si="55"/>
        <v>47758</v>
      </c>
      <c r="K1796" t="str">
        <f ca="1">IF(AND(B1796&gt;='План недели'!$B$4,B1796&lt;'План недели'!$D$4,D1796&lt;&gt;"",G1796&lt;&gt;"Отменён"),COUNTIFS($B$5:B1796,"&gt;="&amp;'План недели'!$B$4,$B$5:B1796,"&lt;"&amp;'План недели'!$D$4,$D$5:D1796,"&lt;&gt;",$G$5:G1796,"&lt;&gt;Отменён"),"")</f>
        <v/>
      </c>
    </row>
    <row r="1797" spans="1:11">
      <c r="A1797" t="str">
        <f>IF(B1797="","","VIS_"&amp;(YEAR(B1797)*10000+MONTH(B1797)*100+DAY(B1797))&amp;"_"&amp;IF(COUNTIF($B$5:B1797,B1797)&lt;10,"00"&amp;COUNTIF($B$5:B1797,B1797),IF(COUNTIF($B$5:B1797,B1797)&lt;100,"0"&amp;COUNTIF($B$5:B1797,B1797),COUNTIF($B$5:B1797,B1797))))</f>
        <v>VIS_20301006_001</v>
      </c>
      <c r="B1797" s="42">
        <v>47762</v>
      </c>
      <c r="C1797" s="49" t="str">
        <f t="shared" ref="C1797:C1860" si="56">IF(B1797="","",CHOOSE(WEEKDAY(B1797,2),"Пн","Вт","Ср","Чт","Пт","Сб","Вс"))</f>
        <v>Вс</v>
      </c>
      <c r="I1797" s="46"/>
      <c r="J1797" s="39">
        <f t="shared" ref="J1797:J1860" si="57">IF(B1797="","",B1797-MOD(WEEKDAY(B1797,2)-3,7))</f>
        <v>47758</v>
      </c>
      <c r="K1797" t="str">
        <f ca="1">IF(AND(B1797&gt;='План недели'!$B$4,B1797&lt;'План недели'!$D$4,D1797&lt;&gt;"",G1797&lt;&gt;"Отменён"),COUNTIFS($B$5:B1797,"&gt;="&amp;'План недели'!$B$4,$B$5:B1797,"&lt;"&amp;'План недели'!$D$4,$D$5:D1797,"&lt;&gt;",$G$5:G1797,"&lt;&gt;Отменён"),"")</f>
        <v/>
      </c>
    </row>
    <row r="1798" spans="1:11">
      <c r="A1798" t="str">
        <f>IF(B1798="","","VIS_"&amp;(YEAR(B1798)*10000+MONTH(B1798)*100+DAY(B1798))&amp;"_"&amp;IF(COUNTIF($B$5:B1798,B1798)&lt;10,"00"&amp;COUNTIF($B$5:B1798,B1798),IF(COUNTIF($B$5:B1798,B1798)&lt;100,"0"&amp;COUNTIF($B$5:B1798,B1798),COUNTIF($B$5:B1798,B1798))))</f>
        <v>VIS_20301007_001</v>
      </c>
      <c r="B1798" s="40">
        <v>47763</v>
      </c>
      <c r="C1798" s="47" t="str">
        <f t="shared" si="56"/>
        <v>Пн</v>
      </c>
      <c r="I1798" s="46"/>
      <c r="J1798" s="39">
        <f t="shared" si="57"/>
        <v>47758</v>
      </c>
      <c r="K1798" t="str">
        <f ca="1">IF(AND(B1798&gt;='План недели'!$B$4,B1798&lt;'План недели'!$D$4,D1798&lt;&gt;"",G1798&lt;&gt;"Отменён"),COUNTIFS($B$5:B1798,"&gt;="&amp;'План недели'!$B$4,$B$5:B1798,"&lt;"&amp;'План недели'!$D$4,$D$5:D1798,"&lt;&gt;",$G$5:G1798,"&lt;&gt;Отменён"),"")</f>
        <v/>
      </c>
    </row>
    <row r="1799" spans="1:11">
      <c r="A1799" t="str">
        <f>IF(B1799="","","VIS_"&amp;(YEAR(B1799)*10000+MONTH(B1799)*100+DAY(B1799))&amp;"_"&amp;IF(COUNTIF($B$5:B1799,B1799)&lt;10,"00"&amp;COUNTIF($B$5:B1799,B1799),IF(COUNTIF($B$5:B1799,B1799)&lt;100,"0"&amp;COUNTIF($B$5:B1799,B1799),COUNTIF($B$5:B1799,B1799))))</f>
        <v>VIS_20301008_001</v>
      </c>
      <c r="B1799" s="40">
        <v>47764</v>
      </c>
      <c r="C1799" s="47" t="str">
        <f t="shared" si="56"/>
        <v>Вт</v>
      </c>
      <c r="I1799" s="46"/>
      <c r="J1799" s="39">
        <f t="shared" si="57"/>
        <v>47758</v>
      </c>
      <c r="K1799" t="str">
        <f ca="1">IF(AND(B1799&gt;='План недели'!$B$4,B1799&lt;'План недели'!$D$4,D1799&lt;&gt;"",G1799&lt;&gt;"Отменён"),COUNTIFS($B$5:B1799,"&gt;="&amp;'План недели'!$B$4,$B$5:B1799,"&lt;"&amp;'План недели'!$D$4,$D$5:D1799,"&lt;&gt;",$G$5:G1799,"&lt;&gt;Отменён"),"")</f>
        <v/>
      </c>
    </row>
    <row r="1800" spans="1:11">
      <c r="A1800" t="str">
        <f>IF(B1800="","","VIS_"&amp;(YEAR(B1800)*10000+MONTH(B1800)*100+DAY(B1800))&amp;"_"&amp;IF(COUNTIF($B$5:B1800,B1800)&lt;10,"00"&amp;COUNTIF($B$5:B1800,B1800),IF(COUNTIF($B$5:B1800,B1800)&lt;100,"0"&amp;COUNTIF($B$5:B1800,B1800),COUNTIF($B$5:B1800,B1800))))</f>
        <v>VIS_20301009_001</v>
      </c>
      <c r="B1800" s="40">
        <v>47765</v>
      </c>
      <c r="C1800" s="47" t="str">
        <f t="shared" si="56"/>
        <v>Ср</v>
      </c>
      <c r="I1800" s="46"/>
      <c r="J1800" s="39">
        <f t="shared" si="57"/>
        <v>47765</v>
      </c>
      <c r="K1800" t="str">
        <f ca="1">IF(AND(B1800&gt;='План недели'!$B$4,B1800&lt;'План недели'!$D$4,D1800&lt;&gt;"",G1800&lt;&gt;"Отменён"),COUNTIFS($B$5:B1800,"&gt;="&amp;'План недели'!$B$4,$B$5:B1800,"&lt;"&amp;'План недели'!$D$4,$D$5:D1800,"&lt;&gt;",$G$5:G1800,"&lt;&gt;Отменён"),"")</f>
        <v/>
      </c>
    </row>
    <row r="1801" spans="1:11">
      <c r="A1801" t="str">
        <f>IF(B1801="","","VIS_"&amp;(YEAR(B1801)*10000+MONTH(B1801)*100+DAY(B1801))&amp;"_"&amp;IF(COUNTIF($B$5:B1801,B1801)&lt;10,"00"&amp;COUNTIF($B$5:B1801,B1801),IF(COUNTIF($B$5:B1801,B1801)&lt;100,"0"&amp;COUNTIF($B$5:B1801,B1801),COUNTIF($B$5:B1801,B1801))))</f>
        <v>VIS_20301010_001</v>
      </c>
      <c r="B1801" s="40">
        <v>47766</v>
      </c>
      <c r="C1801" s="47" t="str">
        <f t="shared" si="56"/>
        <v>Чт</v>
      </c>
      <c r="I1801" s="46"/>
      <c r="J1801" s="39">
        <f t="shared" si="57"/>
        <v>47765</v>
      </c>
      <c r="K1801" t="str">
        <f ca="1">IF(AND(B1801&gt;='План недели'!$B$4,B1801&lt;'План недели'!$D$4,D1801&lt;&gt;"",G1801&lt;&gt;"Отменён"),COUNTIFS($B$5:B1801,"&gt;="&amp;'План недели'!$B$4,$B$5:B1801,"&lt;"&amp;'План недели'!$D$4,$D$5:D1801,"&lt;&gt;",$G$5:G1801,"&lt;&gt;Отменён"),"")</f>
        <v/>
      </c>
    </row>
    <row r="1802" spans="1:11">
      <c r="A1802" t="str">
        <f>IF(B1802="","","VIS_"&amp;(YEAR(B1802)*10000+MONTH(B1802)*100+DAY(B1802))&amp;"_"&amp;IF(COUNTIF($B$5:B1802,B1802)&lt;10,"00"&amp;COUNTIF($B$5:B1802,B1802),IF(COUNTIF($B$5:B1802,B1802)&lt;100,"0"&amp;COUNTIF($B$5:B1802,B1802),COUNTIF($B$5:B1802,B1802))))</f>
        <v>VIS_20301011_001</v>
      </c>
      <c r="B1802" s="40">
        <v>47767</v>
      </c>
      <c r="C1802" s="47" t="str">
        <f t="shared" si="56"/>
        <v>Пт</v>
      </c>
      <c r="I1802" s="46"/>
      <c r="J1802" s="39">
        <f t="shared" si="57"/>
        <v>47765</v>
      </c>
      <c r="K1802" t="str">
        <f ca="1">IF(AND(B1802&gt;='План недели'!$B$4,B1802&lt;'План недели'!$D$4,D1802&lt;&gt;"",G1802&lt;&gt;"Отменён"),COUNTIFS($B$5:B1802,"&gt;="&amp;'План недели'!$B$4,$B$5:B1802,"&lt;"&amp;'План недели'!$D$4,$D$5:D1802,"&lt;&gt;",$G$5:G1802,"&lt;&gt;Отменён"),"")</f>
        <v/>
      </c>
    </row>
    <row r="1803" spans="1:11">
      <c r="A1803" t="str">
        <f>IF(B1803="","","VIS_"&amp;(YEAR(B1803)*10000+MONTH(B1803)*100+DAY(B1803))&amp;"_"&amp;IF(COUNTIF($B$5:B1803,B1803)&lt;10,"00"&amp;COUNTIF($B$5:B1803,B1803),IF(COUNTIF($B$5:B1803,B1803)&lt;100,"0"&amp;COUNTIF($B$5:B1803,B1803),COUNTIF($B$5:B1803,B1803))))</f>
        <v>VIS_20301012_001</v>
      </c>
      <c r="B1803" s="42">
        <v>47768</v>
      </c>
      <c r="C1803" s="49" t="str">
        <f t="shared" si="56"/>
        <v>Сб</v>
      </c>
      <c r="I1803" s="46"/>
      <c r="J1803" s="39">
        <f t="shared" si="57"/>
        <v>47765</v>
      </c>
      <c r="K1803" t="str">
        <f ca="1">IF(AND(B1803&gt;='План недели'!$B$4,B1803&lt;'План недели'!$D$4,D1803&lt;&gt;"",G1803&lt;&gt;"Отменён"),COUNTIFS($B$5:B1803,"&gt;="&amp;'План недели'!$B$4,$B$5:B1803,"&lt;"&amp;'План недели'!$D$4,$D$5:D1803,"&lt;&gt;",$G$5:G1803,"&lt;&gt;Отменён"),"")</f>
        <v/>
      </c>
    </row>
    <row r="1804" spans="1:11">
      <c r="A1804" t="str">
        <f>IF(B1804="","","VIS_"&amp;(YEAR(B1804)*10000+MONTH(B1804)*100+DAY(B1804))&amp;"_"&amp;IF(COUNTIF($B$5:B1804,B1804)&lt;10,"00"&amp;COUNTIF($B$5:B1804,B1804),IF(COUNTIF($B$5:B1804,B1804)&lt;100,"0"&amp;COUNTIF($B$5:B1804,B1804),COUNTIF($B$5:B1804,B1804))))</f>
        <v>VIS_20301013_001</v>
      </c>
      <c r="B1804" s="42">
        <v>47769</v>
      </c>
      <c r="C1804" s="49" t="str">
        <f t="shared" si="56"/>
        <v>Вс</v>
      </c>
      <c r="I1804" s="46"/>
      <c r="J1804" s="39">
        <f t="shared" si="57"/>
        <v>47765</v>
      </c>
      <c r="K1804" t="str">
        <f ca="1">IF(AND(B1804&gt;='План недели'!$B$4,B1804&lt;'План недели'!$D$4,D1804&lt;&gt;"",G1804&lt;&gt;"Отменён"),COUNTIFS($B$5:B1804,"&gt;="&amp;'План недели'!$B$4,$B$5:B1804,"&lt;"&amp;'План недели'!$D$4,$D$5:D1804,"&lt;&gt;",$G$5:G1804,"&lt;&gt;Отменён"),"")</f>
        <v/>
      </c>
    </row>
    <row r="1805" spans="1:11">
      <c r="A1805" t="str">
        <f>IF(B1805="","","VIS_"&amp;(YEAR(B1805)*10000+MONTH(B1805)*100+DAY(B1805))&amp;"_"&amp;IF(COUNTIF($B$5:B1805,B1805)&lt;10,"00"&amp;COUNTIF($B$5:B1805,B1805),IF(COUNTIF($B$5:B1805,B1805)&lt;100,"0"&amp;COUNTIF($B$5:B1805,B1805),COUNTIF($B$5:B1805,B1805))))</f>
        <v>VIS_20301014_001</v>
      </c>
      <c r="B1805" s="40">
        <v>47770</v>
      </c>
      <c r="C1805" s="47" t="str">
        <f t="shared" si="56"/>
        <v>Пн</v>
      </c>
      <c r="I1805" s="46"/>
      <c r="J1805" s="39">
        <f t="shared" si="57"/>
        <v>47765</v>
      </c>
      <c r="K1805" t="str">
        <f ca="1">IF(AND(B1805&gt;='План недели'!$B$4,B1805&lt;'План недели'!$D$4,D1805&lt;&gt;"",G1805&lt;&gt;"Отменён"),COUNTIFS($B$5:B1805,"&gt;="&amp;'План недели'!$B$4,$B$5:B1805,"&lt;"&amp;'План недели'!$D$4,$D$5:D1805,"&lt;&gt;",$G$5:G1805,"&lt;&gt;Отменён"),"")</f>
        <v/>
      </c>
    </row>
    <row r="1806" spans="1:11">
      <c r="A1806" t="str">
        <f>IF(B1806="","","VIS_"&amp;(YEAR(B1806)*10000+MONTH(B1806)*100+DAY(B1806))&amp;"_"&amp;IF(COUNTIF($B$5:B1806,B1806)&lt;10,"00"&amp;COUNTIF($B$5:B1806,B1806),IF(COUNTIF($B$5:B1806,B1806)&lt;100,"0"&amp;COUNTIF($B$5:B1806,B1806),COUNTIF($B$5:B1806,B1806))))</f>
        <v>VIS_20301015_001</v>
      </c>
      <c r="B1806" s="40">
        <v>47771</v>
      </c>
      <c r="C1806" s="47" t="str">
        <f t="shared" si="56"/>
        <v>Вт</v>
      </c>
      <c r="I1806" s="46"/>
      <c r="J1806" s="39">
        <f t="shared" si="57"/>
        <v>47765</v>
      </c>
      <c r="K1806" t="str">
        <f ca="1">IF(AND(B1806&gt;='План недели'!$B$4,B1806&lt;'План недели'!$D$4,D1806&lt;&gt;"",G1806&lt;&gt;"Отменён"),COUNTIFS($B$5:B1806,"&gt;="&amp;'План недели'!$B$4,$B$5:B1806,"&lt;"&amp;'План недели'!$D$4,$D$5:D1806,"&lt;&gt;",$G$5:G1806,"&lt;&gt;Отменён"),"")</f>
        <v/>
      </c>
    </row>
    <row r="1807" spans="1:11">
      <c r="A1807" t="str">
        <f>IF(B1807="","","VIS_"&amp;(YEAR(B1807)*10000+MONTH(B1807)*100+DAY(B1807))&amp;"_"&amp;IF(COUNTIF($B$5:B1807,B1807)&lt;10,"00"&amp;COUNTIF($B$5:B1807,B1807),IF(COUNTIF($B$5:B1807,B1807)&lt;100,"0"&amp;COUNTIF($B$5:B1807,B1807),COUNTIF($B$5:B1807,B1807))))</f>
        <v>VIS_20301016_001</v>
      </c>
      <c r="B1807" s="40">
        <v>47772</v>
      </c>
      <c r="C1807" s="47" t="str">
        <f t="shared" si="56"/>
        <v>Ср</v>
      </c>
      <c r="I1807" s="46"/>
      <c r="J1807" s="39">
        <f t="shared" si="57"/>
        <v>47772</v>
      </c>
      <c r="K1807" t="str">
        <f ca="1">IF(AND(B1807&gt;='План недели'!$B$4,B1807&lt;'План недели'!$D$4,D1807&lt;&gt;"",G1807&lt;&gt;"Отменён"),COUNTIFS($B$5:B1807,"&gt;="&amp;'План недели'!$B$4,$B$5:B1807,"&lt;"&amp;'План недели'!$D$4,$D$5:D1807,"&lt;&gt;",$G$5:G1807,"&lt;&gt;Отменён"),"")</f>
        <v/>
      </c>
    </row>
    <row r="1808" spans="1:11">
      <c r="A1808" t="str">
        <f>IF(B1808="","","VIS_"&amp;(YEAR(B1808)*10000+MONTH(B1808)*100+DAY(B1808))&amp;"_"&amp;IF(COUNTIF($B$5:B1808,B1808)&lt;10,"00"&amp;COUNTIF($B$5:B1808,B1808),IF(COUNTIF($B$5:B1808,B1808)&lt;100,"0"&amp;COUNTIF($B$5:B1808,B1808),COUNTIF($B$5:B1808,B1808))))</f>
        <v>VIS_20301017_001</v>
      </c>
      <c r="B1808" s="40">
        <v>47773</v>
      </c>
      <c r="C1808" s="47" t="str">
        <f t="shared" si="56"/>
        <v>Чт</v>
      </c>
      <c r="I1808" s="46"/>
      <c r="J1808" s="39">
        <f t="shared" si="57"/>
        <v>47772</v>
      </c>
      <c r="K1808" t="str">
        <f ca="1">IF(AND(B1808&gt;='План недели'!$B$4,B1808&lt;'План недели'!$D$4,D1808&lt;&gt;"",G1808&lt;&gt;"Отменён"),COUNTIFS($B$5:B1808,"&gt;="&amp;'План недели'!$B$4,$B$5:B1808,"&lt;"&amp;'План недели'!$D$4,$D$5:D1808,"&lt;&gt;",$G$5:G1808,"&lt;&gt;Отменён"),"")</f>
        <v/>
      </c>
    </row>
    <row r="1809" spans="1:11">
      <c r="A1809" t="str">
        <f>IF(B1809="","","VIS_"&amp;(YEAR(B1809)*10000+MONTH(B1809)*100+DAY(B1809))&amp;"_"&amp;IF(COUNTIF($B$5:B1809,B1809)&lt;10,"00"&amp;COUNTIF($B$5:B1809,B1809),IF(COUNTIF($B$5:B1809,B1809)&lt;100,"0"&amp;COUNTIF($B$5:B1809,B1809),COUNTIF($B$5:B1809,B1809))))</f>
        <v>VIS_20301018_001</v>
      </c>
      <c r="B1809" s="40">
        <v>47774</v>
      </c>
      <c r="C1809" s="47" t="str">
        <f t="shared" si="56"/>
        <v>Пт</v>
      </c>
      <c r="I1809" s="46"/>
      <c r="J1809" s="39">
        <f t="shared" si="57"/>
        <v>47772</v>
      </c>
      <c r="K1809" t="str">
        <f ca="1">IF(AND(B1809&gt;='План недели'!$B$4,B1809&lt;'План недели'!$D$4,D1809&lt;&gt;"",G1809&lt;&gt;"Отменён"),COUNTIFS($B$5:B1809,"&gt;="&amp;'План недели'!$B$4,$B$5:B1809,"&lt;"&amp;'План недели'!$D$4,$D$5:D1809,"&lt;&gt;",$G$5:G1809,"&lt;&gt;Отменён"),"")</f>
        <v/>
      </c>
    </row>
    <row r="1810" spans="1:11">
      <c r="A1810" t="str">
        <f>IF(B1810="","","VIS_"&amp;(YEAR(B1810)*10000+MONTH(B1810)*100+DAY(B1810))&amp;"_"&amp;IF(COUNTIF($B$5:B1810,B1810)&lt;10,"00"&amp;COUNTIF($B$5:B1810,B1810),IF(COUNTIF($B$5:B1810,B1810)&lt;100,"0"&amp;COUNTIF($B$5:B1810,B1810),COUNTIF($B$5:B1810,B1810))))</f>
        <v>VIS_20301019_001</v>
      </c>
      <c r="B1810" s="42">
        <v>47775</v>
      </c>
      <c r="C1810" s="49" t="str">
        <f t="shared" si="56"/>
        <v>Сб</v>
      </c>
      <c r="I1810" s="46"/>
      <c r="J1810" s="39">
        <f t="shared" si="57"/>
        <v>47772</v>
      </c>
      <c r="K1810" t="str">
        <f ca="1">IF(AND(B1810&gt;='План недели'!$B$4,B1810&lt;'План недели'!$D$4,D1810&lt;&gt;"",G1810&lt;&gt;"Отменён"),COUNTIFS($B$5:B1810,"&gt;="&amp;'План недели'!$B$4,$B$5:B1810,"&lt;"&amp;'План недели'!$D$4,$D$5:D1810,"&lt;&gt;",$G$5:G1810,"&lt;&gt;Отменён"),"")</f>
        <v/>
      </c>
    </row>
    <row r="1811" spans="1:11">
      <c r="A1811" t="str">
        <f>IF(B1811="","","VIS_"&amp;(YEAR(B1811)*10000+MONTH(B1811)*100+DAY(B1811))&amp;"_"&amp;IF(COUNTIF($B$5:B1811,B1811)&lt;10,"00"&amp;COUNTIF($B$5:B1811,B1811),IF(COUNTIF($B$5:B1811,B1811)&lt;100,"0"&amp;COUNTIF($B$5:B1811,B1811),COUNTIF($B$5:B1811,B1811))))</f>
        <v>VIS_20301020_001</v>
      </c>
      <c r="B1811" s="42">
        <v>47776</v>
      </c>
      <c r="C1811" s="49" t="str">
        <f t="shared" si="56"/>
        <v>Вс</v>
      </c>
      <c r="I1811" s="46"/>
      <c r="J1811" s="39">
        <f t="shared" si="57"/>
        <v>47772</v>
      </c>
      <c r="K1811" t="str">
        <f ca="1">IF(AND(B1811&gt;='План недели'!$B$4,B1811&lt;'План недели'!$D$4,D1811&lt;&gt;"",G1811&lt;&gt;"Отменён"),COUNTIFS($B$5:B1811,"&gt;="&amp;'План недели'!$B$4,$B$5:B1811,"&lt;"&amp;'План недели'!$D$4,$D$5:D1811,"&lt;&gt;",$G$5:G1811,"&lt;&gt;Отменён"),"")</f>
        <v/>
      </c>
    </row>
    <row r="1812" spans="1:11">
      <c r="A1812" t="str">
        <f>IF(B1812="","","VIS_"&amp;(YEAR(B1812)*10000+MONTH(B1812)*100+DAY(B1812))&amp;"_"&amp;IF(COUNTIF($B$5:B1812,B1812)&lt;10,"00"&amp;COUNTIF($B$5:B1812,B1812),IF(COUNTIF($B$5:B1812,B1812)&lt;100,"0"&amp;COUNTIF($B$5:B1812,B1812),COUNTIF($B$5:B1812,B1812))))</f>
        <v>VIS_20301021_001</v>
      </c>
      <c r="B1812" s="40">
        <v>47777</v>
      </c>
      <c r="C1812" s="47" t="str">
        <f t="shared" si="56"/>
        <v>Пн</v>
      </c>
      <c r="I1812" s="46"/>
      <c r="J1812" s="39">
        <f t="shared" si="57"/>
        <v>47772</v>
      </c>
      <c r="K1812" t="str">
        <f ca="1">IF(AND(B1812&gt;='План недели'!$B$4,B1812&lt;'План недели'!$D$4,D1812&lt;&gt;"",G1812&lt;&gt;"Отменён"),COUNTIFS($B$5:B1812,"&gt;="&amp;'План недели'!$B$4,$B$5:B1812,"&lt;"&amp;'План недели'!$D$4,$D$5:D1812,"&lt;&gt;",$G$5:G1812,"&lt;&gt;Отменён"),"")</f>
        <v/>
      </c>
    </row>
    <row r="1813" spans="1:11">
      <c r="A1813" t="str">
        <f>IF(B1813="","","VIS_"&amp;(YEAR(B1813)*10000+MONTH(B1813)*100+DAY(B1813))&amp;"_"&amp;IF(COUNTIF($B$5:B1813,B1813)&lt;10,"00"&amp;COUNTIF($B$5:B1813,B1813),IF(COUNTIF($B$5:B1813,B1813)&lt;100,"0"&amp;COUNTIF($B$5:B1813,B1813),COUNTIF($B$5:B1813,B1813))))</f>
        <v>VIS_20301022_001</v>
      </c>
      <c r="B1813" s="40">
        <v>47778</v>
      </c>
      <c r="C1813" s="47" t="str">
        <f t="shared" si="56"/>
        <v>Вт</v>
      </c>
      <c r="I1813" s="46"/>
      <c r="J1813" s="39">
        <f t="shared" si="57"/>
        <v>47772</v>
      </c>
      <c r="K1813" t="str">
        <f ca="1">IF(AND(B1813&gt;='План недели'!$B$4,B1813&lt;'План недели'!$D$4,D1813&lt;&gt;"",G1813&lt;&gt;"Отменён"),COUNTIFS($B$5:B1813,"&gt;="&amp;'План недели'!$B$4,$B$5:B1813,"&lt;"&amp;'План недели'!$D$4,$D$5:D1813,"&lt;&gt;",$G$5:G1813,"&lt;&gt;Отменён"),"")</f>
        <v/>
      </c>
    </row>
    <row r="1814" spans="1:11">
      <c r="A1814" t="str">
        <f>IF(B1814="","","VIS_"&amp;(YEAR(B1814)*10000+MONTH(B1814)*100+DAY(B1814))&amp;"_"&amp;IF(COUNTIF($B$5:B1814,B1814)&lt;10,"00"&amp;COUNTIF($B$5:B1814,B1814),IF(COUNTIF($B$5:B1814,B1814)&lt;100,"0"&amp;COUNTIF($B$5:B1814,B1814),COUNTIF($B$5:B1814,B1814))))</f>
        <v>VIS_20301023_001</v>
      </c>
      <c r="B1814" s="40">
        <v>47779</v>
      </c>
      <c r="C1814" s="47" t="str">
        <f t="shared" si="56"/>
        <v>Ср</v>
      </c>
      <c r="I1814" s="46"/>
      <c r="J1814" s="39">
        <f t="shared" si="57"/>
        <v>47779</v>
      </c>
      <c r="K1814" t="str">
        <f ca="1">IF(AND(B1814&gt;='План недели'!$B$4,B1814&lt;'План недели'!$D$4,D1814&lt;&gt;"",G1814&lt;&gt;"Отменён"),COUNTIFS($B$5:B1814,"&gt;="&amp;'План недели'!$B$4,$B$5:B1814,"&lt;"&amp;'План недели'!$D$4,$D$5:D1814,"&lt;&gt;",$G$5:G1814,"&lt;&gt;Отменён"),"")</f>
        <v/>
      </c>
    </row>
    <row r="1815" spans="1:11">
      <c r="A1815" t="str">
        <f>IF(B1815="","","VIS_"&amp;(YEAR(B1815)*10000+MONTH(B1815)*100+DAY(B1815))&amp;"_"&amp;IF(COUNTIF($B$5:B1815,B1815)&lt;10,"00"&amp;COUNTIF($B$5:B1815,B1815),IF(COUNTIF($B$5:B1815,B1815)&lt;100,"0"&amp;COUNTIF($B$5:B1815,B1815),COUNTIF($B$5:B1815,B1815))))</f>
        <v>VIS_20301024_001</v>
      </c>
      <c r="B1815" s="40">
        <v>47780</v>
      </c>
      <c r="C1815" s="47" t="str">
        <f t="shared" si="56"/>
        <v>Чт</v>
      </c>
      <c r="I1815" s="46"/>
      <c r="J1815" s="39">
        <f t="shared" si="57"/>
        <v>47779</v>
      </c>
      <c r="K1815" t="str">
        <f ca="1">IF(AND(B1815&gt;='План недели'!$B$4,B1815&lt;'План недели'!$D$4,D1815&lt;&gt;"",G1815&lt;&gt;"Отменён"),COUNTIFS($B$5:B1815,"&gt;="&amp;'План недели'!$B$4,$B$5:B1815,"&lt;"&amp;'План недели'!$D$4,$D$5:D1815,"&lt;&gt;",$G$5:G1815,"&lt;&gt;Отменён"),"")</f>
        <v/>
      </c>
    </row>
    <row r="1816" spans="1:11">
      <c r="A1816" t="str">
        <f>IF(B1816="","","VIS_"&amp;(YEAR(B1816)*10000+MONTH(B1816)*100+DAY(B1816))&amp;"_"&amp;IF(COUNTIF($B$5:B1816,B1816)&lt;10,"00"&amp;COUNTIF($B$5:B1816,B1816),IF(COUNTIF($B$5:B1816,B1816)&lt;100,"0"&amp;COUNTIF($B$5:B1816,B1816),COUNTIF($B$5:B1816,B1816))))</f>
        <v>VIS_20301025_001</v>
      </c>
      <c r="B1816" s="40">
        <v>47781</v>
      </c>
      <c r="C1816" s="47" t="str">
        <f t="shared" si="56"/>
        <v>Пт</v>
      </c>
      <c r="I1816" s="46"/>
      <c r="J1816" s="39">
        <f t="shared" si="57"/>
        <v>47779</v>
      </c>
      <c r="K1816" t="str">
        <f ca="1">IF(AND(B1816&gt;='План недели'!$B$4,B1816&lt;'План недели'!$D$4,D1816&lt;&gt;"",G1816&lt;&gt;"Отменён"),COUNTIFS($B$5:B1816,"&gt;="&amp;'План недели'!$B$4,$B$5:B1816,"&lt;"&amp;'План недели'!$D$4,$D$5:D1816,"&lt;&gt;",$G$5:G1816,"&lt;&gt;Отменён"),"")</f>
        <v/>
      </c>
    </row>
    <row r="1817" spans="1:11">
      <c r="A1817" t="str">
        <f>IF(B1817="","","VIS_"&amp;(YEAR(B1817)*10000+MONTH(B1817)*100+DAY(B1817))&amp;"_"&amp;IF(COUNTIF($B$5:B1817,B1817)&lt;10,"00"&amp;COUNTIF($B$5:B1817,B1817),IF(COUNTIF($B$5:B1817,B1817)&lt;100,"0"&amp;COUNTIF($B$5:B1817,B1817),COUNTIF($B$5:B1817,B1817))))</f>
        <v>VIS_20301026_001</v>
      </c>
      <c r="B1817" s="42">
        <v>47782</v>
      </c>
      <c r="C1817" s="49" t="str">
        <f t="shared" si="56"/>
        <v>Сб</v>
      </c>
      <c r="I1817" s="46"/>
      <c r="J1817" s="39">
        <f t="shared" si="57"/>
        <v>47779</v>
      </c>
      <c r="K1817" t="str">
        <f ca="1">IF(AND(B1817&gt;='План недели'!$B$4,B1817&lt;'План недели'!$D$4,D1817&lt;&gt;"",G1817&lt;&gt;"Отменён"),COUNTIFS($B$5:B1817,"&gt;="&amp;'План недели'!$B$4,$B$5:B1817,"&lt;"&amp;'План недели'!$D$4,$D$5:D1817,"&lt;&gt;",$G$5:G1817,"&lt;&gt;Отменён"),"")</f>
        <v/>
      </c>
    </row>
    <row r="1818" spans="1:11">
      <c r="A1818" t="str">
        <f>IF(B1818="","","VIS_"&amp;(YEAR(B1818)*10000+MONTH(B1818)*100+DAY(B1818))&amp;"_"&amp;IF(COUNTIF($B$5:B1818,B1818)&lt;10,"00"&amp;COUNTIF($B$5:B1818,B1818),IF(COUNTIF($B$5:B1818,B1818)&lt;100,"0"&amp;COUNTIF($B$5:B1818,B1818),COUNTIF($B$5:B1818,B1818))))</f>
        <v>VIS_20301027_001</v>
      </c>
      <c r="B1818" s="42">
        <v>47783</v>
      </c>
      <c r="C1818" s="49" t="str">
        <f t="shared" si="56"/>
        <v>Вс</v>
      </c>
      <c r="I1818" s="46"/>
      <c r="J1818" s="39">
        <f t="shared" si="57"/>
        <v>47779</v>
      </c>
      <c r="K1818" t="str">
        <f ca="1">IF(AND(B1818&gt;='План недели'!$B$4,B1818&lt;'План недели'!$D$4,D1818&lt;&gt;"",G1818&lt;&gt;"Отменён"),COUNTIFS($B$5:B1818,"&gt;="&amp;'План недели'!$B$4,$B$5:B1818,"&lt;"&amp;'План недели'!$D$4,$D$5:D1818,"&lt;&gt;",$G$5:G1818,"&lt;&gt;Отменён"),"")</f>
        <v/>
      </c>
    </row>
    <row r="1819" spans="1:11">
      <c r="A1819" t="str">
        <f>IF(B1819="","","VIS_"&amp;(YEAR(B1819)*10000+MONTH(B1819)*100+DAY(B1819))&amp;"_"&amp;IF(COUNTIF($B$5:B1819,B1819)&lt;10,"00"&amp;COUNTIF($B$5:B1819,B1819),IF(COUNTIF($B$5:B1819,B1819)&lt;100,"0"&amp;COUNTIF($B$5:B1819,B1819),COUNTIF($B$5:B1819,B1819))))</f>
        <v>VIS_20301028_001</v>
      </c>
      <c r="B1819" s="40">
        <v>47784</v>
      </c>
      <c r="C1819" s="47" t="str">
        <f t="shared" si="56"/>
        <v>Пн</v>
      </c>
      <c r="I1819" s="46"/>
      <c r="J1819" s="39">
        <f t="shared" si="57"/>
        <v>47779</v>
      </c>
      <c r="K1819" t="str">
        <f ca="1">IF(AND(B1819&gt;='План недели'!$B$4,B1819&lt;'План недели'!$D$4,D1819&lt;&gt;"",G1819&lt;&gt;"Отменён"),COUNTIFS($B$5:B1819,"&gt;="&amp;'План недели'!$B$4,$B$5:B1819,"&lt;"&amp;'План недели'!$D$4,$D$5:D1819,"&lt;&gt;",$G$5:G1819,"&lt;&gt;Отменён"),"")</f>
        <v/>
      </c>
    </row>
    <row r="1820" spans="1:11">
      <c r="A1820" t="str">
        <f>IF(B1820="","","VIS_"&amp;(YEAR(B1820)*10000+MONTH(B1820)*100+DAY(B1820))&amp;"_"&amp;IF(COUNTIF($B$5:B1820,B1820)&lt;10,"00"&amp;COUNTIF($B$5:B1820,B1820),IF(COUNTIF($B$5:B1820,B1820)&lt;100,"0"&amp;COUNTIF($B$5:B1820,B1820),COUNTIF($B$5:B1820,B1820))))</f>
        <v>VIS_20301029_001</v>
      </c>
      <c r="B1820" s="40">
        <v>47785</v>
      </c>
      <c r="C1820" s="47" t="str">
        <f t="shared" si="56"/>
        <v>Вт</v>
      </c>
      <c r="I1820" s="46"/>
      <c r="J1820" s="39">
        <f t="shared" si="57"/>
        <v>47779</v>
      </c>
      <c r="K1820" t="str">
        <f ca="1">IF(AND(B1820&gt;='План недели'!$B$4,B1820&lt;'План недели'!$D$4,D1820&lt;&gt;"",G1820&lt;&gt;"Отменён"),COUNTIFS($B$5:B1820,"&gt;="&amp;'План недели'!$B$4,$B$5:B1820,"&lt;"&amp;'План недели'!$D$4,$D$5:D1820,"&lt;&gt;",$G$5:G1820,"&lt;&gt;Отменён"),"")</f>
        <v/>
      </c>
    </row>
    <row r="1821" spans="1:11">
      <c r="A1821" t="str">
        <f>IF(B1821="","","VIS_"&amp;(YEAR(B1821)*10000+MONTH(B1821)*100+DAY(B1821))&amp;"_"&amp;IF(COUNTIF($B$5:B1821,B1821)&lt;10,"00"&amp;COUNTIF($B$5:B1821,B1821),IF(COUNTIF($B$5:B1821,B1821)&lt;100,"0"&amp;COUNTIF($B$5:B1821,B1821),COUNTIF($B$5:B1821,B1821))))</f>
        <v>VIS_20301030_001</v>
      </c>
      <c r="B1821" s="40">
        <v>47786</v>
      </c>
      <c r="C1821" s="47" t="str">
        <f t="shared" si="56"/>
        <v>Ср</v>
      </c>
      <c r="I1821" s="46"/>
      <c r="J1821" s="39">
        <f t="shared" si="57"/>
        <v>47786</v>
      </c>
      <c r="K1821" t="str">
        <f ca="1">IF(AND(B1821&gt;='План недели'!$B$4,B1821&lt;'План недели'!$D$4,D1821&lt;&gt;"",G1821&lt;&gt;"Отменён"),COUNTIFS($B$5:B1821,"&gt;="&amp;'План недели'!$B$4,$B$5:B1821,"&lt;"&amp;'План недели'!$D$4,$D$5:D1821,"&lt;&gt;",$G$5:G1821,"&lt;&gt;Отменён"),"")</f>
        <v/>
      </c>
    </row>
    <row r="1822" spans="1:11">
      <c r="A1822" t="str">
        <f>IF(B1822="","","VIS_"&amp;(YEAR(B1822)*10000+MONTH(B1822)*100+DAY(B1822))&amp;"_"&amp;IF(COUNTIF($B$5:B1822,B1822)&lt;10,"00"&amp;COUNTIF($B$5:B1822,B1822),IF(COUNTIF($B$5:B1822,B1822)&lt;100,"0"&amp;COUNTIF($B$5:B1822,B1822),COUNTIF($B$5:B1822,B1822))))</f>
        <v>VIS_20301031_001</v>
      </c>
      <c r="B1822" s="40">
        <v>47787</v>
      </c>
      <c r="C1822" s="47" t="str">
        <f t="shared" si="56"/>
        <v>Чт</v>
      </c>
      <c r="I1822" s="46"/>
      <c r="J1822" s="39">
        <f t="shared" si="57"/>
        <v>47786</v>
      </c>
      <c r="K1822" t="str">
        <f ca="1">IF(AND(B1822&gt;='План недели'!$B$4,B1822&lt;'План недели'!$D$4,D1822&lt;&gt;"",G1822&lt;&gt;"Отменён"),COUNTIFS($B$5:B1822,"&gt;="&amp;'План недели'!$B$4,$B$5:B1822,"&lt;"&amp;'План недели'!$D$4,$D$5:D1822,"&lt;&gt;",$G$5:G1822,"&lt;&gt;Отменён"),"")</f>
        <v/>
      </c>
    </row>
    <row r="1823" spans="1:11">
      <c r="A1823" t="str">
        <f>IF(B1823="","","VIS_"&amp;(YEAR(B1823)*10000+MONTH(B1823)*100+DAY(B1823))&amp;"_"&amp;IF(COUNTIF($B$5:B1823,B1823)&lt;10,"00"&amp;COUNTIF($B$5:B1823,B1823),IF(COUNTIF($B$5:B1823,B1823)&lt;100,"0"&amp;COUNTIF($B$5:B1823,B1823),COUNTIF($B$5:B1823,B1823))))</f>
        <v>VIS_20301101_001</v>
      </c>
      <c r="B1823" s="40">
        <v>47788</v>
      </c>
      <c r="C1823" s="47" t="str">
        <f t="shared" si="56"/>
        <v>Пт</v>
      </c>
      <c r="I1823" s="46"/>
      <c r="J1823" s="39">
        <f t="shared" si="57"/>
        <v>47786</v>
      </c>
      <c r="K1823" t="str">
        <f ca="1">IF(AND(B1823&gt;='План недели'!$B$4,B1823&lt;'План недели'!$D$4,D1823&lt;&gt;"",G1823&lt;&gt;"Отменён"),COUNTIFS($B$5:B1823,"&gt;="&amp;'План недели'!$B$4,$B$5:B1823,"&lt;"&amp;'План недели'!$D$4,$D$5:D1823,"&lt;&gt;",$G$5:G1823,"&lt;&gt;Отменён"),"")</f>
        <v/>
      </c>
    </row>
    <row r="1824" spans="1:11">
      <c r="A1824" t="str">
        <f>IF(B1824="","","VIS_"&amp;(YEAR(B1824)*10000+MONTH(B1824)*100+DAY(B1824))&amp;"_"&amp;IF(COUNTIF($B$5:B1824,B1824)&lt;10,"00"&amp;COUNTIF($B$5:B1824,B1824),IF(COUNTIF($B$5:B1824,B1824)&lt;100,"0"&amp;COUNTIF($B$5:B1824,B1824),COUNTIF($B$5:B1824,B1824))))</f>
        <v>VIS_20301102_001</v>
      </c>
      <c r="B1824" s="42">
        <v>47789</v>
      </c>
      <c r="C1824" s="49" t="str">
        <f t="shared" si="56"/>
        <v>Сб</v>
      </c>
      <c r="I1824" s="46"/>
      <c r="J1824" s="39">
        <f t="shared" si="57"/>
        <v>47786</v>
      </c>
      <c r="K1824" t="str">
        <f ca="1">IF(AND(B1824&gt;='План недели'!$B$4,B1824&lt;'План недели'!$D$4,D1824&lt;&gt;"",G1824&lt;&gt;"Отменён"),COUNTIFS($B$5:B1824,"&gt;="&amp;'План недели'!$B$4,$B$5:B1824,"&lt;"&amp;'План недели'!$D$4,$D$5:D1824,"&lt;&gt;",$G$5:G1824,"&lt;&gt;Отменён"),"")</f>
        <v/>
      </c>
    </row>
    <row r="1825" spans="1:11">
      <c r="A1825" t="str">
        <f>IF(B1825="","","VIS_"&amp;(YEAR(B1825)*10000+MONTH(B1825)*100+DAY(B1825))&amp;"_"&amp;IF(COUNTIF($B$5:B1825,B1825)&lt;10,"00"&amp;COUNTIF($B$5:B1825,B1825),IF(COUNTIF($B$5:B1825,B1825)&lt;100,"0"&amp;COUNTIF($B$5:B1825,B1825),COUNTIF($B$5:B1825,B1825))))</f>
        <v>VIS_20301103_001</v>
      </c>
      <c r="B1825" s="42">
        <v>47790</v>
      </c>
      <c r="C1825" s="49" t="str">
        <f t="shared" si="56"/>
        <v>Вс</v>
      </c>
      <c r="I1825" s="46"/>
      <c r="J1825" s="39">
        <f t="shared" si="57"/>
        <v>47786</v>
      </c>
      <c r="K1825" t="str">
        <f ca="1">IF(AND(B1825&gt;='План недели'!$B$4,B1825&lt;'План недели'!$D$4,D1825&lt;&gt;"",G1825&lt;&gt;"Отменён"),COUNTIFS($B$5:B1825,"&gt;="&amp;'План недели'!$B$4,$B$5:B1825,"&lt;"&amp;'План недели'!$D$4,$D$5:D1825,"&lt;&gt;",$G$5:G1825,"&lt;&gt;Отменён"),"")</f>
        <v/>
      </c>
    </row>
    <row r="1826" spans="1:11">
      <c r="A1826" t="str">
        <f>IF(B1826="","","VIS_"&amp;(YEAR(B1826)*10000+MONTH(B1826)*100+DAY(B1826))&amp;"_"&amp;IF(COUNTIF($B$5:B1826,B1826)&lt;10,"00"&amp;COUNTIF($B$5:B1826,B1826),IF(COUNTIF($B$5:B1826,B1826)&lt;100,"0"&amp;COUNTIF($B$5:B1826,B1826),COUNTIF($B$5:B1826,B1826))))</f>
        <v>VIS_20301104_001</v>
      </c>
      <c r="B1826" s="40">
        <v>47791</v>
      </c>
      <c r="C1826" s="47" t="str">
        <f t="shared" si="56"/>
        <v>Пн</v>
      </c>
      <c r="I1826" s="46"/>
      <c r="J1826" s="39">
        <f t="shared" si="57"/>
        <v>47786</v>
      </c>
      <c r="K1826" t="str">
        <f ca="1">IF(AND(B1826&gt;='План недели'!$B$4,B1826&lt;'План недели'!$D$4,D1826&lt;&gt;"",G1826&lt;&gt;"Отменён"),COUNTIFS($B$5:B1826,"&gt;="&amp;'План недели'!$B$4,$B$5:B1826,"&lt;"&amp;'План недели'!$D$4,$D$5:D1826,"&lt;&gt;",$G$5:G1826,"&lt;&gt;Отменён"),"")</f>
        <v/>
      </c>
    </row>
    <row r="1827" spans="1:11">
      <c r="A1827" t="str">
        <f>IF(B1827="","","VIS_"&amp;(YEAR(B1827)*10000+MONTH(B1827)*100+DAY(B1827))&amp;"_"&amp;IF(COUNTIF($B$5:B1827,B1827)&lt;10,"00"&amp;COUNTIF($B$5:B1827,B1827),IF(COUNTIF($B$5:B1827,B1827)&lt;100,"0"&amp;COUNTIF($B$5:B1827,B1827),COUNTIF($B$5:B1827,B1827))))</f>
        <v>VIS_20301105_001</v>
      </c>
      <c r="B1827" s="40">
        <v>47792</v>
      </c>
      <c r="C1827" s="47" t="str">
        <f t="shared" si="56"/>
        <v>Вт</v>
      </c>
      <c r="I1827" s="46"/>
      <c r="J1827" s="39">
        <f t="shared" si="57"/>
        <v>47786</v>
      </c>
      <c r="K1827" t="str">
        <f ca="1">IF(AND(B1827&gt;='План недели'!$B$4,B1827&lt;'План недели'!$D$4,D1827&lt;&gt;"",G1827&lt;&gt;"Отменён"),COUNTIFS($B$5:B1827,"&gt;="&amp;'План недели'!$B$4,$B$5:B1827,"&lt;"&amp;'План недели'!$D$4,$D$5:D1827,"&lt;&gt;",$G$5:G1827,"&lt;&gt;Отменён"),"")</f>
        <v/>
      </c>
    </row>
    <row r="1828" spans="1:11">
      <c r="A1828" t="str">
        <f>IF(B1828="","","VIS_"&amp;(YEAR(B1828)*10000+MONTH(B1828)*100+DAY(B1828))&amp;"_"&amp;IF(COUNTIF($B$5:B1828,B1828)&lt;10,"00"&amp;COUNTIF($B$5:B1828,B1828),IF(COUNTIF($B$5:B1828,B1828)&lt;100,"0"&amp;COUNTIF($B$5:B1828,B1828),COUNTIF($B$5:B1828,B1828))))</f>
        <v>VIS_20301106_001</v>
      </c>
      <c r="B1828" s="40">
        <v>47793</v>
      </c>
      <c r="C1828" s="47" t="str">
        <f t="shared" si="56"/>
        <v>Ср</v>
      </c>
      <c r="I1828" s="46"/>
      <c r="J1828" s="39">
        <f t="shared" si="57"/>
        <v>47793</v>
      </c>
      <c r="K1828" t="str">
        <f ca="1">IF(AND(B1828&gt;='План недели'!$B$4,B1828&lt;'План недели'!$D$4,D1828&lt;&gt;"",G1828&lt;&gt;"Отменён"),COUNTIFS($B$5:B1828,"&gt;="&amp;'План недели'!$B$4,$B$5:B1828,"&lt;"&amp;'План недели'!$D$4,$D$5:D1828,"&lt;&gt;",$G$5:G1828,"&lt;&gt;Отменён"),"")</f>
        <v/>
      </c>
    </row>
    <row r="1829" spans="1:11">
      <c r="A1829" t="str">
        <f>IF(B1829="","","VIS_"&amp;(YEAR(B1829)*10000+MONTH(B1829)*100+DAY(B1829))&amp;"_"&amp;IF(COUNTIF($B$5:B1829,B1829)&lt;10,"00"&amp;COUNTIF($B$5:B1829,B1829),IF(COUNTIF($B$5:B1829,B1829)&lt;100,"0"&amp;COUNTIF($B$5:B1829,B1829),COUNTIF($B$5:B1829,B1829))))</f>
        <v>VIS_20301107_001</v>
      </c>
      <c r="B1829" s="40">
        <v>47794</v>
      </c>
      <c r="C1829" s="47" t="str">
        <f t="shared" si="56"/>
        <v>Чт</v>
      </c>
      <c r="I1829" s="46"/>
      <c r="J1829" s="39">
        <f t="shared" si="57"/>
        <v>47793</v>
      </c>
      <c r="K1829" t="str">
        <f ca="1">IF(AND(B1829&gt;='План недели'!$B$4,B1829&lt;'План недели'!$D$4,D1829&lt;&gt;"",G1829&lt;&gt;"Отменён"),COUNTIFS($B$5:B1829,"&gt;="&amp;'План недели'!$B$4,$B$5:B1829,"&lt;"&amp;'План недели'!$D$4,$D$5:D1829,"&lt;&gt;",$G$5:G1829,"&lt;&gt;Отменён"),"")</f>
        <v/>
      </c>
    </row>
    <row r="1830" spans="1:11">
      <c r="A1830" t="str">
        <f>IF(B1830="","","VIS_"&amp;(YEAR(B1830)*10000+MONTH(B1830)*100+DAY(B1830))&amp;"_"&amp;IF(COUNTIF($B$5:B1830,B1830)&lt;10,"00"&amp;COUNTIF($B$5:B1830,B1830),IF(COUNTIF($B$5:B1830,B1830)&lt;100,"0"&amp;COUNTIF($B$5:B1830,B1830),COUNTIF($B$5:B1830,B1830))))</f>
        <v>VIS_20301108_001</v>
      </c>
      <c r="B1830" s="40">
        <v>47795</v>
      </c>
      <c r="C1830" s="47" t="str">
        <f t="shared" si="56"/>
        <v>Пт</v>
      </c>
      <c r="I1830" s="46"/>
      <c r="J1830" s="39">
        <f t="shared" si="57"/>
        <v>47793</v>
      </c>
      <c r="K1830" t="str">
        <f ca="1">IF(AND(B1830&gt;='План недели'!$B$4,B1830&lt;'План недели'!$D$4,D1830&lt;&gt;"",G1830&lt;&gt;"Отменён"),COUNTIFS($B$5:B1830,"&gt;="&amp;'План недели'!$B$4,$B$5:B1830,"&lt;"&amp;'План недели'!$D$4,$D$5:D1830,"&lt;&gt;",$G$5:G1830,"&lt;&gt;Отменён"),"")</f>
        <v/>
      </c>
    </row>
    <row r="1831" spans="1:11">
      <c r="A1831" t="str">
        <f>IF(B1831="","","VIS_"&amp;(YEAR(B1831)*10000+MONTH(B1831)*100+DAY(B1831))&amp;"_"&amp;IF(COUNTIF($B$5:B1831,B1831)&lt;10,"00"&amp;COUNTIF($B$5:B1831,B1831),IF(COUNTIF($B$5:B1831,B1831)&lt;100,"0"&amp;COUNTIF($B$5:B1831,B1831),COUNTIF($B$5:B1831,B1831))))</f>
        <v>VIS_20301109_001</v>
      </c>
      <c r="B1831" s="42">
        <v>47796</v>
      </c>
      <c r="C1831" s="49" t="str">
        <f t="shared" si="56"/>
        <v>Сб</v>
      </c>
      <c r="I1831" s="46"/>
      <c r="J1831" s="39">
        <f t="shared" si="57"/>
        <v>47793</v>
      </c>
      <c r="K1831" t="str">
        <f ca="1">IF(AND(B1831&gt;='План недели'!$B$4,B1831&lt;'План недели'!$D$4,D1831&lt;&gt;"",G1831&lt;&gt;"Отменён"),COUNTIFS($B$5:B1831,"&gt;="&amp;'План недели'!$B$4,$B$5:B1831,"&lt;"&amp;'План недели'!$D$4,$D$5:D1831,"&lt;&gt;",$G$5:G1831,"&lt;&gt;Отменён"),"")</f>
        <v/>
      </c>
    </row>
    <row r="1832" spans="1:11">
      <c r="A1832" t="str">
        <f>IF(B1832="","","VIS_"&amp;(YEAR(B1832)*10000+MONTH(B1832)*100+DAY(B1832))&amp;"_"&amp;IF(COUNTIF($B$5:B1832,B1832)&lt;10,"00"&amp;COUNTIF($B$5:B1832,B1832),IF(COUNTIF($B$5:B1832,B1832)&lt;100,"0"&amp;COUNTIF($B$5:B1832,B1832),COUNTIF($B$5:B1832,B1832))))</f>
        <v>VIS_20301110_001</v>
      </c>
      <c r="B1832" s="42">
        <v>47797</v>
      </c>
      <c r="C1832" s="49" t="str">
        <f t="shared" si="56"/>
        <v>Вс</v>
      </c>
      <c r="I1832" s="46"/>
      <c r="J1832" s="39">
        <f t="shared" si="57"/>
        <v>47793</v>
      </c>
      <c r="K1832" t="str">
        <f ca="1">IF(AND(B1832&gt;='План недели'!$B$4,B1832&lt;'План недели'!$D$4,D1832&lt;&gt;"",G1832&lt;&gt;"Отменён"),COUNTIFS($B$5:B1832,"&gt;="&amp;'План недели'!$B$4,$B$5:B1832,"&lt;"&amp;'План недели'!$D$4,$D$5:D1832,"&lt;&gt;",$G$5:G1832,"&lt;&gt;Отменён"),"")</f>
        <v/>
      </c>
    </row>
    <row r="1833" spans="1:11">
      <c r="A1833" t="str">
        <f>IF(B1833="","","VIS_"&amp;(YEAR(B1833)*10000+MONTH(B1833)*100+DAY(B1833))&amp;"_"&amp;IF(COUNTIF($B$5:B1833,B1833)&lt;10,"00"&amp;COUNTIF($B$5:B1833,B1833),IF(COUNTIF($B$5:B1833,B1833)&lt;100,"0"&amp;COUNTIF($B$5:B1833,B1833),COUNTIF($B$5:B1833,B1833))))</f>
        <v>VIS_20301111_001</v>
      </c>
      <c r="B1833" s="40">
        <v>47798</v>
      </c>
      <c r="C1833" s="47" t="str">
        <f t="shared" si="56"/>
        <v>Пн</v>
      </c>
      <c r="I1833" s="46"/>
      <c r="J1833" s="39">
        <f t="shared" si="57"/>
        <v>47793</v>
      </c>
      <c r="K1833" t="str">
        <f ca="1">IF(AND(B1833&gt;='План недели'!$B$4,B1833&lt;'План недели'!$D$4,D1833&lt;&gt;"",G1833&lt;&gt;"Отменён"),COUNTIFS($B$5:B1833,"&gt;="&amp;'План недели'!$B$4,$B$5:B1833,"&lt;"&amp;'План недели'!$D$4,$D$5:D1833,"&lt;&gt;",$G$5:G1833,"&lt;&gt;Отменён"),"")</f>
        <v/>
      </c>
    </row>
    <row r="1834" spans="1:11">
      <c r="A1834" t="str">
        <f>IF(B1834="","","VIS_"&amp;(YEAR(B1834)*10000+MONTH(B1834)*100+DAY(B1834))&amp;"_"&amp;IF(COUNTIF($B$5:B1834,B1834)&lt;10,"00"&amp;COUNTIF($B$5:B1834,B1834),IF(COUNTIF($B$5:B1834,B1834)&lt;100,"0"&amp;COUNTIF($B$5:B1834,B1834),COUNTIF($B$5:B1834,B1834))))</f>
        <v>VIS_20301112_001</v>
      </c>
      <c r="B1834" s="40">
        <v>47799</v>
      </c>
      <c r="C1834" s="47" t="str">
        <f t="shared" si="56"/>
        <v>Вт</v>
      </c>
      <c r="I1834" s="46"/>
      <c r="J1834" s="39">
        <f t="shared" si="57"/>
        <v>47793</v>
      </c>
      <c r="K1834" t="str">
        <f ca="1">IF(AND(B1834&gt;='План недели'!$B$4,B1834&lt;'План недели'!$D$4,D1834&lt;&gt;"",G1834&lt;&gt;"Отменён"),COUNTIFS($B$5:B1834,"&gt;="&amp;'План недели'!$B$4,$B$5:B1834,"&lt;"&amp;'План недели'!$D$4,$D$5:D1834,"&lt;&gt;",$G$5:G1834,"&lt;&gt;Отменён"),"")</f>
        <v/>
      </c>
    </row>
    <row r="1835" spans="1:11">
      <c r="A1835" t="str">
        <f>IF(B1835="","","VIS_"&amp;(YEAR(B1835)*10000+MONTH(B1835)*100+DAY(B1835))&amp;"_"&amp;IF(COUNTIF($B$5:B1835,B1835)&lt;10,"00"&amp;COUNTIF($B$5:B1835,B1835),IF(COUNTIF($B$5:B1835,B1835)&lt;100,"0"&amp;COUNTIF($B$5:B1835,B1835),COUNTIF($B$5:B1835,B1835))))</f>
        <v>VIS_20301113_001</v>
      </c>
      <c r="B1835" s="40">
        <v>47800</v>
      </c>
      <c r="C1835" s="47" t="str">
        <f t="shared" si="56"/>
        <v>Ср</v>
      </c>
      <c r="I1835" s="46"/>
      <c r="J1835" s="39">
        <f t="shared" si="57"/>
        <v>47800</v>
      </c>
      <c r="K1835" t="str">
        <f ca="1">IF(AND(B1835&gt;='План недели'!$B$4,B1835&lt;'План недели'!$D$4,D1835&lt;&gt;"",G1835&lt;&gt;"Отменён"),COUNTIFS($B$5:B1835,"&gt;="&amp;'План недели'!$B$4,$B$5:B1835,"&lt;"&amp;'План недели'!$D$4,$D$5:D1835,"&lt;&gt;",$G$5:G1835,"&lt;&gt;Отменён"),"")</f>
        <v/>
      </c>
    </row>
    <row r="1836" spans="1:11">
      <c r="A1836" t="str">
        <f>IF(B1836="","","VIS_"&amp;(YEAR(B1836)*10000+MONTH(B1836)*100+DAY(B1836))&amp;"_"&amp;IF(COUNTIF($B$5:B1836,B1836)&lt;10,"00"&amp;COUNTIF($B$5:B1836,B1836),IF(COUNTIF($B$5:B1836,B1836)&lt;100,"0"&amp;COUNTIF($B$5:B1836,B1836),COUNTIF($B$5:B1836,B1836))))</f>
        <v>VIS_20301114_001</v>
      </c>
      <c r="B1836" s="40">
        <v>47801</v>
      </c>
      <c r="C1836" s="47" t="str">
        <f t="shared" si="56"/>
        <v>Чт</v>
      </c>
      <c r="I1836" s="46"/>
      <c r="J1836" s="39">
        <f t="shared" si="57"/>
        <v>47800</v>
      </c>
      <c r="K1836" t="str">
        <f ca="1">IF(AND(B1836&gt;='План недели'!$B$4,B1836&lt;'План недели'!$D$4,D1836&lt;&gt;"",G1836&lt;&gt;"Отменён"),COUNTIFS($B$5:B1836,"&gt;="&amp;'План недели'!$B$4,$B$5:B1836,"&lt;"&amp;'План недели'!$D$4,$D$5:D1836,"&lt;&gt;",$G$5:G1836,"&lt;&gt;Отменён"),"")</f>
        <v/>
      </c>
    </row>
    <row r="1837" spans="1:11">
      <c r="A1837" t="str">
        <f>IF(B1837="","","VIS_"&amp;(YEAR(B1837)*10000+MONTH(B1837)*100+DAY(B1837))&amp;"_"&amp;IF(COUNTIF($B$5:B1837,B1837)&lt;10,"00"&amp;COUNTIF($B$5:B1837,B1837),IF(COUNTIF($B$5:B1837,B1837)&lt;100,"0"&amp;COUNTIF($B$5:B1837,B1837),COUNTIF($B$5:B1837,B1837))))</f>
        <v>VIS_20301115_001</v>
      </c>
      <c r="B1837" s="40">
        <v>47802</v>
      </c>
      <c r="C1837" s="47" t="str">
        <f t="shared" si="56"/>
        <v>Пт</v>
      </c>
      <c r="I1837" s="46"/>
      <c r="J1837" s="39">
        <f t="shared" si="57"/>
        <v>47800</v>
      </c>
      <c r="K1837" t="str">
        <f ca="1">IF(AND(B1837&gt;='План недели'!$B$4,B1837&lt;'План недели'!$D$4,D1837&lt;&gt;"",G1837&lt;&gt;"Отменён"),COUNTIFS($B$5:B1837,"&gt;="&amp;'План недели'!$B$4,$B$5:B1837,"&lt;"&amp;'План недели'!$D$4,$D$5:D1837,"&lt;&gt;",$G$5:G1837,"&lt;&gt;Отменён"),"")</f>
        <v/>
      </c>
    </row>
    <row r="1838" spans="1:11">
      <c r="A1838" t="str">
        <f>IF(B1838="","","VIS_"&amp;(YEAR(B1838)*10000+MONTH(B1838)*100+DAY(B1838))&amp;"_"&amp;IF(COUNTIF($B$5:B1838,B1838)&lt;10,"00"&amp;COUNTIF($B$5:B1838,B1838),IF(COUNTIF($B$5:B1838,B1838)&lt;100,"0"&amp;COUNTIF($B$5:B1838,B1838),COUNTIF($B$5:B1838,B1838))))</f>
        <v>VIS_20301116_001</v>
      </c>
      <c r="B1838" s="42">
        <v>47803</v>
      </c>
      <c r="C1838" s="49" t="str">
        <f t="shared" si="56"/>
        <v>Сб</v>
      </c>
      <c r="I1838" s="46"/>
      <c r="J1838" s="39">
        <f t="shared" si="57"/>
        <v>47800</v>
      </c>
      <c r="K1838" t="str">
        <f ca="1">IF(AND(B1838&gt;='План недели'!$B$4,B1838&lt;'План недели'!$D$4,D1838&lt;&gt;"",G1838&lt;&gt;"Отменён"),COUNTIFS($B$5:B1838,"&gt;="&amp;'План недели'!$B$4,$B$5:B1838,"&lt;"&amp;'План недели'!$D$4,$D$5:D1838,"&lt;&gt;",$G$5:G1838,"&lt;&gt;Отменён"),"")</f>
        <v/>
      </c>
    </row>
    <row r="1839" spans="1:11">
      <c r="A1839" t="str">
        <f>IF(B1839="","","VIS_"&amp;(YEAR(B1839)*10000+MONTH(B1839)*100+DAY(B1839))&amp;"_"&amp;IF(COUNTIF($B$5:B1839,B1839)&lt;10,"00"&amp;COUNTIF($B$5:B1839,B1839),IF(COUNTIF($B$5:B1839,B1839)&lt;100,"0"&amp;COUNTIF($B$5:B1839,B1839),COUNTIF($B$5:B1839,B1839))))</f>
        <v>VIS_20301117_001</v>
      </c>
      <c r="B1839" s="42">
        <v>47804</v>
      </c>
      <c r="C1839" s="49" t="str">
        <f t="shared" si="56"/>
        <v>Вс</v>
      </c>
      <c r="I1839" s="46"/>
      <c r="J1839" s="39">
        <f t="shared" si="57"/>
        <v>47800</v>
      </c>
      <c r="K1839" t="str">
        <f ca="1">IF(AND(B1839&gt;='План недели'!$B$4,B1839&lt;'План недели'!$D$4,D1839&lt;&gt;"",G1839&lt;&gt;"Отменён"),COUNTIFS($B$5:B1839,"&gt;="&amp;'План недели'!$B$4,$B$5:B1839,"&lt;"&amp;'План недели'!$D$4,$D$5:D1839,"&lt;&gt;",$G$5:G1839,"&lt;&gt;Отменён"),"")</f>
        <v/>
      </c>
    </row>
    <row r="1840" spans="1:11">
      <c r="A1840" t="str">
        <f>IF(B1840="","","VIS_"&amp;(YEAR(B1840)*10000+MONTH(B1840)*100+DAY(B1840))&amp;"_"&amp;IF(COUNTIF($B$5:B1840,B1840)&lt;10,"00"&amp;COUNTIF($B$5:B1840,B1840),IF(COUNTIF($B$5:B1840,B1840)&lt;100,"0"&amp;COUNTIF($B$5:B1840,B1840),COUNTIF($B$5:B1840,B1840))))</f>
        <v>VIS_20301118_001</v>
      </c>
      <c r="B1840" s="40">
        <v>47805</v>
      </c>
      <c r="C1840" s="47" t="str">
        <f t="shared" si="56"/>
        <v>Пн</v>
      </c>
      <c r="I1840" s="46"/>
      <c r="J1840" s="39">
        <f t="shared" si="57"/>
        <v>47800</v>
      </c>
      <c r="K1840" t="str">
        <f ca="1">IF(AND(B1840&gt;='План недели'!$B$4,B1840&lt;'План недели'!$D$4,D1840&lt;&gt;"",G1840&lt;&gt;"Отменён"),COUNTIFS($B$5:B1840,"&gt;="&amp;'План недели'!$B$4,$B$5:B1840,"&lt;"&amp;'План недели'!$D$4,$D$5:D1840,"&lt;&gt;",$G$5:G1840,"&lt;&gt;Отменён"),"")</f>
        <v/>
      </c>
    </row>
    <row r="1841" spans="1:11">
      <c r="A1841" t="str">
        <f>IF(B1841="","","VIS_"&amp;(YEAR(B1841)*10000+MONTH(B1841)*100+DAY(B1841))&amp;"_"&amp;IF(COUNTIF($B$5:B1841,B1841)&lt;10,"00"&amp;COUNTIF($B$5:B1841,B1841),IF(COUNTIF($B$5:B1841,B1841)&lt;100,"0"&amp;COUNTIF($B$5:B1841,B1841),COUNTIF($B$5:B1841,B1841))))</f>
        <v>VIS_20301119_001</v>
      </c>
      <c r="B1841" s="40">
        <v>47806</v>
      </c>
      <c r="C1841" s="47" t="str">
        <f t="shared" si="56"/>
        <v>Вт</v>
      </c>
      <c r="I1841" s="46"/>
      <c r="J1841" s="39">
        <f t="shared" si="57"/>
        <v>47800</v>
      </c>
      <c r="K1841" t="str">
        <f ca="1">IF(AND(B1841&gt;='План недели'!$B$4,B1841&lt;'План недели'!$D$4,D1841&lt;&gt;"",G1841&lt;&gt;"Отменён"),COUNTIFS($B$5:B1841,"&gt;="&amp;'План недели'!$B$4,$B$5:B1841,"&lt;"&amp;'План недели'!$D$4,$D$5:D1841,"&lt;&gt;",$G$5:G1841,"&lt;&gt;Отменён"),"")</f>
        <v/>
      </c>
    </row>
    <row r="1842" spans="1:11">
      <c r="A1842" t="str">
        <f>IF(B1842="","","VIS_"&amp;(YEAR(B1842)*10000+MONTH(B1842)*100+DAY(B1842))&amp;"_"&amp;IF(COUNTIF($B$5:B1842,B1842)&lt;10,"00"&amp;COUNTIF($B$5:B1842,B1842),IF(COUNTIF($B$5:B1842,B1842)&lt;100,"0"&amp;COUNTIF($B$5:B1842,B1842),COUNTIF($B$5:B1842,B1842))))</f>
        <v>VIS_20301120_001</v>
      </c>
      <c r="B1842" s="40">
        <v>47807</v>
      </c>
      <c r="C1842" s="47" t="str">
        <f t="shared" si="56"/>
        <v>Ср</v>
      </c>
      <c r="I1842" s="46"/>
      <c r="J1842" s="39">
        <f t="shared" si="57"/>
        <v>47807</v>
      </c>
      <c r="K1842" t="str">
        <f ca="1">IF(AND(B1842&gt;='План недели'!$B$4,B1842&lt;'План недели'!$D$4,D1842&lt;&gt;"",G1842&lt;&gt;"Отменён"),COUNTIFS($B$5:B1842,"&gt;="&amp;'План недели'!$B$4,$B$5:B1842,"&lt;"&amp;'План недели'!$D$4,$D$5:D1842,"&lt;&gt;",$G$5:G1842,"&lt;&gt;Отменён"),"")</f>
        <v/>
      </c>
    </row>
    <row r="1843" spans="1:11">
      <c r="A1843" t="str">
        <f>IF(B1843="","","VIS_"&amp;(YEAR(B1843)*10000+MONTH(B1843)*100+DAY(B1843))&amp;"_"&amp;IF(COUNTIF($B$5:B1843,B1843)&lt;10,"00"&amp;COUNTIF($B$5:B1843,B1843),IF(COUNTIF($B$5:B1843,B1843)&lt;100,"0"&amp;COUNTIF($B$5:B1843,B1843),COUNTIF($B$5:B1843,B1843))))</f>
        <v>VIS_20301121_001</v>
      </c>
      <c r="B1843" s="40">
        <v>47808</v>
      </c>
      <c r="C1843" s="47" t="str">
        <f t="shared" si="56"/>
        <v>Чт</v>
      </c>
      <c r="I1843" s="46"/>
      <c r="J1843" s="39">
        <f t="shared" si="57"/>
        <v>47807</v>
      </c>
      <c r="K1843" t="str">
        <f ca="1">IF(AND(B1843&gt;='План недели'!$B$4,B1843&lt;'План недели'!$D$4,D1843&lt;&gt;"",G1843&lt;&gt;"Отменён"),COUNTIFS($B$5:B1843,"&gt;="&amp;'План недели'!$B$4,$B$5:B1843,"&lt;"&amp;'План недели'!$D$4,$D$5:D1843,"&lt;&gt;",$G$5:G1843,"&lt;&gt;Отменён"),"")</f>
        <v/>
      </c>
    </row>
    <row r="1844" spans="1:11">
      <c r="A1844" t="str">
        <f>IF(B1844="","","VIS_"&amp;(YEAR(B1844)*10000+MONTH(B1844)*100+DAY(B1844))&amp;"_"&amp;IF(COUNTIF($B$5:B1844,B1844)&lt;10,"00"&amp;COUNTIF($B$5:B1844,B1844),IF(COUNTIF($B$5:B1844,B1844)&lt;100,"0"&amp;COUNTIF($B$5:B1844,B1844),COUNTIF($B$5:B1844,B1844))))</f>
        <v>VIS_20301122_001</v>
      </c>
      <c r="B1844" s="40">
        <v>47809</v>
      </c>
      <c r="C1844" s="47" t="str">
        <f t="shared" si="56"/>
        <v>Пт</v>
      </c>
      <c r="I1844" s="46"/>
      <c r="J1844" s="39">
        <f t="shared" si="57"/>
        <v>47807</v>
      </c>
      <c r="K1844" t="str">
        <f ca="1">IF(AND(B1844&gt;='План недели'!$B$4,B1844&lt;'План недели'!$D$4,D1844&lt;&gt;"",G1844&lt;&gt;"Отменён"),COUNTIFS($B$5:B1844,"&gt;="&amp;'План недели'!$B$4,$B$5:B1844,"&lt;"&amp;'План недели'!$D$4,$D$5:D1844,"&lt;&gt;",$G$5:G1844,"&lt;&gt;Отменён"),"")</f>
        <v/>
      </c>
    </row>
    <row r="1845" spans="1:11">
      <c r="A1845" t="str">
        <f>IF(B1845="","","VIS_"&amp;(YEAR(B1845)*10000+MONTH(B1845)*100+DAY(B1845))&amp;"_"&amp;IF(COUNTIF($B$5:B1845,B1845)&lt;10,"00"&amp;COUNTIF($B$5:B1845,B1845),IF(COUNTIF($B$5:B1845,B1845)&lt;100,"0"&amp;COUNTIF($B$5:B1845,B1845),COUNTIF($B$5:B1845,B1845))))</f>
        <v>VIS_20301123_001</v>
      </c>
      <c r="B1845" s="42">
        <v>47810</v>
      </c>
      <c r="C1845" s="49" t="str">
        <f t="shared" si="56"/>
        <v>Сб</v>
      </c>
      <c r="I1845" s="46"/>
      <c r="J1845" s="39">
        <f t="shared" si="57"/>
        <v>47807</v>
      </c>
      <c r="K1845" t="str">
        <f ca="1">IF(AND(B1845&gt;='План недели'!$B$4,B1845&lt;'План недели'!$D$4,D1845&lt;&gt;"",G1845&lt;&gt;"Отменён"),COUNTIFS($B$5:B1845,"&gt;="&amp;'План недели'!$B$4,$B$5:B1845,"&lt;"&amp;'План недели'!$D$4,$D$5:D1845,"&lt;&gt;",$G$5:G1845,"&lt;&gt;Отменён"),"")</f>
        <v/>
      </c>
    </row>
    <row r="1846" spans="1:11">
      <c r="A1846" t="str">
        <f>IF(B1846="","","VIS_"&amp;(YEAR(B1846)*10000+MONTH(B1846)*100+DAY(B1846))&amp;"_"&amp;IF(COUNTIF($B$5:B1846,B1846)&lt;10,"00"&amp;COUNTIF($B$5:B1846,B1846),IF(COUNTIF($B$5:B1846,B1846)&lt;100,"0"&amp;COUNTIF($B$5:B1846,B1846),COUNTIF($B$5:B1846,B1846))))</f>
        <v>VIS_20301124_001</v>
      </c>
      <c r="B1846" s="42">
        <v>47811</v>
      </c>
      <c r="C1846" s="49" t="str">
        <f t="shared" si="56"/>
        <v>Вс</v>
      </c>
      <c r="I1846" s="46"/>
      <c r="J1846" s="39">
        <f t="shared" si="57"/>
        <v>47807</v>
      </c>
      <c r="K1846" t="str">
        <f ca="1">IF(AND(B1846&gt;='План недели'!$B$4,B1846&lt;'План недели'!$D$4,D1846&lt;&gt;"",G1846&lt;&gt;"Отменён"),COUNTIFS($B$5:B1846,"&gt;="&amp;'План недели'!$B$4,$B$5:B1846,"&lt;"&amp;'План недели'!$D$4,$D$5:D1846,"&lt;&gt;",$G$5:G1846,"&lt;&gt;Отменён"),"")</f>
        <v/>
      </c>
    </row>
    <row r="1847" spans="1:11">
      <c r="A1847" t="str">
        <f>IF(B1847="","","VIS_"&amp;(YEAR(B1847)*10000+MONTH(B1847)*100+DAY(B1847))&amp;"_"&amp;IF(COUNTIF($B$5:B1847,B1847)&lt;10,"00"&amp;COUNTIF($B$5:B1847,B1847),IF(COUNTIF($B$5:B1847,B1847)&lt;100,"0"&amp;COUNTIF($B$5:B1847,B1847),COUNTIF($B$5:B1847,B1847))))</f>
        <v>VIS_20301125_001</v>
      </c>
      <c r="B1847" s="40">
        <v>47812</v>
      </c>
      <c r="C1847" s="47" t="str">
        <f t="shared" si="56"/>
        <v>Пн</v>
      </c>
      <c r="I1847" s="46"/>
      <c r="J1847" s="39">
        <f t="shared" si="57"/>
        <v>47807</v>
      </c>
      <c r="K1847" t="str">
        <f ca="1">IF(AND(B1847&gt;='План недели'!$B$4,B1847&lt;'План недели'!$D$4,D1847&lt;&gt;"",G1847&lt;&gt;"Отменён"),COUNTIFS($B$5:B1847,"&gt;="&amp;'План недели'!$B$4,$B$5:B1847,"&lt;"&amp;'План недели'!$D$4,$D$5:D1847,"&lt;&gt;",$G$5:G1847,"&lt;&gt;Отменён"),"")</f>
        <v/>
      </c>
    </row>
    <row r="1848" spans="1:11">
      <c r="A1848" t="str">
        <f>IF(B1848="","","VIS_"&amp;(YEAR(B1848)*10000+MONTH(B1848)*100+DAY(B1848))&amp;"_"&amp;IF(COUNTIF($B$5:B1848,B1848)&lt;10,"00"&amp;COUNTIF($B$5:B1848,B1848),IF(COUNTIF($B$5:B1848,B1848)&lt;100,"0"&amp;COUNTIF($B$5:B1848,B1848),COUNTIF($B$5:B1848,B1848))))</f>
        <v>VIS_20301126_001</v>
      </c>
      <c r="B1848" s="40">
        <v>47813</v>
      </c>
      <c r="C1848" s="47" t="str">
        <f t="shared" si="56"/>
        <v>Вт</v>
      </c>
      <c r="I1848" s="46"/>
      <c r="J1848" s="39">
        <f t="shared" si="57"/>
        <v>47807</v>
      </c>
      <c r="K1848" t="str">
        <f ca="1">IF(AND(B1848&gt;='План недели'!$B$4,B1848&lt;'План недели'!$D$4,D1848&lt;&gt;"",G1848&lt;&gt;"Отменён"),COUNTIFS($B$5:B1848,"&gt;="&amp;'План недели'!$B$4,$B$5:B1848,"&lt;"&amp;'План недели'!$D$4,$D$5:D1848,"&lt;&gt;",$G$5:G1848,"&lt;&gt;Отменён"),"")</f>
        <v/>
      </c>
    </row>
    <row r="1849" spans="1:11">
      <c r="A1849" t="str">
        <f>IF(B1849="","","VIS_"&amp;(YEAR(B1849)*10000+MONTH(B1849)*100+DAY(B1849))&amp;"_"&amp;IF(COUNTIF($B$5:B1849,B1849)&lt;10,"00"&amp;COUNTIF($B$5:B1849,B1849),IF(COUNTIF($B$5:B1849,B1849)&lt;100,"0"&amp;COUNTIF($B$5:B1849,B1849),COUNTIF($B$5:B1849,B1849))))</f>
        <v>VIS_20301127_001</v>
      </c>
      <c r="B1849" s="40">
        <v>47814</v>
      </c>
      <c r="C1849" s="47" t="str">
        <f t="shared" si="56"/>
        <v>Ср</v>
      </c>
      <c r="I1849" s="46"/>
      <c r="J1849" s="39">
        <f t="shared" si="57"/>
        <v>47814</v>
      </c>
      <c r="K1849" t="str">
        <f ca="1">IF(AND(B1849&gt;='План недели'!$B$4,B1849&lt;'План недели'!$D$4,D1849&lt;&gt;"",G1849&lt;&gt;"Отменён"),COUNTIFS($B$5:B1849,"&gt;="&amp;'План недели'!$B$4,$B$5:B1849,"&lt;"&amp;'План недели'!$D$4,$D$5:D1849,"&lt;&gt;",$G$5:G1849,"&lt;&gt;Отменён"),"")</f>
        <v/>
      </c>
    </row>
    <row r="1850" spans="1:11">
      <c r="A1850" t="str">
        <f>IF(B1850="","","VIS_"&amp;(YEAR(B1850)*10000+MONTH(B1850)*100+DAY(B1850))&amp;"_"&amp;IF(COUNTIF($B$5:B1850,B1850)&lt;10,"00"&amp;COUNTIF($B$5:B1850,B1850),IF(COUNTIF($B$5:B1850,B1850)&lt;100,"0"&amp;COUNTIF($B$5:B1850,B1850),COUNTIF($B$5:B1850,B1850))))</f>
        <v>VIS_20301128_001</v>
      </c>
      <c r="B1850" s="40">
        <v>47815</v>
      </c>
      <c r="C1850" s="47" t="str">
        <f t="shared" si="56"/>
        <v>Чт</v>
      </c>
      <c r="I1850" s="46"/>
      <c r="J1850" s="39">
        <f t="shared" si="57"/>
        <v>47814</v>
      </c>
      <c r="K1850" t="str">
        <f ca="1">IF(AND(B1850&gt;='План недели'!$B$4,B1850&lt;'План недели'!$D$4,D1850&lt;&gt;"",G1850&lt;&gt;"Отменён"),COUNTIFS($B$5:B1850,"&gt;="&amp;'План недели'!$B$4,$B$5:B1850,"&lt;"&amp;'План недели'!$D$4,$D$5:D1850,"&lt;&gt;",$G$5:G1850,"&lt;&gt;Отменён"),"")</f>
        <v/>
      </c>
    </row>
    <row r="1851" spans="1:11">
      <c r="A1851" t="str">
        <f>IF(B1851="","","VIS_"&amp;(YEAR(B1851)*10000+MONTH(B1851)*100+DAY(B1851))&amp;"_"&amp;IF(COUNTIF($B$5:B1851,B1851)&lt;10,"00"&amp;COUNTIF($B$5:B1851,B1851),IF(COUNTIF($B$5:B1851,B1851)&lt;100,"0"&amp;COUNTIF($B$5:B1851,B1851),COUNTIF($B$5:B1851,B1851))))</f>
        <v>VIS_20301129_001</v>
      </c>
      <c r="B1851" s="40">
        <v>47816</v>
      </c>
      <c r="C1851" s="47" t="str">
        <f t="shared" si="56"/>
        <v>Пт</v>
      </c>
      <c r="I1851" s="46"/>
      <c r="J1851" s="39">
        <f t="shared" si="57"/>
        <v>47814</v>
      </c>
      <c r="K1851" t="str">
        <f ca="1">IF(AND(B1851&gt;='План недели'!$B$4,B1851&lt;'План недели'!$D$4,D1851&lt;&gt;"",G1851&lt;&gt;"Отменён"),COUNTIFS($B$5:B1851,"&gt;="&amp;'План недели'!$B$4,$B$5:B1851,"&lt;"&amp;'План недели'!$D$4,$D$5:D1851,"&lt;&gt;",$G$5:G1851,"&lt;&gt;Отменён"),"")</f>
        <v/>
      </c>
    </row>
    <row r="1852" spans="1:11">
      <c r="A1852" t="str">
        <f>IF(B1852="","","VIS_"&amp;(YEAR(B1852)*10000+MONTH(B1852)*100+DAY(B1852))&amp;"_"&amp;IF(COUNTIF($B$5:B1852,B1852)&lt;10,"00"&amp;COUNTIF($B$5:B1852,B1852),IF(COUNTIF($B$5:B1852,B1852)&lt;100,"0"&amp;COUNTIF($B$5:B1852,B1852),COUNTIF($B$5:B1852,B1852))))</f>
        <v>VIS_20301130_001</v>
      </c>
      <c r="B1852" s="42">
        <v>47817</v>
      </c>
      <c r="C1852" s="49" t="str">
        <f t="shared" si="56"/>
        <v>Сб</v>
      </c>
      <c r="I1852" s="46"/>
      <c r="J1852" s="39">
        <f t="shared" si="57"/>
        <v>47814</v>
      </c>
      <c r="K1852" t="str">
        <f ca="1">IF(AND(B1852&gt;='План недели'!$B$4,B1852&lt;'План недели'!$D$4,D1852&lt;&gt;"",G1852&lt;&gt;"Отменён"),COUNTIFS($B$5:B1852,"&gt;="&amp;'План недели'!$B$4,$B$5:B1852,"&lt;"&amp;'План недели'!$D$4,$D$5:D1852,"&lt;&gt;",$G$5:G1852,"&lt;&gt;Отменён"),"")</f>
        <v/>
      </c>
    </row>
    <row r="1853" spans="1:11">
      <c r="A1853" t="str">
        <f>IF(B1853="","","VIS_"&amp;(YEAR(B1853)*10000+MONTH(B1853)*100+DAY(B1853))&amp;"_"&amp;IF(COUNTIF($B$5:B1853,B1853)&lt;10,"00"&amp;COUNTIF($B$5:B1853,B1853),IF(COUNTIF($B$5:B1853,B1853)&lt;100,"0"&amp;COUNTIF($B$5:B1853,B1853),COUNTIF($B$5:B1853,B1853))))</f>
        <v>VIS_20301201_001</v>
      </c>
      <c r="B1853" s="42">
        <v>47818</v>
      </c>
      <c r="C1853" s="49" t="str">
        <f t="shared" si="56"/>
        <v>Вс</v>
      </c>
      <c r="I1853" s="46"/>
      <c r="J1853" s="39">
        <f t="shared" si="57"/>
        <v>47814</v>
      </c>
      <c r="K1853" t="str">
        <f ca="1">IF(AND(B1853&gt;='План недели'!$B$4,B1853&lt;'План недели'!$D$4,D1853&lt;&gt;"",G1853&lt;&gt;"Отменён"),COUNTIFS($B$5:B1853,"&gt;="&amp;'План недели'!$B$4,$B$5:B1853,"&lt;"&amp;'План недели'!$D$4,$D$5:D1853,"&lt;&gt;",$G$5:G1853,"&lt;&gt;Отменён"),"")</f>
        <v/>
      </c>
    </row>
    <row r="1854" spans="1:11">
      <c r="A1854" t="str">
        <f>IF(B1854="","","VIS_"&amp;(YEAR(B1854)*10000+MONTH(B1854)*100+DAY(B1854))&amp;"_"&amp;IF(COUNTIF($B$5:B1854,B1854)&lt;10,"00"&amp;COUNTIF($B$5:B1854,B1854),IF(COUNTIF($B$5:B1854,B1854)&lt;100,"0"&amp;COUNTIF($B$5:B1854,B1854),COUNTIF($B$5:B1854,B1854))))</f>
        <v>VIS_20301202_001</v>
      </c>
      <c r="B1854" s="40">
        <v>47819</v>
      </c>
      <c r="C1854" s="47" t="str">
        <f t="shared" si="56"/>
        <v>Пн</v>
      </c>
      <c r="I1854" s="46"/>
      <c r="J1854" s="39">
        <f t="shared" si="57"/>
        <v>47814</v>
      </c>
      <c r="K1854" t="str">
        <f ca="1">IF(AND(B1854&gt;='План недели'!$B$4,B1854&lt;'План недели'!$D$4,D1854&lt;&gt;"",G1854&lt;&gt;"Отменён"),COUNTIFS($B$5:B1854,"&gt;="&amp;'План недели'!$B$4,$B$5:B1854,"&lt;"&amp;'План недели'!$D$4,$D$5:D1854,"&lt;&gt;",$G$5:G1854,"&lt;&gt;Отменён"),"")</f>
        <v/>
      </c>
    </row>
    <row r="1855" spans="1:11">
      <c r="A1855" t="str">
        <f>IF(B1855="","","VIS_"&amp;(YEAR(B1855)*10000+MONTH(B1855)*100+DAY(B1855))&amp;"_"&amp;IF(COUNTIF($B$5:B1855,B1855)&lt;10,"00"&amp;COUNTIF($B$5:B1855,B1855),IF(COUNTIF($B$5:B1855,B1855)&lt;100,"0"&amp;COUNTIF($B$5:B1855,B1855),COUNTIF($B$5:B1855,B1855))))</f>
        <v>VIS_20301203_001</v>
      </c>
      <c r="B1855" s="40">
        <v>47820</v>
      </c>
      <c r="C1855" s="47" t="str">
        <f t="shared" si="56"/>
        <v>Вт</v>
      </c>
      <c r="I1855" s="46"/>
      <c r="J1855" s="39">
        <f t="shared" si="57"/>
        <v>47814</v>
      </c>
      <c r="K1855" t="str">
        <f ca="1">IF(AND(B1855&gt;='План недели'!$B$4,B1855&lt;'План недели'!$D$4,D1855&lt;&gt;"",G1855&lt;&gt;"Отменён"),COUNTIFS($B$5:B1855,"&gt;="&amp;'План недели'!$B$4,$B$5:B1855,"&lt;"&amp;'План недели'!$D$4,$D$5:D1855,"&lt;&gt;",$G$5:G1855,"&lt;&gt;Отменён"),"")</f>
        <v/>
      </c>
    </row>
    <row r="1856" spans="1:11">
      <c r="A1856" t="str">
        <f>IF(B1856="","","VIS_"&amp;(YEAR(B1856)*10000+MONTH(B1856)*100+DAY(B1856))&amp;"_"&amp;IF(COUNTIF($B$5:B1856,B1856)&lt;10,"00"&amp;COUNTIF($B$5:B1856,B1856),IF(COUNTIF($B$5:B1856,B1856)&lt;100,"0"&amp;COUNTIF($B$5:B1856,B1856),COUNTIF($B$5:B1856,B1856))))</f>
        <v>VIS_20301204_001</v>
      </c>
      <c r="B1856" s="40">
        <v>47821</v>
      </c>
      <c r="C1856" s="47" t="str">
        <f t="shared" si="56"/>
        <v>Ср</v>
      </c>
      <c r="I1856" s="46"/>
      <c r="J1856" s="39">
        <f t="shared" si="57"/>
        <v>47821</v>
      </c>
      <c r="K1856" t="str">
        <f ca="1">IF(AND(B1856&gt;='План недели'!$B$4,B1856&lt;'План недели'!$D$4,D1856&lt;&gt;"",G1856&lt;&gt;"Отменён"),COUNTIFS($B$5:B1856,"&gt;="&amp;'План недели'!$B$4,$B$5:B1856,"&lt;"&amp;'План недели'!$D$4,$D$5:D1856,"&lt;&gt;",$G$5:G1856,"&lt;&gt;Отменён"),"")</f>
        <v/>
      </c>
    </row>
    <row r="1857" spans="1:11">
      <c r="A1857" t="str">
        <f>IF(B1857="","","VIS_"&amp;(YEAR(B1857)*10000+MONTH(B1857)*100+DAY(B1857))&amp;"_"&amp;IF(COUNTIF($B$5:B1857,B1857)&lt;10,"00"&amp;COUNTIF($B$5:B1857,B1857),IF(COUNTIF($B$5:B1857,B1857)&lt;100,"0"&amp;COUNTIF($B$5:B1857,B1857),COUNTIF($B$5:B1857,B1857))))</f>
        <v>VIS_20301205_001</v>
      </c>
      <c r="B1857" s="40">
        <v>47822</v>
      </c>
      <c r="C1857" s="47" t="str">
        <f t="shared" si="56"/>
        <v>Чт</v>
      </c>
      <c r="I1857" s="46"/>
      <c r="J1857" s="39">
        <f t="shared" si="57"/>
        <v>47821</v>
      </c>
      <c r="K1857" t="str">
        <f ca="1">IF(AND(B1857&gt;='План недели'!$B$4,B1857&lt;'План недели'!$D$4,D1857&lt;&gt;"",G1857&lt;&gt;"Отменён"),COUNTIFS($B$5:B1857,"&gt;="&amp;'План недели'!$B$4,$B$5:B1857,"&lt;"&amp;'План недели'!$D$4,$D$5:D1857,"&lt;&gt;",$G$5:G1857,"&lt;&gt;Отменён"),"")</f>
        <v/>
      </c>
    </row>
    <row r="1858" spans="1:11">
      <c r="A1858" t="str">
        <f>IF(B1858="","","VIS_"&amp;(YEAR(B1858)*10000+MONTH(B1858)*100+DAY(B1858))&amp;"_"&amp;IF(COUNTIF($B$5:B1858,B1858)&lt;10,"00"&amp;COUNTIF($B$5:B1858,B1858),IF(COUNTIF($B$5:B1858,B1858)&lt;100,"0"&amp;COUNTIF($B$5:B1858,B1858),COUNTIF($B$5:B1858,B1858))))</f>
        <v>VIS_20301206_001</v>
      </c>
      <c r="B1858" s="40">
        <v>47823</v>
      </c>
      <c r="C1858" s="47" t="str">
        <f t="shared" si="56"/>
        <v>Пт</v>
      </c>
      <c r="I1858" s="46"/>
      <c r="J1858" s="39">
        <f t="shared" si="57"/>
        <v>47821</v>
      </c>
      <c r="K1858" t="str">
        <f ca="1">IF(AND(B1858&gt;='План недели'!$B$4,B1858&lt;'План недели'!$D$4,D1858&lt;&gt;"",G1858&lt;&gt;"Отменён"),COUNTIFS($B$5:B1858,"&gt;="&amp;'План недели'!$B$4,$B$5:B1858,"&lt;"&amp;'План недели'!$D$4,$D$5:D1858,"&lt;&gt;",$G$5:G1858,"&lt;&gt;Отменён"),"")</f>
        <v/>
      </c>
    </row>
    <row r="1859" spans="1:11">
      <c r="A1859" t="str">
        <f>IF(B1859="","","VIS_"&amp;(YEAR(B1859)*10000+MONTH(B1859)*100+DAY(B1859))&amp;"_"&amp;IF(COUNTIF($B$5:B1859,B1859)&lt;10,"00"&amp;COUNTIF($B$5:B1859,B1859),IF(COUNTIF($B$5:B1859,B1859)&lt;100,"0"&amp;COUNTIF($B$5:B1859,B1859),COUNTIF($B$5:B1859,B1859))))</f>
        <v>VIS_20301207_001</v>
      </c>
      <c r="B1859" s="42">
        <v>47824</v>
      </c>
      <c r="C1859" s="49" t="str">
        <f t="shared" si="56"/>
        <v>Сб</v>
      </c>
      <c r="I1859" s="46"/>
      <c r="J1859" s="39">
        <f t="shared" si="57"/>
        <v>47821</v>
      </c>
      <c r="K1859" t="str">
        <f ca="1">IF(AND(B1859&gt;='План недели'!$B$4,B1859&lt;'План недели'!$D$4,D1859&lt;&gt;"",G1859&lt;&gt;"Отменён"),COUNTIFS($B$5:B1859,"&gt;="&amp;'План недели'!$B$4,$B$5:B1859,"&lt;"&amp;'План недели'!$D$4,$D$5:D1859,"&lt;&gt;",$G$5:G1859,"&lt;&gt;Отменён"),"")</f>
        <v/>
      </c>
    </row>
    <row r="1860" spans="1:11">
      <c r="A1860" t="str">
        <f>IF(B1860="","","VIS_"&amp;(YEAR(B1860)*10000+MONTH(B1860)*100+DAY(B1860))&amp;"_"&amp;IF(COUNTIF($B$5:B1860,B1860)&lt;10,"00"&amp;COUNTIF($B$5:B1860,B1860),IF(COUNTIF($B$5:B1860,B1860)&lt;100,"0"&amp;COUNTIF($B$5:B1860,B1860),COUNTIF($B$5:B1860,B1860))))</f>
        <v>VIS_20301208_001</v>
      </c>
      <c r="B1860" s="42">
        <v>47825</v>
      </c>
      <c r="C1860" s="49" t="str">
        <f t="shared" si="56"/>
        <v>Вс</v>
      </c>
      <c r="I1860" s="46"/>
      <c r="J1860" s="39">
        <f t="shared" si="57"/>
        <v>47821</v>
      </c>
      <c r="K1860" t="str">
        <f ca="1">IF(AND(B1860&gt;='План недели'!$B$4,B1860&lt;'План недели'!$D$4,D1860&lt;&gt;"",G1860&lt;&gt;"Отменён"),COUNTIFS($B$5:B1860,"&gt;="&amp;'План недели'!$B$4,$B$5:B1860,"&lt;"&amp;'План недели'!$D$4,$D$5:D1860,"&lt;&gt;",$G$5:G1860,"&lt;&gt;Отменён"),"")</f>
        <v/>
      </c>
    </row>
    <row r="1861" spans="1:11">
      <c r="A1861" t="str">
        <f>IF(B1861="","","VIS_"&amp;(YEAR(B1861)*10000+MONTH(B1861)*100+DAY(B1861))&amp;"_"&amp;IF(COUNTIF($B$5:B1861,B1861)&lt;10,"00"&amp;COUNTIF($B$5:B1861,B1861),IF(COUNTIF($B$5:B1861,B1861)&lt;100,"0"&amp;COUNTIF($B$5:B1861,B1861),COUNTIF($B$5:B1861,B1861))))</f>
        <v>VIS_20301209_001</v>
      </c>
      <c r="B1861" s="40">
        <v>47826</v>
      </c>
      <c r="C1861" s="47" t="str">
        <f t="shared" ref="C1861:C1883" si="58">IF(B1861="","",CHOOSE(WEEKDAY(B1861,2),"Пн","Вт","Ср","Чт","Пт","Сб","Вс"))</f>
        <v>Пн</v>
      </c>
      <c r="I1861" s="46"/>
      <c r="J1861" s="39">
        <f t="shared" ref="J1861:J1883" si="59">IF(B1861="","",B1861-MOD(WEEKDAY(B1861,2)-3,7))</f>
        <v>47821</v>
      </c>
      <c r="K1861" t="str">
        <f ca="1">IF(AND(B1861&gt;='План недели'!$B$4,B1861&lt;'План недели'!$D$4,D1861&lt;&gt;"",G1861&lt;&gt;"Отменён"),COUNTIFS($B$5:B1861,"&gt;="&amp;'План недели'!$B$4,$B$5:B1861,"&lt;"&amp;'План недели'!$D$4,$D$5:D1861,"&lt;&gt;",$G$5:G1861,"&lt;&gt;Отменён"),"")</f>
        <v/>
      </c>
    </row>
    <row r="1862" spans="1:11">
      <c r="A1862" t="str">
        <f>IF(B1862="","","VIS_"&amp;(YEAR(B1862)*10000+MONTH(B1862)*100+DAY(B1862))&amp;"_"&amp;IF(COUNTIF($B$5:B1862,B1862)&lt;10,"00"&amp;COUNTIF($B$5:B1862,B1862),IF(COUNTIF($B$5:B1862,B1862)&lt;100,"0"&amp;COUNTIF($B$5:B1862,B1862),COUNTIF($B$5:B1862,B1862))))</f>
        <v>VIS_20301210_001</v>
      </c>
      <c r="B1862" s="40">
        <v>47827</v>
      </c>
      <c r="C1862" s="47" t="str">
        <f t="shared" si="58"/>
        <v>Вт</v>
      </c>
      <c r="I1862" s="46"/>
      <c r="J1862" s="39">
        <f t="shared" si="59"/>
        <v>47821</v>
      </c>
      <c r="K1862" t="str">
        <f ca="1">IF(AND(B1862&gt;='План недели'!$B$4,B1862&lt;'План недели'!$D$4,D1862&lt;&gt;"",G1862&lt;&gt;"Отменён"),COUNTIFS($B$5:B1862,"&gt;="&amp;'План недели'!$B$4,$B$5:B1862,"&lt;"&amp;'План недели'!$D$4,$D$5:D1862,"&lt;&gt;",$G$5:G1862,"&lt;&gt;Отменён"),"")</f>
        <v/>
      </c>
    </row>
    <row r="1863" spans="1:11">
      <c r="A1863" t="str">
        <f>IF(B1863="","","VIS_"&amp;(YEAR(B1863)*10000+MONTH(B1863)*100+DAY(B1863))&amp;"_"&amp;IF(COUNTIF($B$5:B1863,B1863)&lt;10,"00"&amp;COUNTIF($B$5:B1863,B1863),IF(COUNTIF($B$5:B1863,B1863)&lt;100,"0"&amp;COUNTIF($B$5:B1863,B1863),COUNTIF($B$5:B1863,B1863))))</f>
        <v>VIS_20301211_001</v>
      </c>
      <c r="B1863" s="40">
        <v>47828</v>
      </c>
      <c r="C1863" s="47" t="str">
        <f t="shared" si="58"/>
        <v>Ср</v>
      </c>
      <c r="I1863" s="46"/>
      <c r="J1863" s="39">
        <f t="shared" si="59"/>
        <v>47828</v>
      </c>
      <c r="K1863" t="str">
        <f ca="1">IF(AND(B1863&gt;='План недели'!$B$4,B1863&lt;'План недели'!$D$4,D1863&lt;&gt;"",G1863&lt;&gt;"Отменён"),COUNTIFS($B$5:B1863,"&gt;="&amp;'План недели'!$B$4,$B$5:B1863,"&lt;"&amp;'План недели'!$D$4,$D$5:D1863,"&lt;&gt;",$G$5:G1863,"&lt;&gt;Отменён"),"")</f>
        <v/>
      </c>
    </row>
    <row r="1864" spans="1:11">
      <c r="A1864" t="str">
        <f>IF(B1864="","","VIS_"&amp;(YEAR(B1864)*10000+MONTH(B1864)*100+DAY(B1864))&amp;"_"&amp;IF(COUNTIF($B$5:B1864,B1864)&lt;10,"00"&amp;COUNTIF($B$5:B1864,B1864),IF(COUNTIF($B$5:B1864,B1864)&lt;100,"0"&amp;COUNTIF($B$5:B1864,B1864),COUNTIF($B$5:B1864,B1864))))</f>
        <v>VIS_20301212_001</v>
      </c>
      <c r="B1864" s="40">
        <v>47829</v>
      </c>
      <c r="C1864" s="47" t="str">
        <f t="shared" si="58"/>
        <v>Чт</v>
      </c>
      <c r="I1864" s="46"/>
      <c r="J1864" s="39">
        <f t="shared" si="59"/>
        <v>47828</v>
      </c>
      <c r="K1864" t="str">
        <f ca="1">IF(AND(B1864&gt;='План недели'!$B$4,B1864&lt;'План недели'!$D$4,D1864&lt;&gt;"",G1864&lt;&gt;"Отменён"),COUNTIFS($B$5:B1864,"&gt;="&amp;'План недели'!$B$4,$B$5:B1864,"&lt;"&amp;'План недели'!$D$4,$D$5:D1864,"&lt;&gt;",$G$5:G1864,"&lt;&gt;Отменён"),"")</f>
        <v/>
      </c>
    </row>
    <row r="1865" spans="1:11">
      <c r="A1865" t="str">
        <f>IF(B1865="","","VIS_"&amp;(YEAR(B1865)*10000+MONTH(B1865)*100+DAY(B1865))&amp;"_"&amp;IF(COUNTIF($B$5:B1865,B1865)&lt;10,"00"&amp;COUNTIF($B$5:B1865,B1865),IF(COUNTIF($B$5:B1865,B1865)&lt;100,"0"&amp;COUNTIF($B$5:B1865,B1865),COUNTIF($B$5:B1865,B1865))))</f>
        <v>VIS_20301213_001</v>
      </c>
      <c r="B1865" s="40">
        <v>47830</v>
      </c>
      <c r="C1865" s="47" t="str">
        <f t="shared" si="58"/>
        <v>Пт</v>
      </c>
      <c r="I1865" s="46"/>
      <c r="J1865" s="39">
        <f t="shared" si="59"/>
        <v>47828</v>
      </c>
      <c r="K1865" t="str">
        <f ca="1">IF(AND(B1865&gt;='План недели'!$B$4,B1865&lt;'План недели'!$D$4,D1865&lt;&gt;"",G1865&lt;&gt;"Отменён"),COUNTIFS($B$5:B1865,"&gt;="&amp;'План недели'!$B$4,$B$5:B1865,"&lt;"&amp;'План недели'!$D$4,$D$5:D1865,"&lt;&gt;",$G$5:G1865,"&lt;&gt;Отменён"),"")</f>
        <v/>
      </c>
    </row>
    <row r="1866" spans="1:11">
      <c r="A1866" t="str">
        <f>IF(B1866="","","VIS_"&amp;(YEAR(B1866)*10000+MONTH(B1866)*100+DAY(B1866))&amp;"_"&amp;IF(COUNTIF($B$5:B1866,B1866)&lt;10,"00"&amp;COUNTIF($B$5:B1866,B1866),IF(COUNTIF($B$5:B1866,B1866)&lt;100,"0"&amp;COUNTIF($B$5:B1866,B1866),COUNTIF($B$5:B1866,B1866))))</f>
        <v>VIS_20301214_001</v>
      </c>
      <c r="B1866" s="42">
        <v>47831</v>
      </c>
      <c r="C1866" s="49" t="str">
        <f t="shared" si="58"/>
        <v>Сб</v>
      </c>
      <c r="I1866" s="46"/>
      <c r="J1866" s="39">
        <f t="shared" si="59"/>
        <v>47828</v>
      </c>
      <c r="K1866" t="str">
        <f ca="1">IF(AND(B1866&gt;='План недели'!$B$4,B1866&lt;'План недели'!$D$4,D1866&lt;&gt;"",G1866&lt;&gt;"Отменён"),COUNTIFS($B$5:B1866,"&gt;="&amp;'План недели'!$B$4,$B$5:B1866,"&lt;"&amp;'План недели'!$D$4,$D$5:D1866,"&lt;&gt;",$G$5:G1866,"&lt;&gt;Отменён"),"")</f>
        <v/>
      </c>
    </row>
    <row r="1867" spans="1:11">
      <c r="A1867" t="str">
        <f>IF(B1867="","","VIS_"&amp;(YEAR(B1867)*10000+MONTH(B1867)*100+DAY(B1867))&amp;"_"&amp;IF(COUNTIF($B$5:B1867,B1867)&lt;10,"00"&amp;COUNTIF($B$5:B1867,B1867),IF(COUNTIF($B$5:B1867,B1867)&lt;100,"0"&amp;COUNTIF($B$5:B1867,B1867),COUNTIF($B$5:B1867,B1867))))</f>
        <v>VIS_20301215_001</v>
      </c>
      <c r="B1867" s="42">
        <v>47832</v>
      </c>
      <c r="C1867" s="49" t="str">
        <f t="shared" si="58"/>
        <v>Вс</v>
      </c>
      <c r="I1867" s="46"/>
      <c r="J1867" s="39">
        <f t="shared" si="59"/>
        <v>47828</v>
      </c>
      <c r="K1867" t="str">
        <f ca="1">IF(AND(B1867&gt;='План недели'!$B$4,B1867&lt;'План недели'!$D$4,D1867&lt;&gt;"",G1867&lt;&gt;"Отменён"),COUNTIFS($B$5:B1867,"&gt;="&amp;'План недели'!$B$4,$B$5:B1867,"&lt;"&amp;'План недели'!$D$4,$D$5:D1867,"&lt;&gt;",$G$5:G1867,"&lt;&gt;Отменён"),"")</f>
        <v/>
      </c>
    </row>
    <row r="1868" spans="1:11">
      <c r="A1868" t="str">
        <f>IF(B1868="","","VIS_"&amp;(YEAR(B1868)*10000+MONTH(B1868)*100+DAY(B1868))&amp;"_"&amp;IF(COUNTIF($B$5:B1868,B1868)&lt;10,"00"&amp;COUNTIF($B$5:B1868,B1868),IF(COUNTIF($B$5:B1868,B1868)&lt;100,"0"&amp;COUNTIF($B$5:B1868,B1868),COUNTIF($B$5:B1868,B1868))))</f>
        <v>VIS_20301216_001</v>
      </c>
      <c r="B1868" s="40">
        <v>47833</v>
      </c>
      <c r="C1868" s="47" t="str">
        <f t="shared" si="58"/>
        <v>Пн</v>
      </c>
      <c r="I1868" s="46"/>
      <c r="J1868" s="39">
        <f t="shared" si="59"/>
        <v>47828</v>
      </c>
      <c r="K1868" t="str">
        <f ca="1">IF(AND(B1868&gt;='План недели'!$B$4,B1868&lt;'План недели'!$D$4,D1868&lt;&gt;"",G1868&lt;&gt;"Отменён"),COUNTIFS($B$5:B1868,"&gt;="&amp;'План недели'!$B$4,$B$5:B1868,"&lt;"&amp;'План недели'!$D$4,$D$5:D1868,"&lt;&gt;",$G$5:G1868,"&lt;&gt;Отменён"),"")</f>
        <v/>
      </c>
    </row>
    <row r="1869" spans="1:11">
      <c r="A1869" t="str">
        <f>IF(B1869="","","VIS_"&amp;(YEAR(B1869)*10000+MONTH(B1869)*100+DAY(B1869))&amp;"_"&amp;IF(COUNTIF($B$5:B1869,B1869)&lt;10,"00"&amp;COUNTIF($B$5:B1869,B1869),IF(COUNTIF($B$5:B1869,B1869)&lt;100,"0"&amp;COUNTIF($B$5:B1869,B1869),COUNTIF($B$5:B1869,B1869))))</f>
        <v>VIS_20301217_001</v>
      </c>
      <c r="B1869" s="40">
        <v>47834</v>
      </c>
      <c r="C1869" s="47" t="str">
        <f t="shared" si="58"/>
        <v>Вт</v>
      </c>
      <c r="I1869" s="46"/>
      <c r="J1869" s="39">
        <f t="shared" si="59"/>
        <v>47828</v>
      </c>
      <c r="K1869" t="str">
        <f ca="1">IF(AND(B1869&gt;='План недели'!$B$4,B1869&lt;'План недели'!$D$4,D1869&lt;&gt;"",G1869&lt;&gt;"Отменён"),COUNTIFS($B$5:B1869,"&gt;="&amp;'План недели'!$B$4,$B$5:B1869,"&lt;"&amp;'План недели'!$D$4,$D$5:D1869,"&lt;&gt;",$G$5:G1869,"&lt;&gt;Отменён"),"")</f>
        <v/>
      </c>
    </row>
    <row r="1870" spans="1:11">
      <c r="A1870" t="str">
        <f>IF(B1870="","","VIS_"&amp;(YEAR(B1870)*10000+MONTH(B1870)*100+DAY(B1870))&amp;"_"&amp;IF(COUNTIF($B$5:B1870,B1870)&lt;10,"00"&amp;COUNTIF($B$5:B1870,B1870),IF(COUNTIF($B$5:B1870,B1870)&lt;100,"0"&amp;COUNTIF($B$5:B1870,B1870),COUNTIF($B$5:B1870,B1870))))</f>
        <v>VIS_20301218_001</v>
      </c>
      <c r="B1870" s="40">
        <v>47835</v>
      </c>
      <c r="C1870" s="47" t="str">
        <f t="shared" si="58"/>
        <v>Ср</v>
      </c>
      <c r="I1870" s="46"/>
      <c r="J1870" s="39">
        <f t="shared" si="59"/>
        <v>47835</v>
      </c>
      <c r="K1870" t="str">
        <f ca="1">IF(AND(B1870&gt;='План недели'!$B$4,B1870&lt;'План недели'!$D$4,D1870&lt;&gt;"",G1870&lt;&gt;"Отменён"),COUNTIFS($B$5:B1870,"&gt;="&amp;'План недели'!$B$4,$B$5:B1870,"&lt;"&amp;'План недели'!$D$4,$D$5:D1870,"&lt;&gt;",$G$5:G1870,"&lt;&gt;Отменён"),"")</f>
        <v/>
      </c>
    </row>
    <row r="1871" spans="1:11">
      <c r="A1871" t="str">
        <f>IF(B1871="","","VIS_"&amp;(YEAR(B1871)*10000+MONTH(B1871)*100+DAY(B1871))&amp;"_"&amp;IF(COUNTIF($B$5:B1871,B1871)&lt;10,"00"&amp;COUNTIF($B$5:B1871,B1871),IF(COUNTIF($B$5:B1871,B1871)&lt;100,"0"&amp;COUNTIF($B$5:B1871,B1871),COUNTIF($B$5:B1871,B1871))))</f>
        <v>VIS_20301219_001</v>
      </c>
      <c r="B1871" s="40">
        <v>47836</v>
      </c>
      <c r="C1871" s="47" t="str">
        <f t="shared" si="58"/>
        <v>Чт</v>
      </c>
      <c r="I1871" s="46"/>
      <c r="J1871" s="39">
        <f t="shared" si="59"/>
        <v>47835</v>
      </c>
      <c r="K1871" t="str">
        <f ca="1">IF(AND(B1871&gt;='План недели'!$B$4,B1871&lt;'План недели'!$D$4,D1871&lt;&gt;"",G1871&lt;&gt;"Отменён"),COUNTIFS($B$5:B1871,"&gt;="&amp;'План недели'!$B$4,$B$5:B1871,"&lt;"&amp;'План недели'!$D$4,$D$5:D1871,"&lt;&gt;",$G$5:G1871,"&lt;&gt;Отменён"),"")</f>
        <v/>
      </c>
    </row>
    <row r="1872" spans="1:11">
      <c r="A1872" t="str">
        <f>IF(B1872="","","VIS_"&amp;(YEAR(B1872)*10000+MONTH(B1872)*100+DAY(B1872))&amp;"_"&amp;IF(COUNTIF($B$5:B1872,B1872)&lt;10,"00"&amp;COUNTIF($B$5:B1872,B1872),IF(COUNTIF($B$5:B1872,B1872)&lt;100,"0"&amp;COUNTIF($B$5:B1872,B1872),COUNTIF($B$5:B1872,B1872))))</f>
        <v>VIS_20301220_001</v>
      </c>
      <c r="B1872" s="40">
        <v>47837</v>
      </c>
      <c r="C1872" s="47" t="str">
        <f t="shared" si="58"/>
        <v>Пт</v>
      </c>
      <c r="I1872" s="46"/>
      <c r="J1872" s="39">
        <f t="shared" si="59"/>
        <v>47835</v>
      </c>
      <c r="K1872" t="str">
        <f ca="1">IF(AND(B1872&gt;='План недели'!$B$4,B1872&lt;'План недели'!$D$4,D1872&lt;&gt;"",G1872&lt;&gt;"Отменён"),COUNTIFS($B$5:B1872,"&gt;="&amp;'План недели'!$B$4,$B$5:B1872,"&lt;"&amp;'План недели'!$D$4,$D$5:D1872,"&lt;&gt;",$G$5:G1872,"&lt;&gt;Отменён"),"")</f>
        <v/>
      </c>
    </row>
    <row r="1873" spans="1:11">
      <c r="A1873" t="str">
        <f>IF(B1873="","","VIS_"&amp;(YEAR(B1873)*10000+MONTH(B1873)*100+DAY(B1873))&amp;"_"&amp;IF(COUNTIF($B$5:B1873,B1873)&lt;10,"00"&amp;COUNTIF($B$5:B1873,B1873),IF(COUNTIF($B$5:B1873,B1873)&lt;100,"0"&amp;COUNTIF($B$5:B1873,B1873),COUNTIF($B$5:B1873,B1873))))</f>
        <v>VIS_20301221_001</v>
      </c>
      <c r="B1873" s="42">
        <v>47838</v>
      </c>
      <c r="C1873" s="49" t="str">
        <f t="shared" si="58"/>
        <v>Сб</v>
      </c>
      <c r="I1873" s="46"/>
      <c r="J1873" s="39">
        <f t="shared" si="59"/>
        <v>47835</v>
      </c>
      <c r="K1873" t="str">
        <f ca="1">IF(AND(B1873&gt;='План недели'!$B$4,B1873&lt;'План недели'!$D$4,D1873&lt;&gt;"",G1873&lt;&gt;"Отменён"),COUNTIFS($B$5:B1873,"&gt;="&amp;'План недели'!$B$4,$B$5:B1873,"&lt;"&amp;'План недели'!$D$4,$D$5:D1873,"&lt;&gt;",$G$5:G1873,"&lt;&gt;Отменён"),"")</f>
        <v/>
      </c>
    </row>
    <row r="1874" spans="1:11">
      <c r="A1874" t="str">
        <f>IF(B1874="","","VIS_"&amp;(YEAR(B1874)*10000+MONTH(B1874)*100+DAY(B1874))&amp;"_"&amp;IF(COUNTIF($B$5:B1874,B1874)&lt;10,"00"&amp;COUNTIF($B$5:B1874,B1874),IF(COUNTIF($B$5:B1874,B1874)&lt;100,"0"&amp;COUNTIF($B$5:B1874,B1874),COUNTIF($B$5:B1874,B1874))))</f>
        <v>VIS_20301222_001</v>
      </c>
      <c r="B1874" s="42">
        <v>47839</v>
      </c>
      <c r="C1874" s="49" t="str">
        <f t="shared" si="58"/>
        <v>Вс</v>
      </c>
      <c r="I1874" s="46"/>
      <c r="J1874" s="39">
        <f t="shared" si="59"/>
        <v>47835</v>
      </c>
      <c r="K1874" t="str">
        <f ca="1">IF(AND(B1874&gt;='План недели'!$B$4,B1874&lt;'План недели'!$D$4,D1874&lt;&gt;"",G1874&lt;&gt;"Отменён"),COUNTIFS($B$5:B1874,"&gt;="&amp;'План недели'!$B$4,$B$5:B1874,"&lt;"&amp;'План недели'!$D$4,$D$5:D1874,"&lt;&gt;",$G$5:G1874,"&lt;&gt;Отменён"),"")</f>
        <v/>
      </c>
    </row>
    <row r="1875" spans="1:11">
      <c r="A1875" t="str">
        <f>IF(B1875="","","VIS_"&amp;(YEAR(B1875)*10000+MONTH(B1875)*100+DAY(B1875))&amp;"_"&amp;IF(COUNTIF($B$5:B1875,B1875)&lt;10,"00"&amp;COUNTIF($B$5:B1875,B1875),IF(COUNTIF($B$5:B1875,B1875)&lt;100,"0"&amp;COUNTIF($B$5:B1875,B1875),COUNTIF($B$5:B1875,B1875))))</f>
        <v>VIS_20301223_001</v>
      </c>
      <c r="B1875" s="40">
        <v>47840</v>
      </c>
      <c r="C1875" s="47" t="str">
        <f t="shared" si="58"/>
        <v>Пн</v>
      </c>
      <c r="I1875" s="46"/>
      <c r="J1875" s="39">
        <f t="shared" si="59"/>
        <v>47835</v>
      </c>
      <c r="K1875" t="str">
        <f ca="1">IF(AND(B1875&gt;='План недели'!$B$4,B1875&lt;'План недели'!$D$4,D1875&lt;&gt;"",G1875&lt;&gt;"Отменён"),COUNTIFS($B$5:B1875,"&gt;="&amp;'План недели'!$B$4,$B$5:B1875,"&lt;"&amp;'План недели'!$D$4,$D$5:D1875,"&lt;&gt;",$G$5:G1875,"&lt;&gt;Отменён"),"")</f>
        <v/>
      </c>
    </row>
    <row r="1876" spans="1:11">
      <c r="A1876" t="str">
        <f>IF(B1876="","","VIS_"&amp;(YEAR(B1876)*10000+MONTH(B1876)*100+DAY(B1876))&amp;"_"&amp;IF(COUNTIF($B$5:B1876,B1876)&lt;10,"00"&amp;COUNTIF($B$5:B1876,B1876),IF(COUNTIF($B$5:B1876,B1876)&lt;100,"0"&amp;COUNTIF($B$5:B1876,B1876),COUNTIF($B$5:B1876,B1876))))</f>
        <v>VIS_20301224_001</v>
      </c>
      <c r="B1876" s="40">
        <v>47841</v>
      </c>
      <c r="C1876" s="47" t="str">
        <f t="shared" si="58"/>
        <v>Вт</v>
      </c>
      <c r="I1876" s="46"/>
      <c r="J1876" s="39">
        <f t="shared" si="59"/>
        <v>47835</v>
      </c>
      <c r="K1876" t="str">
        <f ca="1">IF(AND(B1876&gt;='План недели'!$B$4,B1876&lt;'План недели'!$D$4,D1876&lt;&gt;"",G1876&lt;&gt;"Отменён"),COUNTIFS($B$5:B1876,"&gt;="&amp;'План недели'!$B$4,$B$5:B1876,"&lt;"&amp;'План недели'!$D$4,$D$5:D1876,"&lt;&gt;",$G$5:G1876,"&lt;&gt;Отменён"),"")</f>
        <v/>
      </c>
    </row>
    <row r="1877" spans="1:11">
      <c r="A1877" t="str">
        <f>IF(B1877="","","VIS_"&amp;(YEAR(B1877)*10000+MONTH(B1877)*100+DAY(B1877))&amp;"_"&amp;IF(COUNTIF($B$5:B1877,B1877)&lt;10,"00"&amp;COUNTIF($B$5:B1877,B1877),IF(COUNTIF($B$5:B1877,B1877)&lt;100,"0"&amp;COUNTIF($B$5:B1877,B1877),COUNTIF($B$5:B1877,B1877))))</f>
        <v>VIS_20301225_001</v>
      </c>
      <c r="B1877" s="40">
        <v>47842</v>
      </c>
      <c r="C1877" s="47" t="str">
        <f t="shared" si="58"/>
        <v>Ср</v>
      </c>
      <c r="I1877" s="46"/>
      <c r="J1877" s="39">
        <f t="shared" si="59"/>
        <v>47842</v>
      </c>
      <c r="K1877" t="str">
        <f ca="1">IF(AND(B1877&gt;='План недели'!$B$4,B1877&lt;'План недели'!$D$4,D1877&lt;&gt;"",G1877&lt;&gt;"Отменён"),COUNTIFS($B$5:B1877,"&gt;="&amp;'План недели'!$B$4,$B$5:B1877,"&lt;"&amp;'План недели'!$D$4,$D$5:D1877,"&lt;&gt;",$G$5:G1877,"&lt;&gt;Отменён"),"")</f>
        <v/>
      </c>
    </row>
    <row r="1878" spans="1:11">
      <c r="A1878" t="str">
        <f>IF(B1878="","","VIS_"&amp;(YEAR(B1878)*10000+MONTH(B1878)*100+DAY(B1878))&amp;"_"&amp;IF(COUNTIF($B$5:B1878,B1878)&lt;10,"00"&amp;COUNTIF($B$5:B1878,B1878),IF(COUNTIF($B$5:B1878,B1878)&lt;100,"0"&amp;COUNTIF($B$5:B1878,B1878),COUNTIF($B$5:B1878,B1878))))</f>
        <v>VIS_20301226_001</v>
      </c>
      <c r="B1878" s="40">
        <v>47843</v>
      </c>
      <c r="C1878" s="47" t="str">
        <f t="shared" si="58"/>
        <v>Чт</v>
      </c>
      <c r="I1878" s="46"/>
      <c r="J1878" s="39">
        <f t="shared" si="59"/>
        <v>47842</v>
      </c>
      <c r="K1878" t="str">
        <f ca="1">IF(AND(B1878&gt;='План недели'!$B$4,B1878&lt;'План недели'!$D$4,D1878&lt;&gt;"",G1878&lt;&gt;"Отменён"),COUNTIFS($B$5:B1878,"&gt;="&amp;'План недели'!$B$4,$B$5:B1878,"&lt;"&amp;'План недели'!$D$4,$D$5:D1878,"&lt;&gt;",$G$5:G1878,"&lt;&gt;Отменён"),"")</f>
        <v/>
      </c>
    </row>
    <row r="1879" spans="1:11">
      <c r="A1879" t="str">
        <f>IF(B1879="","","VIS_"&amp;(YEAR(B1879)*10000+MONTH(B1879)*100+DAY(B1879))&amp;"_"&amp;IF(COUNTIF($B$5:B1879,B1879)&lt;10,"00"&amp;COUNTIF($B$5:B1879,B1879),IF(COUNTIF($B$5:B1879,B1879)&lt;100,"0"&amp;COUNTIF($B$5:B1879,B1879),COUNTIF($B$5:B1879,B1879))))</f>
        <v>VIS_20301227_001</v>
      </c>
      <c r="B1879" s="40">
        <v>47844</v>
      </c>
      <c r="C1879" s="47" t="str">
        <f t="shared" si="58"/>
        <v>Пт</v>
      </c>
      <c r="I1879" s="46"/>
      <c r="J1879" s="39">
        <f t="shared" si="59"/>
        <v>47842</v>
      </c>
      <c r="K1879" t="str">
        <f ca="1">IF(AND(B1879&gt;='План недели'!$B$4,B1879&lt;'План недели'!$D$4,D1879&lt;&gt;"",G1879&lt;&gt;"Отменён"),COUNTIFS($B$5:B1879,"&gt;="&amp;'План недели'!$B$4,$B$5:B1879,"&lt;"&amp;'План недели'!$D$4,$D$5:D1879,"&lt;&gt;",$G$5:G1879,"&lt;&gt;Отменён"),"")</f>
        <v/>
      </c>
    </row>
    <row r="1880" spans="1:11">
      <c r="A1880" t="str">
        <f>IF(B1880="","","VIS_"&amp;(YEAR(B1880)*10000+MONTH(B1880)*100+DAY(B1880))&amp;"_"&amp;IF(COUNTIF($B$5:B1880,B1880)&lt;10,"00"&amp;COUNTIF($B$5:B1880,B1880),IF(COUNTIF($B$5:B1880,B1880)&lt;100,"0"&amp;COUNTIF($B$5:B1880,B1880),COUNTIF($B$5:B1880,B1880))))</f>
        <v>VIS_20301228_001</v>
      </c>
      <c r="B1880" s="42">
        <v>47845</v>
      </c>
      <c r="C1880" s="49" t="str">
        <f t="shared" si="58"/>
        <v>Сб</v>
      </c>
      <c r="I1880" s="46"/>
      <c r="J1880" s="39">
        <f t="shared" si="59"/>
        <v>47842</v>
      </c>
      <c r="K1880" t="str">
        <f ca="1">IF(AND(B1880&gt;='План недели'!$B$4,B1880&lt;'План недели'!$D$4,D1880&lt;&gt;"",G1880&lt;&gt;"Отменён"),COUNTIFS($B$5:B1880,"&gt;="&amp;'План недели'!$B$4,$B$5:B1880,"&lt;"&amp;'План недели'!$D$4,$D$5:D1880,"&lt;&gt;",$G$5:G1880,"&lt;&gt;Отменён"),"")</f>
        <v/>
      </c>
    </row>
    <row r="1881" spans="1:11">
      <c r="A1881" t="str">
        <f>IF(B1881="","","VIS_"&amp;(YEAR(B1881)*10000+MONTH(B1881)*100+DAY(B1881))&amp;"_"&amp;IF(COUNTIF($B$5:B1881,B1881)&lt;10,"00"&amp;COUNTIF($B$5:B1881,B1881),IF(COUNTIF($B$5:B1881,B1881)&lt;100,"0"&amp;COUNTIF($B$5:B1881,B1881),COUNTIF($B$5:B1881,B1881))))</f>
        <v>VIS_20301229_001</v>
      </c>
      <c r="B1881" s="42">
        <v>47846</v>
      </c>
      <c r="C1881" s="49" t="str">
        <f t="shared" si="58"/>
        <v>Вс</v>
      </c>
      <c r="I1881" s="46"/>
      <c r="J1881" s="39">
        <f t="shared" si="59"/>
        <v>47842</v>
      </c>
      <c r="K1881" t="str">
        <f ca="1">IF(AND(B1881&gt;='План недели'!$B$4,B1881&lt;'План недели'!$D$4,D1881&lt;&gt;"",G1881&lt;&gt;"Отменён"),COUNTIFS($B$5:B1881,"&gt;="&amp;'План недели'!$B$4,$B$5:B1881,"&lt;"&amp;'План недели'!$D$4,$D$5:D1881,"&lt;&gt;",$G$5:G1881,"&lt;&gt;Отменён"),"")</f>
        <v/>
      </c>
    </row>
    <row r="1882" spans="1:11">
      <c r="A1882" t="str">
        <f>IF(B1882="","","VIS_"&amp;(YEAR(B1882)*10000+MONTH(B1882)*100+DAY(B1882))&amp;"_"&amp;IF(COUNTIF($B$5:B1882,B1882)&lt;10,"00"&amp;COUNTIF($B$5:B1882,B1882),IF(COUNTIF($B$5:B1882,B1882)&lt;100,"0"&amp;COUNTIF($B$5:B1882,B1882),COUNTIF($B$5:B1882,B1882))))</f>
        <v>VIS_20301230_001</v>
      </c>
      <c r="B1882" s="40">
        <v>47847</v>
      </c>
      <c r="C1882" s="47" t="str">
        <f t="shared" si="58"/>
        <v>Пн</v>
      </c>
      <c r="I1882" s="46"/>
      <c r="J1882" s="39">
        <f t="shared" si="59"/>
        <v>47842</v>
      </c>
      <c r="K1882" t="str">
        <f ca="1">IF(AND(B1882&gt;='План недели'!$B$4,B1882&lt;'План недели'!$D$4,D1882&lt;&gt;"",G1882&lt;&gt;"Отменён"),COUNTIFS($B$5:B1882,"&gt;="&amp;'План недели'!$B$4,$B$5:B1882,"&lt;"&amp;'План недели'!$D$4,$D$5:D1882,"&lt;&gt;",$G$5:G1882,"&lt;&gt;Отменён"),"")</f>
        <v/>
      </c>
    </row>
    <row r="1883" spans="1:11">
      <c r="A1883" t="str">
        <f>IF(B1883="","","VIS_"&amp;(YEAR(B1883)*10000+MONTH(B1883)*100+DAY(B1883))&amp;"_"&amp;IF(COUNTIF($B$5:B1883,B1883)&lt;10,"00"&amp;COUNTIF($B$5:B1883,B1883),IF(COUNTIF($B$5:B1883,B1883)&lt;100,"0"&amp;COUNTIF($B$5:B1883,B1883),COUNTIF($B$5:B1883,B1883))))</f>
        <v>VIS_20301231_001</v>
      </c>
      <c r="B1883" s="40">
        <v>47848</v>
      </c>
      <c r="C1883" s="47" t="str">
        <f t="shared" si="58"/>
        <v>Вт</v>
      </c>
      <c r="I1883" s="46"/>
      <c r="J1883" s="39">
        <f t="shared" si="59"/>
        <v>47842</v>
      </c>
      <c r="K1883" t="str">
        <f ca="1">IF(AND(B1883&gt;='План недели'!$B$4,B1883&lt;'План недели'!$D$4,D1883&lt;&gt;"",G1883&lt;&gt;"Отменён"),COUNTIFS($B$5:B1883,"&gt;="&amp;'План недели'!$B$4,$B$5:B1883,"&lt;"&amp;'План недели'!$D$4,$D$5:D1883,"&lt;&gt;",$G$5:G1883,"&lt;&gt;Отменён"),"")</f>
        <v/>
      </c>
    </row>
  </sheetData>
  <mergeCells count="2">
    <mergeCell ref="A1:K1"/>
    <mergeCell ref="A2:K2"/>
  </mergeCells>
  <conditionalFormatting sqref="F5:F128">
    <cfRule type="containsText" dxfId="6" priority="1" operator="containsText" text="Выполнен"/>
    <cfRule type="containsText" dxfId="5" priority="2" operator="containsText" text="Запланирован"/>
    <cfRule type="containsText" dxfId="4" priority="3" operator="containsText" text="Требует подтверждения"/>
  </conditionalFormatting>
  <conditionalFormatting sqref="G5:G1883">
    <cfRule type="containsText" dxfId="3" priority="4" operator="containsText" text="Выполнен"/>
    <cfRule type="containsText" dxfId="2" priority="5" operator="containsText" text="Запланирован"/>
    <cfRule type="containsText" dxfId="1" priority="6" operator="containsText" text="Требует подтверждения"/>
  </conditionalFormatting>
  <dataValidations disablePrompts="1" count="1">
    <dataValidation type="list" allowBlank="1" sqref="F5:F5002" xr:uid="{00000000-0002-0000-0100-000002000000}">
      <formula1>"Фотопанорамная съёмка,Лазерное сканирование"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xr:uid="{00000000-0002-0000-0100-000000000000}">
          <x14:formula1>
            <xm:f>Справочники!$C$5:$C$200</xm:f>
          </x14:formula1>
          <xm:sqref>E5:E5002</xm:sqref>
        </x14:dataValidation>
        <x14:dataValidation type="list" xr:uid="{00000000-0002-0000-0100-000001000000}">
          <x14:formula1>
            <xm:f>Объекты!$B$5:$B$200</xm:f>
          </x14:formula1>
          <xm:sqref>D5:D5002</xm:sqref>
        </x14:dataValidation>
        <x14:dataValidation type="list" xr:uid="{00000000-0002-0000-0100-000003000000}">
          <x14:formula1>
            <xm:f>Справочники!$A$5:$A$200</xm:f>
          </x14:formula1>
          <xm:sqref>G5:G5002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topLeftCell="A13" workbookViewId="0">
      <selection activeCell="C5" sqref="C5"/>
    </sheetView>
  </sheetViews>
  <sheetFormatPr defaultRowHeight="14"/>
  <cols>
    <col min="1" max="1" width="12" customWidth="1"/>
    <col min="2" max="2" width="30" customWidth="1"/>
    <col min="3" max="3" width="20" customWidth="1"/>
    <col min="4" max="4" width="47.83203125" customWidth="1"/>
    <col min="5" max="5" width="22" customWidth="1"/>
    <col min="6" max="6" width="34" customWidth="1"/>
    <col min="7" max="8" width="13" customWidth="1"/>
    <col min="9" max="11" width="28" customWidth="1"/>
    <col min="12" max="12" width="11" customWidth="1"/>
    <col min="13" max="13" width="32" customWidth="1"/>
  </cols>
  <sheetData>
    <row r="1" spans="1:13" ht="28" customHeight="1">
      <c r="A1" s="56" t="s">
        <v>58</v>
      </c>
      <c r="B1" s="56" t="s">
        <v>58</v>
      </c>
      <c r="C1" s="56" t="s">
        <v>58</v>
      </c>
      <c r="D1" s="56" t="s">
        <v>58</v>
      </c>
      <c r="E1" s="56" t="s">
        <v>58</v>
      </c>
      <c r="F1" s="56" t="s">
        <v>58</v>
      </c>
      <c r="G1" s="56" t="s">
        <v>58</v>
      </c>
      <c r="H1" s="56" t="s">
        <v>58</v>
      </c>
      <c r="I1" s="56" t="s">
        <v>58</v>
      </c>
      <c r="J1" s="56" t="s">
        <v>58</v>
      </c>
      <c r="K1" s="56" t="s">
        <v>58</v>
      </c>
      <c r="L1" s="56" t="s">
        <v>58</v>
      </c>
      <c r="M1" s="56" t="s">
        <v>58</v>
      </c>
    </row>
    <row r="2" spans="1:13" ht="30" customHeight="1">
      <c r="A2" s="65" t="s">
        <v>59</v>
      </c>
      <c r="B2" s="65" t="s">
        <v>60</v>
      </c>
      <c r="C2" s="65" t="s">
        <v>60</v>
      </c>
      <c r="D2" s="65" t="s">
        <v>60</v>
      </c>
      <c r="E2" s="65" t="s">
        <v>60</v>
      </c>
      <c r="F2" s="65" t="s">
        <v>60</v>
      </c>
      <c r="G2" s="65" t="s">
        <v>60</v>
      </c>
      <c r="H2" s="65" t="s">
        <v>60</v>
      </c>
      <c r="I2" s="65" t="s">
        <v>60</v>
      </c>
      <c r="J2" s="65" t="s">
        <v>60</v>
      </c>
      <c r="K2" s="65" t="s">
        <v>60</v>
      </c>
      <c r="L2" s="65" t="s">
        <v>60</v>
      </c>
      <c r="M2" s="65" t="s">
        <v>60</v>
      </c>
    </row>
    <row r="4" spans="1:13" ht="30" customHeight="1">
      <c r="A4" s="1" t="s">
        <v>61</v>
      </c>
      <c r="B4" s="1" t="s">
        <v>62</v>
      </c>
      <c r="C4" s="1" t="s">
        <v>186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</row>
    <row r="5" spans="1:13" ht="26" customHeight="1">
      <c r="A5" s="5" t="s">
        <v>73</v>
      </c>
      <c r="B5" t="s">
        <v>38</v>
      </c>
      <c r="C5" s="37">
        <v>15</v>
      </c>
      <c r="D5" t="s">
        <v>74</v>
      </c>
      <c r="E5" t="s">
        <v>75</v>
      </c>
      <c r="F5" s="8"/>
      <c r="G5" s="6">
        <v>55.763325000000002</v>
      </c>
      <c r="H5" s="6">
        <v>37.516368999999997</v>
      </c>
      <c r="I5" s="10" t="s">
        <v>76</v>
      </c>
      <c r="J5" s="10" t="s">
        <v>77</v>
      </c>
      <c r="K5" s="10" t="s">
        <v>78</v>
      </c>
      <c r="L5" t="s">
        <v>79</v>
      </c>
      <c r="M5" s="8"/>
    </row>
    <row r="6" spans="1:13" ht="26" customHeight="1">
      <c r="A6" s="5" t="s">
        <v>80</v>
      </c>
      <c r="B6" t="s">
        <v>40</v>
      </c>
      <c r="C6" s="37">
        <v>24</v>
      </c>
      <c r="D6" t="s">
        <v>74</v>
      </c>
      <c r="E6" t="s">
        <v>75</v>
      </c>
      <c r="F6" s="8"/>
      <c r="G6" s="6">
        <v>55.770735000000002</v>
      </c>
      <c r="H6" s="6">
        <v>37.500110999999997</v>
      </c>
      <c r="I6" s="10" t="s">
        <v>81</v>
      </c>
      <c r="J6" s="10" t="s">
        <v>82</v>
      </c>
      <c r="K6" s="10" t="s">
        <v>83</v>
      </c>
      <c r="L6" t="s">
        <v>79</v>
      </c>
      <c r="M6" s="8"/>
    </row>
    <row r="7" spans="1:13" ht="26" customHeight="1">
      <c r="A7" s="5" t="s">
        <v>84</v>
      </c>
      <c r="B7" t="s">
        <v>41</v>
      </c>
      <c r="C7" s="37">
        <v>22</v>
      </c>
      <c r="D7" t="s">
        <v>74</v>
      </c>
      <c r="E7" t="s">
        <v>75</v>
      </c>
      <c r="F7" s="8"/>
      <c r="G7" s="6">
        <v>55.78284</v>
      </c>
      <c r="H7" s="6">
        <v>37.481803999999997</v>
      </c>
      <c r="I7" s="10" t="s">
        <v>85</v>
      </c>
      <c r="J7" s="10" t="s">
        <v>86</v>
      </c>
      <c r="K7" s="10" t="s">
        <v>87</v>
      </c>
      <c r="L7" t="s">
        <v>79</v>
      </c>
      <c r="M7" s="8"/>
    </row>
    <row r="8" spans="1:13" ht="26" customHeight="1">
      <c r="A8" s="5" t="s">
        <v>88</v>
      </c>
      <c r="B8" t="s">
        <v>42</v>
      </c>
      <c r="C8" s="37">
        <v>16</v>
      </c>
      <c r="D8" t="s">
        <v>74</v>
      </c>
      <c r="E8" t="s">
        <v>75</v>
      </c>
      <c r="F8" s="8"/>
      <c r="G8" s="6">
        <v>55.783037</v>
      </c>
      <c r="H8" s="6">
        <v>37.480584999999998</v>
      </c>
      <c r="I8" s="10" t="s">
        <v>89</v>
      </c>
      <c r="J8" s="10" t="s">
        <v>90</v>
      </c>
      <c r="K8" s="10" t="s">
        <v>91</v>
      </c>
      <c r="L8" t="s">
        <v>79</v>
      </c>
      <c r="M8" s="8"/>
    </row>
    <row r="9" spans="1:13" ht="26" customHeight="1">
      <c r="A9" s="5" t="s">
        <v>92</v>
      </c>
      <c r="B9" t="s">
        <v>35</v>
      </c>
      <c r="C9" s="37">
        <v>200</v>
      </c>
      <c r="D9" t="s">
        <v>74</v>
      </c>
      <c r="E9" t="s">
        <v>75</v>
      </c>
      <c r="F9" s="8"/>
      <c r="G9" s="6">
        <v>55.785665000000002</v>
      </c>
      <c r="H9" s="6">
        <v>37.464199000000001</v>
      </c>
      <c r="I9" s="10" t="s">
        <v>93</v>
      </c>
      <c r="J9" s="10" t="s">
        <v>94</v>
      </c>
      <c r="K9" s="10" t="s">
        <v>95</v>
      </c>
      <c r="L9" t="s">
        <v>79</v>
      </c>
      <c r="M9" s="8"/>
    </row>
    <row r="10" spans="1:13" ht="26" customHeight="1">
      <c r="A10" s="5" t="s">
        <v>96</v>
      </c>
      <c r="B10" t="s">
        <v>46</v>
      </c>
      <c r="C10" s="37">
        <v>364</v>
      </c>
      <c r="D10" t="s">
        <v>74</v>
      </c>
      <c r="E10" t="s">
        <v>75</v>
      </c>
      <c r="F10" s="8"/>
      <c r="G10" s="6">
        <v>55.789194000000002</v>
      </c>
      <c r="H10" s="6">
        <v>37.451493999999997</v>
      </c>
      <c r="I10" s="10" t="s">
        <v>97</v>
      </c>
      <c r="J10" s="10" t="s">
        <v>98</v>
      </c>
      <c r="K10" s="10" t="s">
        <v>99</v>
      </c>
      <c r="L10" t="s">
        <v>79</v>
      </c>
      <c r="M10" s="8"/>
    </row>
    <row r="11" spans="1:13" ht="26" customHeight="1">
      <c r="A11" s="5" t="s">
        <v>100</v>
      </c>
      <c r="B11" t="s">
        <v>37</v>
      </c>
      <c r="C11" s="37">
        <v>366</v>
      </c>
      <c r="D11" t="s">
        <v>74</v>
      </c>
      <c r="E11" t="s">
        <v>75</v>
      </c>
      <c r="F11" s="8"/>
      <c r="G11" s="6">
        <v>55.765042999999999</v>
      </c>
      <c r="H11" s="6">
        <v>37.511277999999997</v>
      </c>
      <c r="I11" s="10" t="s">
        <v>101</v>
      </c>
      <c r="J11" s="10" t="s">
        <v>102</v>
      </c>
      <c r="K11" s="10" t="s">
        <v>103</v>
      </c>
      <c r="L11" t="s">
        <v>79</v>
      </c>
      <c r="M11" s="8"/>
    </row>
    <row r="12" spans="1:13" ht="26" customHeight="1">
      <c r="A12" s="5" t="s">
        <v>104</v>
      </c>
      <c r="B12" t="s">
        <v>32</v>
      </c>
      <c r="C12" s="37">
        <v>445</v>
      </c>
      <c r="D12" t="s">
        <v>74</v>
      </c>
      <c r="E12" t="s">
        <v>75</v>
      </c>
      <c r="F12" s="8"/>
      <c r="G12" s="6">
        <v>55.775785999999997</v>
      </c>
      <c r="H12" s="6">
        <v>37.488061000000002</v>
      </c>
      <c r="I12" s="10" t="s">
        <v>105</v>
      </c>
      <c r="J12" s="10" t="s">
        <v>106</v>
      </c>
      <c r="K12" s="10" t="s">
        <v>107</v>
      </c>
      <c r="L12" t="s">
        <v>79</v>
      </c>
      <c r="M12" s="8"/>
    </row>
    <row r="13" spans="1:13" ht="26" customHeight="1">
      <c r="A13" s="5" t="s">
        <v>108</v>
      </c>
      <c r="B13" t="s">
        <v>48</v>
      </c>
      <c r="C13" s="37">
        <v>350</v>
      </c>
      <c r="D13" t="s">
        <v>74</v>
      </c>
      <c r="E13" t="s">
        <v>75</v>
      </c>
      <c r="F13" s="8"/>
      <c r="G13" s="6">
        <v>55.795765000000003</v>
      </c>
      <c r="H13" s="6">
        <v>37.377670999999999</v>
      </c>
      <c r="I13" s="10" t="s">
        <v>109</v>
      </c>
      <c r="J13" s="10" t="s">
        <v>110</v>
      </c>
      <c r="K13" s="10" t="s">
        <v>111</v>
      </c>
      <c r="L13" t="s">
        <v>79</v>
      </c>
      <c r="M13" s="8"/>
    </row>
    <row r="14" spans="1:13" ht="26" customHeight="1">
      <c r="A14" s="5" t="s">
        <v>112</v>
      </c>
      <c r="B14" t="s">
        <v>47</v>
      </c>
      <c r="C14" s="37">
        <v>334</v>
      </c>
      <c r="D14" t="s">
        <v>74</v>
      </c>
      <c r="E14" t="s">
        <v>75</v>
      </c>
      <c r="F14" s="8"/>
      <c r="G14" s="6">
        <v>55.803677999999998</v>
      </c>
      <c r="H14" s="6">
        <v>37.403089000000001</v>
      </c>
      <c r="I14" s="10" t="s">
        <v>113</v>
      </c>
      <c r="J14" s="10" t="s">
        <v>114</v>
      </c>
      <c r="K14" s="10" t="s">
        <v>115</v>
      </c>
      <c r="L14" t="s">
        <v>79</v>
      </c>
      <c r="M14" s="8"/>
    </row>
    <row r="15" spans="1:13" ht="26" customHeight="1">
      <c r="A15" s="5" t="s">
        <v>116</v>
      </c>
      <c r="B15" t="s">
        <v>36</v>
      </c>
      <c r="C15" s="37">
        <v>194</v>
      </c>
      <c r="D15" t="s">
        <v>117</v>
      </c>
      <c r="E15" t="s">
        <v>75</v>
      </c>
      <c r="F15" s="8"/>
      <c r="G15" s="6">
        <v>55.698813000000001</v>
      </c>
      <c r="H15" s="6">
        <v>37.646635000000003</v>
      </c>
      <c r="I15" s="10" t="s">
        <v>118</v>
      </c>
      <c r="J15" s="10" t="s">
        <v>119</v>
      </c>
      <c r="K15" s="10" t="s">
        <v>120</v>
      </c>
      <c r="L15" t="s">
        <v>79</v>
      </c>
      <c r="M15" s="8"/>
    </row>
    <row r="16" spans="1:13" ht="26" customHeight="1">
      <c r="A16" s="5" t="s">
        <v>121</v>
      </c>
      <c r="B16" t="s">
        <v>33</v>
      </c>
      <c r="C16" s="37">
        <v>355</v>
      </c>
      <c r="D16" t="s">
        <v>117</v>
      </c>
      <c r="E16" t="s">
        <v>75</v>
      </c>
      <c r="F16" s="8"/>
      <c r="G16" s="6">
        <v>55.692664999999998</v>
      </c>
      <c r="H16" s="6">
        <v>37.666722999999998</v>
      </c>
      <c r="I16" s="10" t="s">
        <v>122</v>
      </c>
      <c r="J16" s="10" t="s">
        <v>123</v>
      </c>
      <c r="K16" s="10" t="s">
        <v>124</v>
      </c>
      <c r="L16" t="s">
        <v>79</v>
      </c>
      <c r="M16" s="8"/>
    </row>
    <row r="17" spans="1:13" ht="26" customHeight="1">
      <c r="A17" s="5" t="s">
        <v>125</v>
      </c>
      <c r="B17" t="s">
        <v>28</v>
      </c>
      <c r="C17" s="37">
        <v>557</v>
      </c>
      <c r="D17" t="s">
        <v>126</v>
      </c>
      <c r="E17" t="s">
        <v>127</v>
      </c>
      <c r="F17" s="8"/>
      <c r="G17" s="6">
        <v>55.776083999999997</v>
      </c>
      <c r="H17" s="6">
        <v>37.655951999999999</v>
      </c>
      <c r="I17" s="10" t="s">
        <v>128</v>
      </c>
      <c r="J17" s="10" t="s">
        <v>129</v>
      </c>
      <c r="K17" s="10" t="s">
        <v>130</v>
      </c>
      <c r="L17" t="s">
        <v>79</v>
      </c>
      <c r="M17" s="8"/>
    </row>
    <row r="18" spans="1:13" ht="26" customHeight="1">
      <c r="A18" s="5" t="s">
        <v>131</v>
      </c>
      <c r="B18" t="s">
        <v>43</v>
      </c>
      <c r="C18" s="37">
        <v>24</v>
      </c>
      <c r="D18" t="s">
        <v>117</v>
      </c>
      <c r="E18" t="s">
        <v>75</v>
      </c>
      <c r="F18" s="8"/>
      <c r="G18" s="6">
        <v>55.697678000000003</v>
      </c>
      <c r="H18" s="6">
        <v>37.648490000000002</v>
      </c>
      <c r="I18" s="10" t="s">
        <v>132</v>
      </c>
      <c r="J18" s="10" t="s">
        <v>133</v>
      </c>
      <c r="K18" s="10" t="s">
        <v>134</v>
      </c>
      <c r="L18" t="s">
        <v>135</v>
      </c>
      <c r="M18" s="8"/>
    </row>
    <row r="19" spans="1:13" ht="26" customHeight="1">
      <c r="A19" s="5" t="s">
        <v>136</v>
      </c>
      <c r="B19" t="s">
        <v>44</v>
      </c>
      <c r="C19" s="37">
        <v>19</v>
      </c>
      <c r="D19" t="s">
        <v>117</v>
      </c>
      <c r="E19" t="s">
        <v>75</v>
      </c>
      <c r="F19" s="8"/>
      <c r="G19" s="6">
        <v>55.69614</v>
      </c>
      <c r="H19" s="6">
        <v>37.651750999999997</v>
      </c>
      <c r="I19" s="10" t="s">
        <v>137</v>
      </c>
      <c r="J19" s="10" t="s">
        <v>138</v>
      </c>
      <c r="K19" s="10" t="s">
        <v>139</v>
      </c>
      <c r="L19" t="s">
        <v>79</v>
      </c>
      <c r="M19" s="8"/>
    </row>
    <row r="20" spans="1:13" ht="26" customHeight="1">
      <c r="A20" s="5" t="s">
        <v>140</v>
      </c>
      <c r="B20" t="s">
        <v>45</v>
      </c>
      <c r="C20" s="37">
        <v>31</v>
      </c>
      <c r="D20" t="s">
        <v>117</v>
      </c>
      <c r="E20" t="s">
        <v>75</v>
      </c>
      <c r="F20" s="8"/>
      <c r="G20" s="6">
        <v>55.696629999999999</v>
      </c>
      <c r="H20" s="6">
        <v>37.662736000000002</v>
      </c>
      <c r="I20" s="10" t="s">
        <v>141</v>
      </c>
      <c r="J20" s="10" t="s">
        <v>142</v>
      </c>
      <c r="K20" s="10" t="s">
        <v>143</v>
      </c>
      <c r="L20" t="s">
        <v>79</v>
      </c>
      <c r="M20" s="8"/>
    </row>
    <row r="21" spans="1:13" ht="26" customHeight="1">
      <c r="A21" s="5" t="s">
        <v>144</v>
      </c>
      <c r="B21" t="s">
        <v>49</v>
      </c>
      <c r="C21" s="37">
        <v>151</v>
      </c>
      <c r="D21" t="s">
        <v>126</v>
      </c>
      <c r="E21" t="s">
        <v>127</v>
      </c>
      <c r="F21" s="8"/>
      <c r="G21" s="6">
        <v>55.770784999999997</v>
      </c>
      <c r="H21" s="6">
        <v>37.591084000000002</v>
      </c>
      <c r="I21" s="10" t="s">
        <v>145</v>
      </c>
      <c r="J21" s="10" t="s">
        <v>146</v>
      </c>
      <c r="K21" s="10" t="s">
        <v>147</v>
      </c>
      <c r="L21" t="s">
        <v>79</v>
      </c>
      <c r="M21" s="8"/>
    </row>
    <row r="22" spans="1:13" ht="26" customHeight="1">
      <c r="A22" s="5" t="s">
        <v>148</v>
      </c>
      <c r="B22" t="s">
        <v>55</v>
      </c>
      <c r="C22" s="37">
        <v>526</v>
      </c>
      <c r="D22" t="s">
        <v>149</v>
      </c>
      <c r="E22" t="s">
        <v>75</v>
      </c>
      <c r="F22" s="8" t="s">
        <v>150</v>
      </c>
      <c r="G22" s="6">
        <v>55.8005</v>
      </c>
      <c r="H22" s="6">
        <v>37.287999999999997</v>
      </c>
      <c r="I22" s="10" t="s">
        <v>151</v>
      </c>
      <c r="J22" s="10" t="s">
        <v>152</v>
      </c>
      <c r="K22" s="10"/>
      <c r="L22" t="s">
        <v>79</v>
      </c>
      <c r="M22" s="8"/>
    </row>
    <row r="23" spans="1:13" ht="26" customHeight="1">
      <c r="A23" s="5" t="s">
        <v>153</v>
      </c>
      <c r="B23" t="s">
        <v>154</v>
      </c>
      <c r="C23" s="37">
        <v>602</v>
      </c>
      <c r="D23" t="s">
        <v>149</v>
      </c>
      <c r="E23" t="s">
        <v>75</v>
      </c>
      <c r="F23" s="8" t="s">
        <v>155</v>
      </c>
      <c r="G23" s="6">
        <v>55.794767</v>
      </c>
      <c r="H23" s="6">
        <v>37.330128999999999</v>
      </c>
      <c r="I23" s="10" t="s">
        <v>156</v>
      </c>
      <c r="J23" s="10" t="s">
        <v>157</v>
      </c>
      <c r="K23" s="10"/>
      <c r="L23" t="s">
        <v>79</v>
      </c>
      <c r="M23" s="8"/>
    </row>
    <row r="24" spans="1:13" ht="26" customHeight="1">
      <c r="A24" s="5" t="str">
        <f>IF(B24="","","OBJ_"&amp;TEXT(ROW()-4,"000"))</f>
        <v/>
      </c>
      <c r="B24" s="2"/>
      <c r="C24" s="37"/>
      <c r="D24" s="2"/>
      <c r="E24" s="2"/>
      <c r="F24" s="9"/>
      <c r="G24" s="7"/>
      <c r="H24" s="7"/>
      <c r="I24" s="11"/>
      <c r="J24" s="11"/>
      <c r="K24" s="11"/>
      <c r="L24" s="2" t="s">
        <v>79</v>
      </c>
      <c r="M24" s="9"/>
    </row>
  </sheetData>
  <mergeCells count="2">
    <mergeCell ref="A1:M1"/>
    <mergeCell ref="A2:M2"/>
  </mergeCells>
  <conditionalFormatting sqref="C5:C24">
    <cfRule type="containsBlanks" dxfId="0" priority="1"/>
  </conditionalFormatting>
  <dataValidations count="1">
    <dataValidation type="whole" sqref="C5:C200" xr:uid="{00000000-0002-0000-0200-000000000000}">
      <formula1>0</formula1>
      <formula2>10000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showGridLines="0" workbookViewId="0"/>
  </sheetViews>
  <sheetFormatPr defaultRowHeight="14"/>
  <cols>
    <col min="1" max="1" width="22" customWidth="1"/>
    <col min="2" max="2" width="3" customWidth="1"/>
    <col min="3" max="3" width="14" customWidth="1"/>
    <col min="4" max="4" width="3" customWidth="1"/>
    <col min="5" max="5" width="12" customWidth="1"/>
    <col min="6" max="6" width="3" customWidth="1"/>
    <col min="7" max="7" width="25" customWidth="1"/>
    <col min="8" max="9" width="22" customWidth="1"/>
    <col min="10" max="10" width="3" customWidth="1"/>
    <col min="11" max="11" width="47.83203125" customWidth="1"/>
  </cols>
  <sheetData>
    <row r="1" spans="1:11" ht="28" customHeight="1">
      <c r="A1" s="56" t="s">
        <v>158</v>
      </c>
      <c r="B1" s="56" t="s">
        <v>158</v>
      </c>
      <c r="C1" s="56" t="s">
        <v>158</v>
      </c>
      <c r="D1" s="56" t="s">
        <v>158</v>
      </c>
      <c r="E1" s="56" t="s">
        <v>158</v>
      </c>
      <c r="F1" s="56" t="s">
        <v>158</v>
      </c>
      <c r="G1" s="56" t="s">
        <v>158</v>
      </c>
      <c r="H1" s="56" t="s">
        <v>158</v>
      </c>
      <c r="I1" s="56" t="s">
        <v>158</v>
      </c>
      <c r="J1" s="56" t="s">
        <v>158</v>
      </c>
      <c r="K1" s="56" t="s">
        <v>158</v>
      </c>
    </row>
    <row r="2" spans="1:11" ht="30" customHeight="1">
      <c r="A2" s="65" t="s">
        <v>159</v>
      </c>
      <c r="B2" s="65" t="s">
        <v>159</v>
      </c>
      <c r="C2" s="65" t="s">
        <v>159</v>
      </c>
      <c r="D2" s="65" t="s">
        <v>159</v>
      </c>
      <c r="E2" s="65" t="s">
        <v>159</v>
      </c>
      <c r="F2" s="65" t="s">
        <v>159</v>
      </c>
      <c r="G2" s="65" t="s">
        <v>159</v>
      </c>
      <c r="H2" s="65" t="s">
        <v>159</v>
      </c>
      <c r="I2" s="65" t="s">
        <v>159</v>
      </c>
      <c r="J2" s="65" t="s">
        <v>159</v>
      </c>
      <c r="K2" s="65" t="s">
        <v>159</v>
      </c>
    </row>
    <row r="4" spans="1:11" ht="30" customHeight="1">
      <c r="A4" s="1" t="s">
        <v>160</v>
      </c>
      <c r="B4" s="1"/>
      <c r="C4" s="1" t="s">
        <v>161</v>
      </c>
      <c r="D4" s="1"/>
      <c r="E4" s="1" t="s">
        <v>162</v>
      </c>
      <c r="F4" s="1"/>
      <c r="G4" s="1" t="s">
        <v>163</v>
      </c>
      <c r="H4" s="1" t="s">
        <v>164</v>
      </c>
      <c r="I4" s="1" t="s">
        <v>165</v>
      </c>
      <c r="J4" s="1"/>
      <c r="K4" s="1" t="s">
        <v>166</v>
      </c>
    </row>
    <row r="5" spans="1:11">
      <c r="A5" s="3" t="s">
        <v>57</v>
      </c>
      <c r="C5" s="3" t="s">
        <v>34</v>
      </c>
      <c r="E5" s="3" t="s">
        <v>79</v>
      </c>
      <c r="G5" s="3" t="s">
        <v>30</v>
      </c>
      <c r="H5" s="3" t="s">
        <v>167</v>
      </c>
      <c r="I5" s="3" t="s">
        <v>75</v>
      </c>
      <c r="K5" s="3" t="s">
        <v>74</v>
      </c>
    </row>
    <row r="6" spans="1:11">
      <c r="A6" s="3" t="s">
        <v>31</v>
      </c>
      <c r="C6" s="4" t="s">
        <v>29</v>
      </c>
      <c r="E6" s="3" t="s">
        <v>79</v>
      </c>
      <c r="G6" s="3" t="s">
        <v>52</v>
      </c>
      <c r="H6" s="3" t="s">
        <v>168</v>
      </c>
      <c r="I6" s="3" t="s">
        <v>127</v>
      </c>
      <c r="K6" s="3" t="s">
        <v>149</v>
      </c>
    </row>
    <row r="7" spans="1:11">
      <c r="A7" s="3" t="s">
        <v>169</v>
      </c>
      <c r="G7" s="3"/>
      <c r="H7" s="3"/>
      <c r="I7" s="3"/>
      <c r="K7" s="3" t="s">
        <v>117</v>
      </c>
    </row>
    <row r="8" spans="1:11">
      <c r="A8" s="3" t="s">
        <v>56</v>
      </c>
      <c r="G8" s="3"/>
      <c r="H8" s="3"/>
      <c r="I8" s="3"/>
      <c r="K8" s="4" t="s">
        <v>126</v>
      </c>
    </row>
    <row r="9" spans="1:11">
      <c r="A9" s="4" t="s">
        <v>170</v>
      </c>
      <c r="G9" s="4"/>
      <c r="H9" s="4"/>
      <c r="I9" s="4"/>
    </row>
    <row r="10" spans="1:11">
      <c r="A10" s="3" t="s">
        <v>187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План недели</vt:lpstr>
      <vt:lpstr>Выезды</vt:lpstr>
      <vt:lpstr>Объекты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Цембровский</dc:creator>
  <cp:lastModifiedBy>Григорий Цембровский</cp:lastModifiedBy>
  <dcterms:created xsi:type="dcterms:W3CDTF">2026-07-27T06:52:59Z</dcterms:created>
  <dcterms:modified xsi:type="dcterms:W3CDTF">2026-07-27T07:09:54Z</dcterms:modified>
</cp:coreProperties>
</file>